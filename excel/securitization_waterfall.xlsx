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ool" sheetId="2" state="visible" r:id="rId4"/>
    <sheet name="Waterfall" sheetId="3" state="visible" r:id="rId5"/>
    <sheet name="CashFlows" sheetId="4" state="visible" r:id="rId6"/>
    <sheet name="Scenario_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<sst xmlns="http://schemas.openxmlformats.org/spreadsheetml/2006/main" count="315" uniqueCount="312">
  <si>
    <t xml:space="preserve">Securitization waterfall: inputs (synthetic data, not a real transaction)</t>
  </si>
  <si>
    <t xml:space="preserve">Selected scenario number</t>
  </si>
  <si>
    <t xml:space="preserve">1 to 6 standard; 7 to 10 custom slots</t>
  </si>
  <si>
    <t xml:space="preserve">Selected cpr</t>
  </si>
  <si>
    <t xml:space="preserve">Selected cdr</t>
  </si>
  <si>
    <t xml:space="preserve">Selected sev</t>
  </si>
  <si>
    <t xml:space="preserve">Selected lag</t>
  </si>
  <si>
    <t xml:space="preserve">Selected shift</t>
  </si>
  <si>
    <t xml:space="preserve">Monthly default rate</t>
  </si>
  <si>
    <t xml:space="preserve">Single monthly mortality</t>
  </si>
  <si>
    <t xml:space="preserve">Index start</t>
  </si>
  <si>
    <t xml:space="preserve">Index long run</t>
  </si>
  <si>
    <t xml:space="preserve">Index decay (months)</t>
  </si>
  <si>
    <t xml:space="preserve">Senior fees, annual (servicing + trustee)</t>
  </si>
  <si>
    <t xml:space="preserve">Initial and target reserve</t>
  </si>
  <si>
    <t xml:space="preserve">Pro rata start (1) or sequential (0)</t>
  </si>
  <si>
    <t xml:space="preserve">Swap hedge on floating notes (1/0)</t>
  </si>
  <si>
    <t xml:space="preserve">Swap fixed rate</t>
  </si>
  <si>
    <t xml:space="preserve">Retirement tolerance (USD)</t>
  </si>
  <si>
    <t xml:space="preserve">Shortfall tolerance (USD)</t>
  </si>
  <si>
    <t xml:space="preserve">Class A original balance</t>
  </si>
  <si>
    <t xml:space="preserve">Class A floating (1) or fixed (0)</t>
  </si>
  <si>
    <t xml:space="preserve">Class A margin or fixed coupon</t>
  </si>
  <si>
    <t xml:space="preserve">Class A OC trigger</t>
  </si>
  <si>
    <t xml:space="preserve">Class A IC trigger</t>
  </si>
  <si>
    <t xml:space="preserve">Class B original balance</t>
  </si>
  <si>
    <t xml:space="preserve">Class B floating (1) or fixed (0)</t>
  </si>
  <si>
    <t xml:space="preserve">Class B margin or fixed coupon</t>
  </si>
  <si>
    <t xml:space="preserve">Class B OC trigger</t>
  </si>
  <si>
    <t xml:space="preserve">Class B IC trigger</t>
  </si>
  <si>
    <t xml:space="preserve">Class C original balance</t>
  </si>
  <si>
    <t xml:space="preserve">Class C floating (1) or fixed (0)</t>
  </si>
  <si>
    <t xml:space="preserve">Class C margin or fixed coupon</t>
  </si>
  <si>
    <t xml:space="preserve">Class C OC trigger</t>
  </si>
  <si>
    <t xml:space="preserve">Class C IC trigger</t>
  </si>
  <si>
    <t xml:space="preserve">Pool balance</t>
  </si>
  <si>
    <t xml:space="preserve">Residual par (pool + reserve - notes)</t>
  </si>
  <si>
    <t xml:space="preserve">Scenario</t>
  </si>
  <si>
    <t xml:space="preserve">CPR</t>
  </si>
  <si>
    <t xml:space="preserve">CDR</t>
  </si>
  <si>
    <t xml:space="preserve">Severity</t>
  </si>
  <si>
    <t xml:space="preserve">Lag (months)</t>
  </si>
  <si>
    <t xml:space="preserve">Index shift</t>
  </si>
  <si>
    <t xml:space="preserve">Base</t>
  </si>
  <si>
    <t xml:space="preserve">Mild stress</t>
  </si>
  <si>
    <t xml:space="preserve">Stress</t>
  </si>
  <si>
    <t xml:space="preserve">Severe stress</t>
  </si>
  <si>
    <t xml:space="preserve">Fast prepay</t>
  </si>
  <si>
    <t xml:space="preserve">Rate shock</t>
  </si>
  <si>
    <t xml:space="preserve">Custom 1</t>
  </si>
  <si>
    <t xml:space="preserve">Custom 2</t>
  </si>
  <si>
    <t xml:space="preserve">Custom 3</t>
  </si>
  <si>
    <t xml:space="preserve">Custom 4</t>
  </si>
  <si>
    <t xml:space="preserve">Pool rep line</t>
  </si>
  <si>
    <t xml:space="preserve">Balance</t>
  </si>
  <si>
    <t xml:space="preserve">WAC</t>
  </si>
  <si>
    <t xml:space="preserve">Term (months)</t>
  </si>
  <si>
    <t xml:space="preserve">L01</t>
  </si>
  <si>
    <t xml:space="preserve">L02</t>
  </si>
  <si>
    <t xml:space="preserve">L03</t>
  </si>
  <si>
    <t xml:space="preserve">L04</t>
  </si>
  <si>
    <t xml:space="preserve">L05</t>
  </si>
  <si>
    <t xml:space="preserve">L06</t>
  </si>
  <si>
    <t xml:space="preserve">L07</t>
  </si>
  <si>
    <t xml:space="preserve">L08</t>
  </si>
  <si>
    <t xml:space="preserve">L09</t>
  </si>
  <si>
    <t xml:space="preserve">L10</t>
  </si>
  <si>
    <t xml:space="preserve">Period</t>
  </si>
  <si>
    <t xml:space="preserve">L1_rem</t>
  </si>
  <si>
    <t xml:space="preserve">L1_beg</t>
  </si>
  <si>
    <t xml:space="preserve">L1_def</t>
  </si>
  <si>
    <t xml:space="preserve">L1_int</t>
  </si>
  <si>
    <t xml:space="preserve">L1_sch</t>
  </si>
  <si>
    <t xml:space="preserve">L1_pre</t>
  </si>
  <si>
    <t xml:space="preserve">L1_end</t>
  </si>
  <si>
    <t xml:space="preserve">L2_rem</t>
  </si>
  <si>
    <t xml:space="preserve">L2_beg</t>
  </si>
  <si>
    <t xml:space="preserve">L2_def</t>
  </si>
  <si>
    <t xml:space="preserve">L2_int</t>
  </si>
  <si>
    <t xml:space="preserve">L2_sch</t>
  </si>
  <si>
    <t xml:space="preserve">L2_pre</t>
  </si>
  <si>
    <t xml:space="preserve">L2_end</t>
  </si>
  <si>
    <t xml:space="preserve">L3_rem</t>
  </si>
  <si>
    <t xml:space="preserve">L3_beg</t>
  </si>
  <si>
    <t xml:space="preserve">L3_def</t>
  </si>
  <si>
    <t xml:space="preserve">L3_int</t>
  </si>
  <si>
    <t xml:space="preserve">L3_sch</t>
  </si>
  <si>
    <t xml:space="preserve">L3_pre</t>
  </si>
  <si>
    <t xml:space="preserve">L3_end</t>
  </si>
  <si>
    <t xml:space="preserve">L4_rem</t>
  </si>
  <si>
    <t xml:space="preserve">L4_beg</t>
  </si>
  <si>
    <t xml:space="preserve">L4_def</t>
  </si>
  <si>
    <t xml:space="preserve">L4_int</t>
  </si>
  <si>
    <t xml:space="preserve">L4_sch</t>
  </si>
  <si>
    <t xml:space="preserve">L4_pre</t>
  </si>
  <si>
    <t xml:space="preserve">L4_end</t>
  </si>
  <si>
    <t xml:space="preserve">L5_rem</t>
  </si>
  <si>
    <t xml:space="preserve">L5_beg</t>
  </si>
  <si>
    <t xml:space="preserve">L5_def</t>
  </si>
  <si>
    <t xml:space="preserve">L5_int</t>
  </si>
  <si>
    <t xml:space="preserve">L5_sch</t>
  </si>
  <si>
    <t xml:space="preserve">L5_pre</t>
  </si>
  <si>
    <t xml:space="preserve">L5_end</t>
  </si>
  <si>
    <t xml:space="preserve">L6_rem</t>
  </si>
  <si>
    <t xml:space="preserve">L6_beg</t>
  </si>
  <si>
    <t xml:space="preserve">L6_def</t>
  </si>
  <si>
    <t xml:space="preserve">L6_int</t>
  </si>
  <si>
    <t xml:space="preserve">L6_sch</t>
  </si>
  <si>
    <t xml:space="preserve">L6_pre</t>
  </si>
  <si>
    <t xml:space="preserve">L6_end</t>
  </si>
  <si>
    <t xml:space="preserve">L7_rem</t>
  </si>
  <si>
    <t xml:space="preserve">L7_beg</t>
  </si>
  <si>
    <t xml:space="preserve">L7_def</t>
  </si>
  <si>
    <t xml:space="preserve">L7_int</t>
  </si>
  <si>
    <t xml:space="preserve">L7_sch</t>
  </si>
  <si>
    <t xml:space="preserve">L7_pre</t>
  </si>
  <si>
    <t xml:space="preserve">L7_end</t>
  </si>
  <si>
    <t xml:space="preserve">L8_rem</t>
  </si>
  <si>
    <t xml:space="preserve">L8_beg</t>
  </si>
  <si>
    <t xml:space="preserve">L8_def</t>
  </si>
  <si>
    <t xml:space="preserve">L8_int</t>
  </si>
  <si>
    <t xml:space="preserve">L8_sch</t>
  </si>
  <si>
    <t xml:space="preserve">L8_pre</t>
  </si>
  <si>
    <t xml:space="preserve">L8_end</t>
  </si>
  <si>
    <t xml:space="preserve">L9_rem</t>
  </si>
  <si>
    <t xml:space="preserve">L9_beg</t>
  </si>
  <si>
    <t xml:space="preserve">L9_def</t>
  </si>
  <si>
    <t xml:space="preserve">L9_int</t>
  </si>
  <si>
    <t xml:space="preserve">L9_sch</t>
  </si>
  <si>
    <t xml:space="preserve">L9_pre</t>
  </si>
  <si>
    <t xml:space="preserve">L9_end</t>
  </si>
  <si>
    <t xml:space="preserve">L10_rem</t>
  </si>
  <si>
    <t xml:space="preserve">L10_beg</t>
  </si>
  <si>
    <t xml:space="preserve">L10_def</t>
  </si>
  <si>
    <t xml:space="preserve">L10_int</t>
  </si>
  <si>
    <t xml:space="preserve">L10_sch</t>
  </si>
  <si>
    <t xml:space="preserve">L10_pre</t>
  </si>
  <si>
    <t xml:space="preserve">L10_end</t>
  </si>
  <si>
    <t xml:space="preserve">tot_beg</t>
  </si>
  <si>
    <t xml:space="preserve">tot_defaults</t>
  </si>
  <si>
    <t xml:space="preserve">tot_interest</t>
  </si>
  <si>
    <t xml:space="preserve">tot_sched</t>
  </si>
  <si>
    <t xml:space="preserve">tot_prepay</t>
  </si>
  <si>
    <t xml:space="preserve">tot_end</t>
  </si>
  <si>
    <t xml:space="preserve">recov</t>
  </si>
  <si>
    <t xml:space="preserve">pending</t>
  </si>
  <si>
    <t xml:space="preserve">value</t>
  </si>
  <si>
    <t xml:space="preserve">cash</t>
  </si>
  <si>
    <t xml:space="preserve">cum_loss</t>
  </si>
  <si>
    <t xml:space="preserve">fwd</t>
  </si>
  <si>
    <t xml:space="preserve">beg_A</t>
  </si>
  <si>
    <t xml:space="preserve">beg_B</t>
  </si>
  <si>
    <t xml:space="preserve">beg_C</t>
  </si>
  <si>
    <t xml:space="preserve">cpn_A</t>
  </si>
  <si>
    <t xml:space="preserve">cpn_B</t>
  </si>
  <si>
    <t xml:space="preserve">cpn_C</t>
  </si>
  <si>
    <t xml:space="preserve">fees_accr</t>
  </si>
  <si>
    <t xml:space="preserve">accr_A</t>
  </si>
  <si>
    <t xml:space="preserve">accr_B</t>
  </si>
  <si>
    <t xml:space="preserve">accr_C</t>
  </si>
  <si>
    <t xml:space="preserve">swap</t>
  </si>
  <si>
    <t xml:space="preserve">fees_due</t>
  </si>
  <si>
    <t xml:space="preserve">due_A</t>
  </si>
  <si>
    <t xml:space="preserve">due_B</t>
  </si>
  <si>
    <t xml:space="preserve">due_C</t>
  </si>
  <si>
    <t xml:space="preserve">ic</t>
  </si>
  <si>
    <t xml:space="preserve">pc</t>
  </si>
  <si>
    <t xml:space="preserve">seq</t>
  </si>
  <si>
    <t xml:space="preserve">sq_A</t>
  </si>
  <si>
    <t xml:space="preserve">sq_B</t>
  </si>
  <si>
    <t xml:space="preserve">sq_C</t>
  </si>
  <si>
    <t xml:space="preserve">lv1_A</t>
  </si>
  <si>
    <t xml:space="preserve">lv1_B</t>
  </si>
  <si>
    <t xml:space="preserve">lv1_C</t>
  </si>
  <si>
    <t xml:space="preserve">pr1_A</t>
  </si>
  <si>
    <t xml:space="preserve">pr1_B</t>
  </si>
  <si>
    <t xml:space="preserve">pr1_C</t>
  </si>
  <si>
    <t xml:space="preserve">lv2_A</t>
  </si>
  <si>
    <t xml:space="preserve">lv2_B</t>
  </si>
  <si>
    <t xml:space="preserve">lv2_C</t>
  </si>
  <si>
    <t xml:space="preserve">pr2_A</t>
  </si>
  <si>
    <t xml:space="preserve">pr2_B</t>
  </si>
  <si>
    <t xml:space="preserve">pr2_C</t>
  </si>
  <si>
    <t xml:space="preserve">lv3_A</t>
  </si>
  <si>
    <t xml:space="preserve">lv3_B</t>
  </si>
  <si>
    <t xml:space="preserve">lv3_C</t>
  </si>
  <si>
    <t xml:space="preserve">pr3_A</t>
  </si>
  <si>
    <t xml:space="preserve">pr3_B</t>
  </si>
  <si>
    <t xml:space="preserve">pr3_C</t>
  </si>
  <si>
    <t xml:space="preserve">reg_A</t>
  </si>
  <si>
    <t xml:space="preserve">reg_B</t>
  </si>
  <si>
    <t xml:space="preserve">reg_C</t>
  </si>
  <si>
    <t xml:space="preserve">resid_prin_raw</t>
  </si>
  <si>
    <t xml:space="preserve">pf_A</t>
  </si>
  <si>
    <t xml:space="preserve">pf_B</t>
  </si>
  <si>
    <t xml:space="preserve">pf_C</t>
  </si>
  <si>
    <t xml:space="preserve">cv</t>
  </si>
  <si>
    <t xml:space="preserve">oc_A</t>
  </si>
  <si>
    <t xml:space="preserve">icr_A</t>
  </si>
  <si>
    <t xml:space="preserve">br_A</t>
  </si>
  <si>
    <t xml:space="preserve">oc_B</t>
  </si>
  <si>
    <t xml:space="preserve">icr_B</t>
  </si>
  <si>
    <t xml:space="preserve">br_B</t>
  </si>
  <si>
    <t xml:space="preserve">oc_C</t>
  </si>
  <si>
    <t xml:space="preserve">icr_C</t>
  </si>
  <si>
    <t xml:space="preserve">br_C</t>
  </si>
  <si>
    <t xml:space="preserve">any_breach</t>
  </si>
  <si>
    <t xml:space="preserve">fee1</t>
  </si>
  <si>
    <t xml:space="preserve">av1</t>
  </si>
  <si>
    <t xml:space="preserve">intA1</t>
  </si>
  <si>
    <t xml:space="preserve">av2</t>
  </si>
  <si>
    <t xml:space="preserve">t1_A</t>
  </si>
  <si>
    <t xml:space="preserve">t1_B</t>
  </si>
  <si>
    <t xml:space="preserve">t1_C</t>
  </si>
  <si>
    <t xml:space="preserve">av3</t>
  </si>
  <si>
    <t xml:space="preserve">intB1</t>
  </si>
  <si>
    <t xml:space="preserve">av4</t>
  </si>
  <si>
    <t xml:space="preserve">t2_A</t>
  </si>
  <si>
    <t xml:space="preserve">t2_B</t>
  </si>
  <si>
    <t xml:space="preserve">t2_C</t>
  </si>
  <si>
    <t xml:space="preserve">av5</t>
  </si>
  <si>
    <t xml:space="preserve">intC1</t>
  </si>
  <si>
    <t xml:space="preserve">av6</t>
  </si>
  <si>
    <t xml:space="preserve">t3_A</t>
  </si>
  <si>
    <t xml:space="preserve">t3_B</t>
  </si>
  <si>
    <t xml:space="preserve">t3_C</t>
  </si>
  <si>
    <t xml:space="preserve">av7</t>
  </si>
  <si>
    <t xml:space="preserve">defic0</t>
  </si>
  <si>
    <t xml:space="preserve">t4_A</t>
  </si>
  <si>
    <t xml:space="preserve">t4_B</t>
  </si>
  <si>
    <t xml:space="preserve">t4_C</t>
  </si>
  <si>
    <t xml:space="preserve">av8</t>
  </si>
  <si>
    <t xml:space="preserve">topup</t>
  </si>
  <si>
    <t xml:space="preserve">resid_int</t>
  </si>
  <si>
    <t xml:space="preserve">res1</t>
  </si>
  <si>
    <t xml:space="preserve">dr_fee</t>
  </si>
  <si>
    <t xml:space="preserve">dr_A</t>
  </si>
  <si>
    <t xml:space="preserve">dr_B</t>
  </si>
  <si>
    <t xml:space="preserve">draw</t>
  </si>
  <si>
    <t xml:space="preserve">res2</t>
  </si>
  <si>
    <t xml:space="preserve">fee2</t>
  </si>
  <si>
    <t xml:space="preserve">ipA2</t>
  </si>
  <si>
    <t xml:space="preserve">ipB2</t>
  </si>
  <si>
    <t xml:space="preserve">ipC2</t>
  </si>
  <si>
    <t xml:space="preserve">aft_A</t>
  </si>
  <si>
    <t xml:space="preserve">aft_B</t>
  </si>
  <si>
    <t xml:space="preserve">aft_C</t>
  </si>
  <si>
    <t xml:space="preserve">defic</t>
  </si>
  <si>
    <t xml:space="preserve">wd_C</t>
  </si>
  <si>
    <t xml:space="preserve">wd_B</t>
  </si>
  <si>
    <t xml:space="preserve">wd_A</t>
  </si>
  <si>
    <t xml:space="preserve">bal_A</t>
  </si>
  <si>
    <t xml:space="preserve">bal_B</t>
  </si>
  <si>
    <t xml:space="preserve">bal_C</t>
  </si>
  <si>
    <t xml:space="preserve">cf1</t>
  </si>
  <si>
    <t xml:space="preserve">ci1_A</t>
  </si>
  <si>
    <t xml:space="preserve">ci1_B</t>
  </si>
  <si>
    <t xml:space="preserve">ci1_C</t>
  </si>
  <si>
    <t xml:space="preserve">retired</t>
  </si>
  <si>
    <t xml:space="preserve">release</t>
  </si>
  <si>
    <t xml:space="preserve">sw_fee</t>
  </si>
  <si>
    <t xml:space="preserve">sw_A</t>
  </si>
  <si>
    <t xml:space="preserve">sw_B</t>
  </si>
  <si>
    <t xml:space="preserve">sw_C</t>
  </si>
  <si>
    <t xml:space="preserve">swept</t>
  </si>
  <si>
    <t xml:space="preserve">reserve_end</t>
  </si>
  <si>
    <t xml:space="preserve">carry_fee</t>
  </si>
  <si>
    <t xml:space="preserve">carry_A</t>
  </si>
  <si>
    <t xml:space="preserve">carry_B</t>
  </si>
  <si>
    <t xml:space="preserve">carry_C</t>
  </si>
  <si>
    <t xml:space="preserve">fees_paid</t>
  </si>
  <si>
    <t xml:space="preserve">int_A</t>
  </si>
  <si>
    <t xml:space="preserve">prin_A</t>
  </si>
  <si>
    <t xml:space="preserve">int_B</t>
  </si>
  <si>
    <t xml:space="preserve">prin_B</t>
  </si>
  <si>
    <t xml:space="preserve">int_C</t>
  </si>
  <si>
    <t xml:space="preserve">prin_C</t>
  </si>
  <si>
    <t xml:space="preserve">resid_prin</t>
  </si>
  <si>
    <t xml:space="preserve">resid_cash</t>
  </si>
  <si>
    <t xml:space="preserve">excess_spread</t>
  </si>
  <si>
    <t xml:space="preserve">conservation_gap</t>
  </si>
  <si>
    <t xml:space="preserve">bad_residual</t>
  </si>
  <si>
    <t xml:space="preserve">cf_A</t>
  </si>
  <si>
    <t xml:space="preserve">cf_B</t>
  </si>
  <si>
    <t xml:space="preserve">cf_C</t>
  </si>
  <si>
    <t xml:space="preserve">cf_R</t>
  </si>
  <si>
    <t xml:space="preserve">Tranche summary for the selected scenario (Python-only: break-even CDR, discount margin, retention)</t>
  </si>
  <si>
    <t xml:space="preserve">Class</t>
  </si>
  <si>
    <t xml:space="preserve">Par</t>
  </si>
  <si>
    <t xml:space="preserve">WAL (yrs)</t>
  </si>
  <si>
    <t xml:space="preserve">Yield at par</t>
  </si>
  <si>
    <t xml:space="preserve">First principal month</t>
  </si>
  <si>
    <t xml:space="preserve">Last principal month</t>
  </si>
  <si>
    <t xml:space="preserve">Interest paid</t>
  </si>
  <si>
    <t xml:space="preserve">Cash received</t>
  </si>
  <si>
    <t xml:space="preserve">Write-down</t>
  </si>
  <si>
    <t xml:space="preserve">Unpaid interest end</t>
  </si>
  <si>
    <t xml:space="preserve">Unpaid interest peak</t>
  </si>
  <si>
    <t xml:space="preserve">Any shortfall</t>
  </si>
  <si>
    <t xml:space="preserve">A</t>
  </si>
  <si>
    <t xml:space="preserve">B</t>
  </si>
  <si>
    <t xml:space="preserve">C</t>
  </si>
  <si>
    <t xml:space="preserve">R</t>
  </si>
  <si>
    <t xml:space="preserve">Junior-most class with a write-down</t>
  </si>
  <si>
    <t xml:space="preserve">Most senior class with a write-down</t>
  </si>
  <si>
    <t xml:space="preserve">Cumulative net loss, % of original pool</t>
  </si>
  <si>
    <t xml:space="preserve">Integrity checks</t>
  </si>
  <si>
    <t xml:space="preserve">Max abs cash conservation gap</t>
  </si>
  <si>
    <t xml:space="preserve">Periods with residual paid while arrears remain</t>
  </si>
  <si>
    <t xml:space="preserve">Months with any test breach</t>
  </si>
  <si>
    <t xml:space="preserve">Max abs pool roll-forward difference (ending pool balance at horizon)</t>
  </si>
  <si>
    <t xml:space="preserve">All checks pass (1 = yes)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</si>
</sst>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0" t="n">
        <v>1</v>
      </c>
      <c r="C3" s="0" t="s">
        <v>2</v>
      </c>
    </row>
    <row r="4" customFormat="false" ht="15" hidden="false" customHeight="false" outlineLevel="0" collapsed="false">
      <c r="A4" s="0" t="s">
        <v>3</v>
      </c>
      <c r="B4" s="0" t="n">
        <f aca="false">INDEX(Inputs!$B$45:$B$54,Inputs!$B$3)</f>
        <v>0.1</v>
      </c>
    </row>
    <row r="5" customFormat="false" ht="15" hidden="false" customHeight="false" outlineLevel="0" collapsed="false">
      <c r="A5" s="0" t="s">
        <v>4</v>
      </c>
      <c r="B5" s="0" t="n">
        <f aca="false">INDEX(Inputs!$C$45:$C$54,Inputs!$B$3)</f>
        <v>0.03</v>
      </c>
    </row>
    <row r="6" customFormat="false" ht="15" hidden="false" customHeight="false" outlineLevel="0" collapsed="false">
      <c r="A6" s="0" t="s">
        <v>5</v>
      </c>
      <c r="B6" s="0" t="n">
        <f aca="false">INDEX(Inputs!$D$45:$D$54,Inputs!$B$3)</f>
        <v>0.4</v>
      </c>
    </row>
    <row r="7" customFormat="false" ht="15" hidden="false" customHeight="false" outlineLevel="0" collapsed="false">
      <c r="A7" s="0" t="s">
        <v>6</v>
      </c>
      <c r="B7" s="0" t="n">
        <f aca="false">INDEX(Inputs!$E$45:$E$54,Inputs!$B$3)</f>
        <v>6</v>
      </c>
    </row>
    <row r="8" customFormat="false" ht="15" hidden="false" customHeight="false" outlineLevel="0" collapsed="false">
      <c r="A8" s="0" t="s">
        <v>7</v>
      </c>
      <c r="B8" s="0" t="n">
        <f aca="false">INDEX(Inputs!$F$45:$F$54,Inputs!$B$3)</f>
        <v>0</v>
      </c>
    </row>
    <row r="9" customFormat="false" ht="15" hidden="false" customHeight="false" outlineLevel="0" collapsed="false">
      <c r="A9" s="0" t="s">
        <v>8</v>
      </c>
      <c r="B9" s="0" t="n">
        <f aca="false">1-(1-Inputs!$B$5)^(1/12)</f>
        <v>0.00253504861383669</v>
      </c>
    </row>
    <row r="10" customFormat="false" ht="15" hidden="false" customHeight="false" outlineLevel="0" collapsed="false">
      <c r="A10" s="0" t="s">
        <v>9</v>
      </c>
      <c r="B10" s="0" t="n">
        <f aca="false">1-(1-Inputs!$B$4)^(1/12)</f>
        <v>0.00874161095469672</v>
      </c>
    </row>
    <row r="11" customFormat="false" ht="15" hidden="false" customHeight="false" outlineLevel="0" collapsed="false">
      <c r="A11" s="0" t="s">
        <v>10</v>
      </c>
      <c r="B11" s="0" t="n">
        <v>0.043</v>
      </c>
    </row>
    <row r="12" customFormat="false" ht="15" hidden="false" customHeight="false" outlineLevel="0" collapsed="false">
      <c r="A12" s="0" t="s">
        <v>11</v>
      </c>
      <c r="B12" s="0" t="n">
        <v>0.0325</v>
      </c>
    </row>
    <row r="13" customFormat="false" ht="15" hidden="false" customHeight="false" outlineLevel="0" collapsed="false">
      <c r="A13" s="0" t="s">
        <v>12</v>
      </c>
      <c r="B13" s="0" t="n">
        <v>24</v>
      </c>
    </row>
    <row r="14" customFormat="false" ht="15" hidden="false" customHeight="false" outlineLevel="0" collapsed="false">
      <c r="A14" s="0" t="s">
        <v>13</v>
      </c>
      <c r="B14" s="0" t="n">
        <v>0.0063</v>
      </c>
    </row>
    <row r="15" customFormat="false" ht="15" hidden="false" customHeight="false" outlineLevel="0" collapsed="false">
      <c r="A15" s="0" t="s">
        <v>14</v>
      </c>
      <c r="B15" s="0" t="n">
        <v>3000000</v>
      </c>
    </row>
    <row r="16" customFormat="false" ht="15" hidden="false" customHeight="false" outlineLevel="0" collapsed="false">
      <c r="A16" s="0" t="s">
        <v>15</v>
      </c>
      <c r="B16" s="0" t="n">
        <v>0</v>
      </c>
    </row>
    <row r="17" customFormat="false" ht="15" hidden="false" customHeight="false" outlineLevel="0" collapsed="false">
      <c r="A17" s="0" t="s">
        <v>16</v>
      </c>
      <c r="B17" s="0" t="n">
        <v>0</v>
      </c>
    </row>
    <row r="18" customFormat="false" ht="15" hidden="false" customHeight="false" outlineLevel="0" collapsed="false">
      <c r="A18" s="0" t="s">
        <v>17</v>
      </c>
      <c r="B18" s="0" t="n">
        <v>0.036</v>
      </c>
    </row>
    <row r="19" customFormat="false" ht="15" hidden="false" customHeight="false" outlineLevel="0" collapsed="false">
      <c r="A19" s="0" t="s">
        <v>18</v>
      </c>
      <c r="B19" s="0" t="n">
        <v>1E-006</v>
      </c>
    </row>
    <row r="20" customFormat="false" ht="15" hidden="false" customHeight="false" outlineLevel="0" collapsed="false">
      <c r="A20" s="0" t="s">
        <v>19</v>
      </c>
      <c r="B20" s="0" t="n">
        <v>1</v>
      </c>
    </row>
    <row r="21" customFormat="false" ht="15" hidden="false" customHeight="false" outlineLevel="0" collapsed="false">
      <c r="A21" s="0" t="s">
        <v>20</v>
      </c>
      <c r="B21" s="0" t="n">
        <v>300000000</v>
      </c>
    </row>
    <row r="22" customFormat="false" ht="15" hidden="false" customHeight="false" outlineLevel="0" collapsed="false">
      <c r="A22" s="0" t="s">
        <v>21</v>
      </c>
      <c r="B22" s="0" t="n">
        <v>1</v>
      </c>
    </row>
    <row r="23" customFormat="false" ht="15" hidden="false" customHeight="false" outlineLevel="0" collapsed="false">
      <c r="A23" s="0" t="s">
        <v>22</v>
      </c>
      <c r="B23" s="0" t="n">
        <v>0.011</v>
      </c>
    </row>
    <row r="24" customFormat="false" ht="15" hidden="false" customHeight="false" outlineLevel="0" collapsed="false">
      <c r="A24" s="0" t="s">
        <v>23</v>
      </c>
      <c r="B24" s="0" t="n">
        <v>1.25</v>
      </c>
    </row>
    <row r="25" customFormat="false" ht="15" hidden="false" customHeight="false" outlineLevel="0" collapsed="false">
      <c r="A25" s="0" t="s">
        <v>24</v>
      </c>
      <c r="B25" s="0" t="n">
        <v>1.5</v>
      </c>
    </row>
    <row r="26" customFormat="false" ht="15" hidden="false" customHeight="false" outlineLevel="0" collapsed="false">
      <c r="A26" s="0" t="s">
        <v>25</v>
      </c>
      <c r="B26" s="0" t="n">
        <v>40000000</v>
      </c>
    </row>
    <row r="27" customFormat="false" ht="15" hidden="false" customHeight="false" outlineLevel="0" collapsed="false">
      <c r="A27" s="0" t="s">
        <v>26</v>
      </c>
      <c r="B27" s="0" t="n">
        <v>1</v>
      </c>
    </row>
    <row r="28" customFormat="false" ht="15" hidden="false" customHeight="false" outlineLevel="0" collapsed="false">
      <c r="A28" s="0" t="s">
        <v>27</v>
      </c>
      <c r="B28" s="0" t="n">
        <v>0.0225</v>
      </c>
    </row>
    <row r="29" customFormat="false" ht="15" hidden="false" customHeight="false" outlineLevel="0" collapsed="false">
      <c r="A29" s="0" t="s">
        <v>28</v>
      </c>
      <c r="B29" s="0" t="n">
        <v>1.12</v>
      </c>
    </row>
    <row r="30" customFormat="false" ht="15" hidden="false" customHeight="false" outlineLevel="0" collapsed="false">
      <c r="A30" s="0" t="s">
        <v>29</v>
      </c>
      <c r="B30" s="0" t="n">
        <v>1.3</v>
      </c>
    </row>
    <row r="31" customFormat="false" ht="15" hidden="false" customHeight="false" outlineLevel="0" collapsed="false">
      <c r="A31" s="0" t="s">
        <v>30</v>
      </c>
      <c r="B31" s="0" t="n">
        <v>30000000</v>
      </c>
    </row>
    <row r="32" customFormat="false" ht="15" hidden="false" customHeight="false" outlineLevel="0" collapsed="false">
      <c r="A32" s="0" t="s">
        <v>31</v>
      </c>
      <c r="B32" s="0" t="n">
        <v>0</v>
      </c>
    </row>
    <row r="33" customFormat="false" ht="15" hidden="false" customHeight="false" outlineLevel="0" collapsed="false">
      <c r="A33" s="0" t="s">
        <v>32</v>
      </c>
      <c r="B33" s="0" t="n">
        <v>0.075</v>
      </c>
    </row>
    <row r="34" customFormat="false" ht="15" hidden="false" customHeight="false" outlineLevel="0" collapsed="false">
      <c r="A34" s="0" t="s">
        <v>33</v>
      </c>
      <c r="B34" s="0" t="n">
        <v>1.045</v>
      </c>
    </row>
    <row r="35" customFormat="false" ht="15" hidden="false" customHeight="false" outlineLevel="0" collapsed="false">
      <c r="A35" s="0" t="s">
        <v>34</v>
      </c>
      <c r="B35" s="0" t="n">
        <v>1.15</v>
      </c>
    </row>
    <row r="36" customFormat="false" ht="15" hidden="false" customHeight="false" outlineLevel="0" collapsed="false">
      <c r="A36" s="0" t="s">
        <v>35</v>
      </c>
      <c r="B36" s="0" t="n">
        <f aca="false">SUM(Inputs!$B$58:$B$67)</f>
        <v>400000000</v>
      </c>
    </row>
    <row r="37" customFormat="false" ht="15" hidden="false" customHeight="false" outlineLevel="0" collapsed="false">
      <c r="A37" s="0" t="s">
        <v>36</v>
      </c>
      <c r="B37" s="0" t="n">
        <f aca="false">Inputs!$B$36+Inputs!$B$15-Inputs!$B$21-Inputs!$B$26-Inputs!$B$31</f>
        <v>33000000</v>
      </c>
    </row>
    <row r="44" customFormat="false" ht="15" hidden="false" customHeight="false" outlineLevel="0" collapsed="false">
      <c r="A44" s="0" t="s">
        <v>37</v>
      </c>
      <c r="B44" s="0" t="s">
        <v>38</v>
      </c>
      <c r="C44" s="0" t="s">
        <v>39</v>
      </c>
      <c r="D44" s="0" t="s">
        <v>40</v>
      </c>
      <c r="E44" s="0" t="s">
        <v>41</v>
      </c>
      <c r="F44" s="0" t="s">
        <v>42</v>
      </c>
    </row>
    <row r="45" customFormat="false" ht="15" hidden="false" customHeight="false" outlineLevel="0" collapsed="false">
      <c r="A45" s="0" t="s">
        <v>43</v>
      </c>
      <c r="B45" s="0" t="n">
        <v>0.1</v>
      </c>
      <c r="C45" s="0" t="n">
        <v>0.03</v>
      </c>
      <c r="D45" s="0" t="n">
        <v>0.4</v>
      </c>
      <c r="E45" s="0" t="n">
        <v>6</v>
      </c>
      <c r="F45" s="0" t="n">
        <v>0</v>
      </c>
    </row>
    <row r="46" customFormat="false" ht="15" hidden="false" customHeight="false" outlineLevel="0" collapsed="false">
      <c r="A46" s="0" t="s">
        <v>44</v>
      </c>
      <c r="B46" s="0" t="n">
        <v>0.1</v>
      </c>
      <c r="C46" s="0" t="n">
        <v>0.06</v>
      </c>
      <c r="D46" s="0" t="n">
        <v>0.5</v>
      </c>
      <c r="E46" s="0" t="n">
        <v>6</v>
      </c>
      <c r="F46" s="0" t="n">
        <v>0</v>
      </c>
    </row>
    <row r="47" customFormat="false" ht="15" hidden="false" customHeight="false" outlineLevel="0" collapsed="false">
      <c r="A47" s="0" t="s">
        <v>45</v>
      </c>
      <c r="B47" s="0" t="n">
        <v>0.06</v>
      </c>
      <c r="C47" s="0" t="n">
        <v>0.12</v>
      </c>
      <c r="D47" s="0" t="n">
        <v>0.6</v>
      </c>
      <c r="E47" s="0" t="n">
        <v>9</v>
      </c>
      <c r="F47" s="0" t="n">
        <v>0</v>
      </c>
    </row>
    <row r="48" customFormat="false" ht="15" hidden="false" customHeight="false" outlineLevel="0" collapsed="false">
      <c r="A48" s="0" t="s">
        <v>46</v>
      </c>
      <c r="B48" s="0" t="n">
        <v>0.04</v>
      </c>
      <c r="C48" s="0" t="n">
        <v>0.2</v>
      </c>
      <c r="D48" s="0" t="n">
        <v>0.7</v>
      </c>
      <c r="E48" s="0" t="n">
        <v>12</v>
      </c>
      <c r="F48" s="0" t="n">
        <v>0</v>
      </c>
    </row>
    <row r="49" customFormat="false" ht="15" hidden="false" customHeight="false" outlineLevel="0" collapsed="false">
      <c r="A49" s="0" t="s">
        <v>47</v>
      </c>
      <c r="B49" s="0" t="n">
        <v>0.3</v>
      </c>
      <c r="C49" s="0" t="n">
        <v>0.03</v>
      </c>
      <c r="D49" s="0" t="n">
        <v>0.4</v>
      </c>
      <c r="E49" s="0" t="n">
        <v>6</v>
      </c>
      <c r="F49" s="0" t="n">
        <v>0</v>
      </c>
    </row>
    <row r="50" customFormat="false" ht="15" hidden="false" customHeight="false" outlineLevel="0" collapsed="false">
      <c r="A50" s="0" t="s">
        <v>48</v>
      </c>
      <c r="B50" s="0" t="n">
        <v>0.1</v>
      </c>
      <c r="C50" s="0" t="n">
        <v>0.06</v>
      </c>
      <c r="D50" s="0" t="n">
        <v>0.5</v>
      </c>
      <c r="E50" s="0" t="n">
        <v>6</v>
      </c>
      <c r="F50" s="0" t="n">
        <v>0.03</v>
      </c>
    </row>
    <row r="51" customFormat="false" ht="15" hidden="false" customHeight="false" outlineLevel="0" collapsed="false">
      <c r="A51" s="0" t="s">
        <v>49</v>
      </c>
      <c r="B51" s="0" t="n">
        <v>0.1</v>
      </c>
      <c r="C51" s="0" t="n">
        <v>0.03</v>
      </c>
      <c r="D51" s="0" t="n">
        <v>0.4</v>
      </c>
      <c r="E51" s="0" t="n">
        <v>6</v>
      </c>
      <c r="F51" s="0" t="n">
        <v>0</v>
      </c>
    </row>
    <row r="52" customFormat="false" ht="15" hidden="false" customHeight="false" outlineLevel="0" collapsed="false">
      <c r="A52" s="0" t="s">
        <v>50</v>
      </c>
      <c r="B52" s="0" t="n">
        <v>0.1</v>
      </c>
      <c r="C52" s="0" t="n">
        <v>0.03</v>
      </c>
      <c r="D52" s="0" t="n">
        <v>0.4</v>
      </c>
      <c r="E52" s="0" t="n">
        <v>6</v>
      </c>
      <c r="F52" s="0" t="n">
        <v>0</v>
      </c>
    </row>
    <row r="53" customFormat="false" ht="15" hidden="false" customHeight="false" outlineLevel="0" collapsed="false">
      <c r="A53" s="0" t="s">
        <v>51</v>
      </c>
      <c r="B53" s="0" t="n">
        <v>0.1</v>
      </c>
      <c r="C53" s="0" t="n">
        <v>0.03</v>
      </c>
      <c r="D53" s="0" t="n">
        <v>0.4</v>
      </c>
      <c r="E53" s="0" t="n">
        <v>6</v>
      </c>
      <c r="F53" s="0" t="n">
        <v>0</v>
      </c>
    </row>
    <row r="54" customFormat="false" ht="15" hidden="false" customHeight="false" outlineLevel="0" collapsed="false">
      <c r="A54" s="0" t="s">
        <v>52</v>
      </c>
      <c r="B54" s="0" t="n">
        <v>0.1</v>
      </c>
      <c r="C54" s="0" t="n">
        <v>0.03</v>
      </c>
      <c r="D54" s="0" t="n">
        <v>0.4</v>
      </c>
      <c r="E54" s="0" t="n">
        <v>6</v>
      </c>
      <c r="F54" s="0" t="n">
        <v>0</v>
      </c>
    </row>
    <row r="57" customFormat="false" ht="15" hidden="false" customHeight="false" outlineLevel="0" collapsed="false">
      <c r="A57" s="0" t="s">
        <v>53</v>
      </c>
      <c r="B57" s="0" t="s">
        <v>54</v>
      </c>
      <c r="C57" s="0" t="s">
        <v>55</v>
      </c>
      <c r="D57" s="0" t="s">
        <v>56</v>
      </c>
    </row>
    <row r="58" customFormat="false" ht="15" hidden="false" customHeight="false" outlineLevel="0" collapsed="false">
      <c r="A58" s="0" t="s">
        <v>57</v>
      </c>
      <c r="B58" s="0" t="n">
        <v>39000000</v>
      </c>
      <c r="C58" s="0" t="n">
        <v>0.073</v>
      </c>
      <c r="D58" s="0" t="n">
        <v>36</v>
      </c>
    </row>
    <row r="59" customFormat="false" ht="15" hidden="false" customHeight="false" outlineLevel="0" collapsed="false">
      <c r="A59" s="0" t="s">
        <v>58</v>
      </c>
      <c r="B59" s="0" t="n">
        <v>75500000</v>
      </c>
      <c r="C59" s="0" t="n">
        <v>0.078</v>
      </c>
      <c r="D59" s="0" t="n">
        <v>48</v>
      </c>
    </row>
    <row r="60" customFormat="false" ht="15" hidden="false" customHeight="false" outlineLevel="0" collapsed="false">
      <c r="A60" s="0" t="s">
        <v>59</v>
      </c>
      <c r="B60" s="0" t="n">
        <v>21600000</v>
      </c>
      <c r="C60" s="0" t="n">
        <v>0.083</v>
      </c>
      <c r="D60" s="0" t="n">
        <v>48</v>
      </c>
    </row>
    <row r="61" customFormat="false" ht="15" hidden="false" customHeight="false" outlineLevel="0" collapsed="false">
      <c r="A61" s="0" t="s">
        <v>60</v>
      </c>
      <c r="B61" s="0" t="n">
        <v>67200000</v>
      </c>
      <c r="C61" s="0" t="n">
        <v>0.088</v>
      </c>
      <c r="D61" s="0" t="n">
        <v>60</v>
      </c>
    </row>
    <row r="62" customFormat="false" ht="15" hidden="false" customHeight="false" outlineLevel="0" collapsed="false">
      <c r="A62" s="0" t="s">
        <v>61</v>
      </c>
      <c r="B62" s="0" t="n">
        <v>19000000</v>
      </c>
      <c r="C62" s="0" t="n">
        <v>0.093</v>
      </c>
      <c r="D62" s="0" t="n">
        <v>60</v>
      </c>
    </row>
    <row r="63" customFormat="false" ht="15" hidden="false" customHeight="false" outlineLevel="0" collapsed="false">
      <c r="A63" s="0" t="s">
        <v>62</v>
      </c>
      <c r="B63" s="0" t="n">
        <v>22700000</v>
      </c>
      <c r="C63" s="0" t="n">
        <v>0.0955</v>
      </c>
      <c r="D63" s="0" t="n">
        <v>60</v>
      </c>
    </row>
    <row r="64" customFormat="false" ht="15" hidden="false" customHeight="false" outlineLevel="0" collapsed="false">
      <c r="A64" s="0" t="s">
        <v>63</v>
      </c>
      <c r="B64" s="0" t="n">
        <v>35200000</v>
      </c>
      <c r="C64" s="0" t="n">
        <v>0.098</v>
      </c>
      <c r="D64" s="0" t="n">
        <v>72</v>
      </c>
    </row>
    <row r="65" customFormat="false" ht="15" hidden="false" customHeight="false" outlineLevel="0" collapsed="false">
      <c r="A65" s="0" t="s">
        <v>64</v>
      </c>
      <c r="B65" s="0" t="n">
        <v>36400000</v>
      </c>
      <c r="C65" s="0" t="n">
        <v>0.103</v>
      </c>
      <c r="D65" s="0" t="n">
        <v>72</v>
      </c>
    </row>
    <row r="66" customFormat="false" ht="15" hidden="false" customHeight="false" outlineLevel="0" collapsed="false">
      <c r="A66" s="0" t="s">
        <v>65</v>
      </c>
      <c r="B66" s="0" t="n">
        <v>36100000</v>
      </c>
      <c r="C66" s="0" t="n">
        <v>0.1055</v>
      </c>
      <c r="D66" s="0" t="n">
        <v>84</v>
      </c>
    </row>
    <row r="67" customFormat="false" ht="15" hidden="false" customHeight="false" outlineLevel="0" collapsed="false">
      <c r="A67" s="0" t="s">
        <v>66</v>
      </c>
      <c r="B67" s="0" t="n">
        <v>47300000</v>
      </c>
      <c r="C67" s="0" t="n">
        <v>0.1105</v>
      </c>
      <c r="D67" s="0" t="n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CD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sheetData>
    <row r="4" customFormat="false" ht="15" hidden="false" customHeight="false" outlineLevel="0" collapsed="false">
      <c r="A4" s="0" t="s">
        <v>67</v>
      </c>
      <c r="B4" s="0" t="s">
        <v>68</v>
      </c>
      <c r="C4" s="0" t="s">
        <v>69</v>
      </c>
      <c r="D4" s="0" t="s">
        <v>70</v>
      </c>
      <c r="E4" s="0" t="s">
        <v>71</v>
      </c>
      <c r="F4" s="0" t="s">
        <v>72</v>
      </c>
      <c r="G4" s="0" t="s">
        <v>73</v>
      </c>
      <c r="H4" s="0" t="s">
        <v>74</v>
      </c>
      <c r="I4" s="0" t="s">
        <v>75</v>
      </c>
      <c r="J4" s="0" t="s">
        <v>76</v>
      </c>
      <c r="K4" s="0" t="s">
        <v>77</v>
      </c>
      <c r="L4" s="0" t="s">
        <v>78</v>
      </c>
      <c r="M4" s="0" t="s">
        <v>79</v>
      </c>
      <c r="N4" s="0" t="s">
        <v>80</v>
      </c>
      <c r="O4" s="0" t="s">
        <v>81</v>
      </c>
      <c r="P4" s="0" t="s">
        <v>82</v>
      </c>
      <c r="Q4" s="0" t="s">
        <v>83</v>
      </c>
      <c r="R4" s="0" t="s">
        <v>84</v>
      </c>
      <c r="S4" s="0" t="s">
        <v>85</v>
      </c>
      <c r="T4" s="0" t="s">
        <v>86</v>
      </c>
      <c r="U4" s="0" t="s">
        <v>87</v>
      </c>
      <c r="V4" s="0" t="s">
        <v>88</v>
      </c>
      <c r="W4" s="0" t="s">
        <v>89</v>
      </c>
      <c r="X4" s="0" t="s">
        <v>90</v>
      </c>
      <c r="Y4" s="0" t="s">
        <v>91</v>
      </c>
      <c r="Z4" s="0" t="s">
        <v>92</v>
      </c>
      <c r="AA4" s="0" t="s">
        <v>93</v>
      </c>
      <c r="AB4" s="0" t="s">
        <v>94</v>
      </c>
      <c r="AC4" s="0" t="s">
        <v>95</v>
      </c>
      <c r="AD4" s="0" t="s">
        <v>96</v>
      </c>
      <c r="AE4" s="0" t="s">
        <v>97</v>
      </c>
      <c r="AF4" s="0" t="s">
        <v>98</v>
      </c>
      <c r="AG4" s="0" t="s">
        <v>99</v>
      </c>
      <c r="AH4" s="0" t="s">
        <v>100</v>
      </c>
      <c r="AI4" s="0" t="s">
        <v>101</v>
      </c>
      <c r="AJ4" s="0" t="s">
        <v>102</v>
      </c>
      <c r="AK4" s="0" t="s">
        <v>103</v>
      </c>
      <c r="AL4" s="0" t="s">
        <v>104</v>
      </c>
      <c r="AM4" s="0" t="s">
        <v>105</v>
      </c>
      <c r="AN4" s="0" t="s">
        <v>106</v>
      </c>
      <c r="AO4" s="0" t="s">
        <v>107</v>
      </c>
      <c r="AP4" s="0" t="s">
        <v>108</v>
      </c>
      <c r="AQ4" s="0" t="s">
        <v>109</v>
      </c>
      <c r="AR4" s="0" t="s">
        <v>110</v>
      </c>
      <c r="AS4" s="0" t="s">
        <v>111</v>
      </c>
      <c r="AT4" s="0" t="s">
        <v>112</v>
      </c>
      <c r="AU4" s="0" t="s">
        <v>113</v>
      </c>
      <c r="AV4" s="0" t="s">
        <v>114</v>
      </c>
      <c r="AW4" s="0" t="s">
        <v>115</v>
      </c>
      <c r="AX4" s="0" t="s">
        <v>116</v>
      </c>
      <c r="AY4" s="0" t="s">
        <v>117</v>
      </c>
      <c r="AZ4" s="0" t="s">
        <v>118</v>
      </c>
      <c r="BA4" s="0" t="s">
        <v>119</v>
      </c>
      <c r="BB4" s="0" t="s">
        <v>120</v>
      </c>
      <c r="BC4" s="0" t="s">
        <v>121</v>
      </c>
      <c r="BD4" s="0" t="s">
        <v>122</v>
      </c>
      <c r="BE4" s="0" t="s">
        <v>123</v>
      </c>
      <c r="BF4" s="0" t="s">
        <v>124</v>
      </c>
      <c r="BG4" s="0" t="s">
        <v>125</v>
      </c>
      <c r="BH4" s="0" t="s">
        <v>126</v>
      </c>
      <c r="BI4" s="0" t="s">
        <v>127</v>
      </c>
      <c r="BJ4" s="0" t="s">
        <v>128</v>
      </c>
      <c r="BK4" s="0" t="s">
        <v>129</v>
      </c>
      <c r="BL4" s="0" t="s">
        <v>130</v>
      </c>
      <c r="BM4" s="0" t="s">
        <v>131</v>
      </c>
      <c r="BN4" s="0" t="s">
        <v>132</v>
      </c>
      <c r="BO4" s="0" t="s">
        <v>133</v>
      </c>
      <c r="BP4" s="0" t="s">
        <v>134</v>
      </c>
      <c r="BQ4" s="0" t="s">
        <v>135</v>
      </c>
      <c r="BR4" s="0" t="s">
        <v>136</v>
      </c>
      <c r="BS4" s="0" t="s">
        <v>137</v>
      </c>
      <c r="BT4" s="0" t="s">
        <v>138</v>
      </c>
      <c r="BU4" s="0" t="s">
        <v>139</v>
      </c>
      <c r="BV4" s="0" t="s">
        <v>140</v>
      </c>
      <c r="BW4" s="0" t="s">
        <v>141</v>
      </c>
      <c r="BX4" s="0" t="s">
        <v>142</v>
      </c>
      <c r="BY4" s="0" t="s">
        <v>143</v>
      </c>
      <c r="BZ4" s="0" t="s">
        <v>144</v>
      </c>
      <c r="CA4" s="0" t="s">
        <v>145</v>
      </c>
      <c r="CB4" s="0" t="s">
        <v>146</v>
      </c>
      <c r="CC4" s="0" t="s">
        <v>147</v>
      </c>
      <c r="CD4" s="0" t="s">
        <v>148</v>
      </c>
    </row>
    <row r="5" customFormat="false" ht="15" hidden="false" customHeight="false" outlineLevel="0" collapsed="false">
      <c r="H5" s="0" t="n">
        <v>0</v>
      </c>
      <c r="O5" s="0" t="n">
        <v>0</v>
      </c>
      <c r="V5" s="0" t="n">
        <v>0</v>
      </c>
      <c r="AC5" s="0" t="n">
        <v>0</v>
      </c>
      <c r="AJ5" s="0" t="n">
        <v>0</v>
      </c>
      <c r="AQ5" s="0" t="n">
        <v>0</v>
      </c>
      <c r="AX5" s="0" t="n">
        <v>0</v>
      </c>
      <c r="BE5" s="0" t="n">
        <v>0</v>
      </c>
      <c r="BL5" s="0" t="n">
        <v>0</v>
      </c>
      <c r="BS5" s="0" t="n">
        <v>0</v>
      </c>
      <c r="BY5" s="0" t="n">
        <v>0</v>
      </c>
      <c r="CA5" s="0" t="n">
        <v>0</v>
      </c>
      <c r="CD5" s="0" t="n">
        <v>0</v>
      </c>
    </row>
    <row r="6" customFormat="false" ht="15" hidden="false" customHeight="false" outlineLevel="0" collapsed="false">
      <c r="A6" s="0" t="n">
        <f aca="false">ROW()-5</f>
        <v>1</v>
      </c>
      <c r="B6" s="0" t="n">
        <f aca="false">Inputs!$D$58-(A6-1)</f>
        <v>36</v>
      </c>
      <c r="C6" s="0" t="n">
        <f aca="false">IF(B6&lt;=0,0,IF(A6=1,Inputs!$B$58,H5))</f>
        <v>39000000</v>
      </c>
      <c r="D6" s="0" t="n">
        <f aca="false">C6*Inputs!$B$9</f>
        <v>98866.8959396308</v>
      </c>
      <c r="E6" s="0" t="n">
        <f aca="false">(C6-D6)*Inputs!$C$58/12</f>
        <v>236648.559716367</v>
      </c>
      <c r="F6" s="0" t="n">
        <f aca="false">IF(B6&lt;=0,0,IF(B6=1,C6-D6,MIN((C6-D6)*(Inputs!$C$58/12)/(1-(1+Inputs!$C$58/12)^(-B6))-E6,C6-D6)))</f>
        <v>969848.549708395</v>
      </c>
      <c r="G6" s="0" t="n">
        <f aca="false">(C6-D6-F6)*Inputs!$B$10</f>
        <v>331580.532586042</v>
      </c>
      <c r="H6" s="0" t="n">
        <f aca="false">C6-D6-F6-G6</f>
        <v>37599704.0217659</v>
      </c>
      <c r="I6" s="0" t="n">
        <f aca="false">Inputs!$D$59-(A6-1)</f>
        <v>48</v>
      </c>
      <c r="J6" s="0" t="n">
        <f aca="false">IF(I6&lt;=0,0,IF(A6=1,Inputs!$B$59,O5))</f>
        <v>75500000</v>
      </c>
      <c r="K6" s="0" t="n">
        <f aca="false">J6*Inputs!$B$9</f>
        <v>191396.17034467</v>
      </c>
      <c r="L6" s="0" t="n">
        <f aca="false">(J6-K6)*Inputs!$C$59/12</f>
        <v>489505.92489276</v>
      </c>
      <c r="M6" s="0" t="n">
        <f aca="false">IF(I6&lt;=0,0,IF(I6=1,J6-K6,MIN((J6-K6)*(Inputs!$C$59/12)/(1-(1+Inputs!$C$59/12)^(-I6))-L6,J6-K6)))</f>
        <v>1341935.36541147</v>
      </c>
      <c r="N6" s="0" t="n">
        <f aca="false">(J6-K6-M6)*Inputs!$B$10</f>
        <v>646587.839329455</v>
      </c>
      <c r="O6" s="0" t="n">
        <f aca="false">J6-K6-M6-N6</f>
        <v>73320080.6249144</v>
      </c>
      <c r="P6" s="0" t="n">
        <f aca="false">Inputs!$D$60-(A6-1)</f>
        <v>48</v>
      </c>
      <c r="Q6" s="0" t="n">
        <f aca="false">IF(P6&lt;=0,0,IF(A6=1,Inputs!$B$60,V5))</f>
        <v>21600000</v>
      </c>
      <c r="R6" s="0" t="n">
        <f aca="false">Q6*Inputs!$B$9</f>
        <v>54757.0500588725</v>
      </c>
      <c r="S6" s="0" t="n">
        <f aca="false">(Q6-R6)*Inputs!$C$60/12</f>
        <v>149021.263737093</v>
      </c>
      <c r="T6" s="0" t="n">
        <f aca="false">IF(P6&lt;=0,0,IF(P6=1,Q6-R6,MIN((Q6-R6)*(Inputs!$C$60/12)/(1-(1+Inputs!$C$60/12)^(-P6))-S6,Q6-R6)))</f>
        <v>380000.369739629</v>
      </c>
      <c r="U6" s="0" t="n">
        <f aca="false">(Q6-R6-T6)*Inputs!$B$10</f>
        <v>185018.316397903</v>
      </c>
      <c r="V6" s="0" t="n">
        <f aca="false">Q6-R6-T6-U6</f>
        <v>20980224.2638036</v>
      </c>
      <c r="W6" s="0" t="n">
        <f aca="false">Inputs!$D$61-(A6-1)</f>
        <v>60</v>
      </c>
      <c r="X6" s="0" t="n">
        <f aca="false">IF(W6&lt;=0,0,IF(A6=1,Inputs!$B$61,AC5))</f>
        <v>67200000</v>
      </c>
      <c r="Y6" s="0" t="n">
        <f aca="false">X6*Inputs!$B$9</f>
        <v>170355.266849825</v>
      </c>
      <c r="Z6" s="0" t="n">
        <f aca="false">(X6-Y6)*Inputs!$C$61/12</f>
        <v>491550.728043101</v>
      </c>
      <c r="AA6" s="0" t="n">
        <f aca="false">IF(W6&lt;=0,0,IF(W6=1,X6-Y6,MIN((X6-Y6)*(Inputs!$C$61/12)/(1-(1+Inputs!$C$61/12)^(-W6))-Z6,X6-Y6)))</f>
        <v>893377.151416507</v>
      </c>
      <c r="AB6" s="0" t="n">
        <f aca="false">(X6-Y6-AA6)*Inputs!$B$10</f>
        <v>578137.521195237</v>
      </c>
      <c r="AC6" s="0" t="n">
        <f aca="false">X6-Y6-AA6-AB6</f>
        <v>65558130.0605384</v>
      </c>
      <c r="AD6" s="0" t="n">
        <f aca="false">Inputs!$D$62-(A6-1)</f>
        <v>60</v>
      </c>
      <c r="AE6" s="0" t="n">
        <f aca="false">IF(AD6&lt;=0,0,IF(A6=1,Inputs!$B$62,AJ5))</f>
        <v>19000000</v>
      </c>
      <c r="AF6" s="0" t="n">
        <f aca="false">AE6*Inputs!$B$9</f>
        <v>48165.9236628971</v>
      </c>
      <c r="AG6" s="0" t="n">
        <f aca="false">(AE6-AF6)*Inputs!$C$62/12</f>
        <v>146876.714091613</v>
      </c>
      <c r="AH6" s="0" t="n">
        <f aca="false">IF(AD6&lt;=0,0,IF(AD6=1,AE6-AF6,MIN((AE6-AF6)*(Inputs!$C$62/12)/(1-(1+Inputs!$C$62/12)^(-AD6))-AG6,AE6-AF6)))</f>
        <v>249297.302154241</v>
      </c>
      <c r="AI6" s="0" t="n">
        <f aca="false">(AE6-AF6-AH6)*Inputs!$B$10</f>
        <v>163490.300345815</v>
      </c>
      <c r="AJ6" s="0" t="n">
        <f aca="false">AE6-AF6-AH6-AI6</f>
        <v>18539046.473837</v>
      </c>
      <c r="AK6" s="0" t="n">
        <f aca="false">Inputs!$D$63-(A6-1)</f>
        <v>60</v>
      </c>
      <c r="AL6" s="0" t="n">
        <f aca="false">IF(AK6&lt;=0,0,IF(A6=1,Inputs!$B$63,AQ5))</f>
        <v>22700000</v>
      </c>
      <c r="AM6" s="0" t="n">
        <f aca="false">AL6*Inputs!$B$9</f>
        <v>57545.6035340928</v>
      </c>
      <c r="AN6" s="0" t="n">
        <f aca="false">(AL6-AM6)*Inputs!$C$63/12</f>
        <v>180196.199571875</v>
      </c>
      <c r="AO6" s="0" t="n">
        <f aca="false">IF(AK6&lt;=0,0,IF(AK6=1,AL6-AM6,MIN((AL6-AM6)*(Inputs!$C$63/12)/(1-(1+Inputs!$C$63/12)^(-AK6))-AN6,AL6-AM6)))</f>
        <v>295890.935590819</v>
      </c>
      <c r="AP6" s="0" t="n">
        <f aca="false">(AL6-AM6-AO6)*Inputs!$B$10</f>
        <v>195344.963949411</v>
      </c>
      <c r="AQ6" s="0" t="n">
        <f aca="false">AL6-AM6-AO6-AP6</f>
        <v>22151218.4969257</v>
      </c>
      <c r="AR6" s="0" t="n">
        <f aca="false">Inputs!$D$64-(A6-1)</f>
        <v>72</v>
      </c>
      <c r="AS6" s="0" t="n">
        <f aca="false">IF(AR6&lt;=0,0,IF(A6=1,Inputs!$B$64,AX5))</f>
        <v>35200000</v>
      </c>
      <c r="AT6" s="0" t="n">
        <f aca="false">AS6*Inputs!$B$9</f>
        <v>89233.7112070514</v>
      </c>
      <c r="AU6" s="0" t="n">
        <f aca="false">(AS6-AT6)*Inputs!$C$64/12</f>
        <v>286737.924691809</v>
      </c>
      <c r="AV6" s="0" t="n">
        <f aca="false">IF(AR6&lt;=0,0,IF(AR6=1,AS6-AT6,MIN((AS6-AT6)*(Inputs!$C$64/12)/(1-(1+Inputs!$C$64/12)^(-AR6))-AU6,AS6-AT6)))</f>
        <v>360182.870335032</v>
      </c>
      <c r="AW6" s="0" t="n">
        <f aca="false">(AS6-AT6-AV6)*Inputs!$B$10</f>
        <v>303776.080692894</v>
      </c>
      <c r="AX6" s="0" t="n">
        <f aca="false">AS6-AT6-AV6-AW6</f>
        <v>34446807.337765</v>
      </c>
      <c r="AY6" s="0" t="n">
        <f aca="false">Inputs!$D$65-(A6-1)</f>
        <v>72</v>
      </c>
      <c r="AZ6" s="0" t="n">
        <f aca="false">IF(AY6&lt;=0,0,IF(A6=1,Inputs!$B$65,BE5))</f>
        <v>36400000</v>
      </c>
      <c r="BA6" s="0" t="n">
        <f aca="false">AZ6*Inputs!$B$9</f>
        <v>92275.7695436554</v>
      </c>
      <c r="BB6" s="0" t="n">
        <f aca="false">(AZ6-BA6)*Inputs!$C$65/12</f>
        <v>311641.29964475</v>
      </c>
      <c r="BC6" s="0" t="n">
        <f aca="false">IF(AY6&lt;=0,0,IF(AY6=1,AZ6-BA6,MIN((AZ6-BA6)*(Inputs!$C$65/12)/(1-(1+Inputs!$C$65/12)^(-AY6))-BB6,AZ6-BA6)))</f>
        <v>366495.471531336</v>
      </c>
      <c r="BD6" s="0" t="n">
        <f aca="false">(AZ6-BA6-BC6)*Inputs!$B$10</f>
        <v>314184.23904428</v>
      </c>
      <c r="BE6" s="0" t="n">
        <f aca="false">AZ6-BA6-BC6-BD6</f>
        <v>35627044.5198807</v>
      </c>
      <c r="BF6" s="0" t="n">
        <f aca="false">Inputs!$D$66-(A6-1)</f>
        <v>84</v>
      </c>
      <c r="BG6" s="0" t="n">
        <f aca="false">IF(BF6&lt;=0,0,IF(A6=1,Inputs!$B$66,BL5))</f>
        <v>36100000</v>
      </c>
      <c r="BH6" s="0" t="n">
        <f aca="false">BG6*Inputs!$B$9</f>
        <v>91515.2549595044</v>
      </c>
      <c r="BI6" s="0" t="n">
        <f aca="false">(BG6-BH6)*Inputs!$C$66/12</f>
        <v>316574.595050148</v>
      </c>
      <c r="BJ6" s="0" t="n">
        <f aca="false">IF(BF6&lt;=0,0,IF(BF6=1,BG6-BH6,MIN((BG6-BH6)*(Inputs!$C$66/12)/(1-(1+Inputs!$C$66/12)^(-BF6))-BI6,BG6-BH6)))</f>
        <v>291491.58936766</v>
      </c>
      <c r="BK6" s="0" t="n">
        <f aca="false">(BG6-BH6-BJ6)*Inputs!$B$10</f>
        <v>312224.058638458</v>
      </c>
      <c r="BL6" s="0" t="n">
        <f aca="false">BG6-BH6-BJ6-BK6</f>
        <v>35404769.0970344</v>
      </c>
      <c r="BM6" s="0" t="n">
        <f aca="false">Inputs!$D$67-(A6-1)</f>
        <v>84</v>
      </c>
      <c r="BN6" s="0" t="n">
        <f aca="false">IF(BM6&lt;=0,0,IF(A6=1,Inputs!$B$67,BS5))</f>
        <v>47300000</v>
      </c>
      <c r="BO6" s="0" t="n">
        <f aca="false">BN6*Inputs!$B$9</f>
        <v>119907.799434475</v>
      </c>
      <c r="BP6" s="0" t="n">
        <f aca="false">(BN6-BO6)*Inputs!$C$67/12</f>
        <v>434450.015680208</v>
      </c>
      <c r="BQ6" s="0" t="n">
        <f aca="false">IF(BM6&lt;=0,0,IF(BM6=1,BN6-BO6,MIN((BN6-BO6)*(Inputs!$C$67/12)/(1-(1+Inputs!$C$67/12)^(-BM6))-BP6,BN6-BO6)))</f>
        <v>374628.993305409</v>
      </c>
      <c r="BR6" s="0" t="n">
        <f aca="false">(BN6-BO6-BQ6)*Inputs!$B$10</f>
        <v>409155.149912239</v>
      </c>
      <c r="BS6" s="0" t="n">
        <f aca="false">BN6-BO6-BQ6-BR6</f>
        <v>46396308.0573479</v>
      </c>
      <c r="BT6" s="0" t="n">
        <f aca="false">C6+J6+Q6+X6+AE6+AL6+AS6+AZ6+BG6+BN6</f>
        <v>400000000</v>
      </c>
      <c r="BU6" s="0" t="n">
        <f aca="false">D6+K6+R6+Y6+AF6+AM6+AT6+BA6+BH6+BO6</f>
        <v>1014019.44553468</v>
      </c>
      <c r="BV6" s="0" t="n">
        <f aca="false">E6+L6+S6+Z6+AG6+AN6+AU6+BB6+BI6+BP6</f>
        <v>3043203.22511972</v>
      </c>
      <c r="BW6" s="0" t="n">
        <f aca="false">F6+M6+T6+AA6+AH6+AO6+AV6+BC6+BJ6+BQ6</f>
        <v>5523148.5985605</v>
      </c>
      <c r="BX6" s="0" t="n">
        <f aca="false">G6+N6+U6+AB6+AI6+AP6+AW6+BD6+BK6+BR6</f>
        <v>3439499.00209173</v>
      </c>
      <c r="BY6" s="0" t="n">
        <f aca="false">H6+O6+V6+AC6+AJ6+AQ6+AX6+BE6+BL6+BS6</f>
        <v>390023332.953813</v>
      </c>
      <c r="BZ6" s="0" t="n">
        <f aca="false">IF(A6&gt;Inputs!$B$7,(1-Inputs!$B$6)*INDEX($BU$6:$BU$125,A6-Inputs!$B$7),0)</f>
        <v>0</v>
      </c>
      <c r="CA6" s="0" t="n">
        <f aca="false">CA5+(1-Inputs!$B$6)*BU6-BZ6</f>
        <v>608411.667320805</v>
      </c>
      <c r="CB6" s="0" t="n">
        <f aca="false">BY6+CA6</f>
        <v>390631744.621134</v>
      </c>
      <c r="CC6" s="0" t="n">
        <f aca="false">BV6+BW6+BX6+BZ6</f>
        <v>12005850.825772</v>
      </c>
      <c r="CD6" s="0" t="n">
        <f aca="false">CD5+BU6-BZ6</f>
        <v>1014019.44553468</v>
      </c>
    </row>
    <row r="7" customFormat="false" ht="15" hidden="false" customHeight="false" outlineLevel="0" collapsed="false">
      <c r="A7" s="0" t="n">
        <f aca="false">ROW()-5</f>
        <v>2</v>
      </c>
      <c r="B7" s="0" t="n">
        <f aca="false">Inputs!$D$58-(A7-1)</f>
        <v>35</v>
      </c>
      <c r="C7" s="0" t="n">
        <f aca="false">IF(B7&lt;=0,0,IF(A7=1,Inputs!$B$58,H6))</f>
        <v>37599704.0217659</v>
      </c>
      <c r="D7" s="0" t="n">
        <f aca="false">C7*Inputs!$B$9</f>
        <v>95317.0775610475</v>
      </c>
      <c r="E7" s="0" t="n">
        <f aca="false">(C7-D7)*Inputs!$C$58/12</f>
        <v>228151.687243913</v>
      </c>
      <c r="F7" s="0" t="n">
        <f aca="false">IF(B7&lt;=0,0,IF(B7=1,C7-D7,MIN((C7-D7)*(Inputs!$C$58/12)/(1-(1+Inputs!$C$58/12)^(-B7))-E7,C7-D7)))</f>
        <v>964766.901476527</v>
      </c>
      <c r="G7" s="0" t="n">
        <f aca="false">(C7-D7-F7)*Inputs!$B$10</f>
        <v>319415.14284597</v>
      </c>
      <c r="H7" s="0" t="n">
        <f aca="false">C7-D7-F7-G7</f>
        <v>36220204.8998824</v>
      </c>
      <c r="I7" s="0" t="n">
        <f aca="false">Inputs!$D$59-(A7-1)</f>
        <v>47</v>
      </c>
      <c r="J7" s="0" t="n">
        <f aca="false">IF(I7&lt;=0,0,IF(A7=1,Inputs!$B$59,O6))</f>
        <v>73320080.6249144</v>
      </c>
      <c r="K7" s="0" t="n">
        <f aca="false">J7*Inputs!$B$9</f>
        <v>185869.968754583</v>
      </c>
      <c r="L7" s="0" t="n">
        <f aca="false">(J7-K7)*Inputs!$C$59/12</f>
        <v>475372.369265039</v>
      </c>
      <c r="M7" s="0" t="n">
        <f aca="false">IF(I7&lt;=0,0,IF(I7=1,J7-K7,MIN((J7-K7)*(Inputs!$C$59/12)/(1-(1+Inputs!$C$59/12)^(-I7))-L7,J7-K7)))</f>
        <v>1335456.96657624</v>
      </c>
      <c r="N7" s="0" t="n">
        <f aca="false">(J7-K7-M7)*Inputs!$B$10</f>
        <v>627636.771786436</v>
      </c>
      <c r="O7" s="0" t="n">
        <f aca="false">J7-K7-M7-N7</f>
        <v>71171116.9177972</v>
      </c>
      <c r="P7" s="0" t="n">
        <f aca="false">Inputs!$D$60-(A7-1)</f>
        <v>47</v>
      </c>
      <c r="Q7" s="0" t="n">
        <f aca="false">IF(P7&lt;=0,0,IF(A7=1,Inputs!$B$60,V6))</f>
        <v>20980224.2638036</v>
      </c>
      <c r="R7" s="0" t="n">
        <f aca="false">Q7*Inputs!$B$9</f>
        <v>53185.8884379382</v>
      </c>
      <c r="S7" s="0" t="n">
        <f aca="false">(Q7-R7)*Inputs!$C$60/12</f>
        <v>144745.348762946</v>
      </c>
      <c r="T7" s="0" t="n">
        <f aca="false">IF(P7&lt;=0,0,IF(P7=1,Q7-R7,MIN((Q7-R7)*(Inputs!$C$60/12)/(1-(1+Inputs!$C$60/12)^(-P7))-S7,Q7-R7)))</f>
        <v>378322.411184296</v>
      </c>
      <c r="U7" s="0" t="n">
        <f aca="false">(Q7-R7-T7)*Inputs!$B$10</f>
        <v>179628.880577439</v>
      </c>
      <c r="V7" s="0" t="n">
        <f aca="false">Q7-R7-T7-U7</f>
        <v>20369087.0836039</v>
      </c>
      <c r="W7" s="0" t="n">
        <f aca="false">Inputs!$D$61-(A7-1)</f>
        <v>59</v>
      </c>
      <c r="X7" s="0" t="n">
        <f aca="false">IF(W7&lt;=0,0,IF(A7=1,Inputs!$B$61,AC6))</f>
        <v>65558130.0605384</v>
      </c>
      <c r="Y7" s="0" t="n">
        <f aca="false">X7*Inputs!$B$9</f>
        <v>166193.046735693</v>
      </c>
      <c r="Z7" s="0" t="n">
        <f aca="false">(X7-Y7)*Inputs!$C$61/12</f>
        <v>479540.871434553</v>
      </c>
      <c r="AA7" s="0" t="n">
        <f aca="false">IF(W7&lt;=0,0,IF(W7=1,X7-Y7,MIN((X7-Y7)*(Inputs!$C$61/12)/(1-(1+Inputs!$C$61/12)^(-W7))-Z7,X7-Y7)))</f>
        <v>889800.338369293</v>
      </c>
      <c r="AB7" s="0" t="n">
        <f aca="false">(X7-Y7-AA7)*Inputs!$B$10</f>
        <v>563852.584563314</v>
      </c>
      <c r="AC7" s="0" t="n">
        <f aca="false">X7-Y7-AA7-AB7</f>
        <v>63938284.0908701</v>
      </c>
      <c r="AD7" s="0" t="n">
        <f aca="false">Inputs!$D$62-(A7-1)</f>
        <v>59</v>
      </c>
      <c r="AE7" s="0" t="n">
        <f aca="false">IF(AD7&lt;=0,0,IF(A7=1,Inputs!$B$62,AJ6))</f>
        <v>18539046.473837</v>
      </c>
      <c r="AF7" s="0" t="n">
        <f aca="false">AE7*Inputs!$B$9</f>
        <v>46997.3840653545</v>
      </c>
      <c r="AG7" s="0" t="n">
        <f aca="false">(AE7-AF7)*Inputs!$C$62/12</f>
        <v>143313.380445731</v>
      </c>
      <c r="AH7" s="0" t="n">
        <f aca="false">IF(AD7&lt;=0,0,IF(AD7=1,AE7-AF7,MIN((AE7-AF7)*(Inputs!$C$62/12)/(1-(1+Inputs!$C$62/12)^(-AD7))-AG7,AE7-AF7)))</f>
        <v>248401.895667149</v>
      </c>
      <c r="AI7" s="0" t="n">
        <f aca="false">(AE7-AF7-AH7)*Inputs!$B$10</f>
        <v>159478.866165606</v>
      </c>
      <c r="AJ7" s="0" t="n">
        <f aca="false">AE7-AF7-AH7-AI7</f>
        <v>18084168.3279389</v>
      </c>
      <c r="AK7" s="0" t="n">
        <f aca="false">Inputs!$D$63-(A7-1)</f>
        <v>59</v>
      </c>
      <c r="AL7" s="0" t="n">
        <f aca="false">IF(AK7&lt;=0,0,IF(A7=1,Inputs!$B$63,AQ6))</f>
        <v>22151218.4969257</v>
      </c>
      <c r="AM7" s="0" t="n">
        <f aca="false">AL7*Inputs!$B$9</f>
        <v>56154.415745425</v>
      </c>
      <c r="AN7" s="0" t="n">
        <f aca="false">(AL7-AM7)*Inputs!$C$63/12</f>
        <v>175839.884979393</v>
      </c>
      <c r="AO7" s="0" t="n">
        <f aca="false">IF(AK7&lt;=0,0,IF(AK7=1,AL7-AM7,MIN((AL7-AM7)*(Inputs!$C$63/12)/(1-(1+Inputs!$C$63/12)^(-AK7))-AN7,AL7-AM7)))</f>
        <v>294889.127920621</v>
      </c>
      <c r="AP7" s="0" t="n">
        <f aca="false">(AL7-AM7-AO7)*Inputs!$B$10</f>
        <v>190568.648185719</v>
      </c>
      <c r="AQ7" s="0" t="n">
        <f aca="false">AL7-AM7-AO7-AP7</f>
        <v>21609606.3050739</v>
      </c>
      <c r="AR7" s="0" t="n">
        <f aca="false">Inputs!$D$64-(A7-1)</f>
        <v>71</v>
      </c>
      <c r="AS7" s="0" t="n">
        <f aca="false">IF(AR7&lt;=0,0,IF(A7=1,Inputs!$B$64,AX6))</f>
        <v>34446807.337765</v>
      </c>
      <c r="AT7" s="0" t="n">
        <f aca="false">AS7*Inputs!$B$9</f>
        <v>87324.3311927007</v>
      </c>
      <c r="AU7" s="0" t="n">
        <f aca="false">(AS7-AT7)*Inputs!$C$64/12</f>
        <v>280602.444553674</v>
      </c>
      <c r="AV7" s="0" t="n">
        <f aca="false">IF(AR7&lt;=0,0,IF(AR7=1,AS7-AT7,MIN((AS7-AT7)*(Inputs!$C$64/12)/(1-(1+Inputs!$C$64/12)^(-AR7))-AU7,AS7-AT7)))</f>
        <v>359037.58092908</v>
      </c>
      <c r="AW7" s="0" t="n">
        <f aca="false">(AS7-AT7-AV7)*Inputs!$B$10</f>
        <v>297218.666197371</v>
      </c>
      <c r="AX7" s="0" t="n">
        <f aca="false">AS7-AT7-AV7-AW7</f>
        <v>33703226.7594459</v>
      </c>
      <c r="AY7" s="0" t="n">
        <f aca="false">Inputs!$D$65-(A7-1)</f>
        <v>71</v>
      </c>
      <c r="AZ7" s="0" t="n">
        <f aca="false">IF(AY7&lt;=0,0,IF(A7=1,Inputs!$B$65,BE6))</f>
        <v>35627044.5198807</v>
      </c>
      <c r="BA7" s="0" t="n">
        <f aca="false">AZ7*Inputs!$B$9</f>
        <v>90316.2898252216</v>
      </c>
      <c r="BB7" s="0" t="n">
        <f aca="false">(AZ7-BA7)*Inputs!$C$65/12</f>
        <v>305023.583974643</v>
      </c>
      <c r="BC7" s="0" t="n">
        <f aca="false">IF(AY7&lt;=0,0,IF(AY7=1,AZ7-BA7,MIN((AZ7-BA7)*(Inputs!$C$65/12)/(1-(1+Inputs!$C$65/12)^(-AY7))-BB7,AZ7-BA7)))</f>
        <v>365481.097480012</v>
      </c>
      <c r="BD7" s="0" t="n">
        <f aca="false">(AZ7-BA7-BC7)*Inputs!$B$10</f>
        <v>307453.359224468</v>
      </c>
      <c r="BE7" s="0" t="n">
        <f aca="false">AZ7-BA7-BC7-BD7</f>
        <v>34863793.773351</v>
      </c>
      <c r="BF7" s="0" t="n">
        <f aca="false">Inputs!$D$66-(A7-1)</f>
        <v>83</v>
      </c>
      <c r="BG7" s="0" t="n">
        <f aca="false">IF(BF7&lt;=0,0,IF(A7=1,Inputs!$B$66,BL6))</f>
        <v>35404769.0970344</v>
      </c>
      <c r="BH7" s="0" t="n">
        <f aca="false">BG7*Inputs!$B$9</f>
        <v>89752.810822645</v>
      </c>
      <c r="BI7" s="0" t="n">
        <f aca="false">(BG7-BH7)*Inputs!$C$66/12</f>
        <v>310477.851516278</v>
      </c>
      <c r="BJ7" s="0" t="n">
        <f aca="false">IF(BF7&lt;=0,0,IF(BF7=1,BG7-BH7,MIN((BG7-BH7)*(Inputs!$C$66/12)/(1-(1+Inputs!$C$66/12)^(-BF7))-BI7,BG7-BH7)))</f>
        <v>290744.852539897</v>
      </c>
      <c r="BK7" s="0" t="n">
        <f aca="false">(BG7-BH7-BJ7)*Inputs!$B$10</f>
        <v>306168.554844857</v>
      </c>
      <c r="BL7" s="0" t="n">
        <f aca="false">BG7-BH7-BJ7-BK7</f>
        <v>34718102.878827</v>
      </c>
      <c r="BM7" s="0" t="n">
        <f aca="false">Inputs!$D$67-(A7-1)</f>
        <v>83</v>
      </c>
      <c r="BN7" s="0" t="n">
        <f aca="false">IF(BM7&lt;=0,0,IF(A7=1,Inputs!$B$67,BS6))</f>
        <v>46396308.0573479</v>
      </c>
      <c r="BO7" s="0" t="n">
        <f aca="false">BN7*Inputs!$B$9</f>
        <v>117616.89642792</v>
      </c>
      <c r="BP7" s="0" t="n">
        <f aca="false">(BN7-BO7)*Inputs!$C$67/12</f>
        <v>426149.614440138</v>
      </c>
      <c r="BQ7" s="0" t="n">
        <f aca="false">IF(BM7&lt;=0,0,IF(BM7=1,BN7-BO7,MIN((BN7-BO7)*(Inputs!$C$67/12)/(1-(1+Inputs!$C$67/12)^(-BM7))-BP7,BN7-BO7)))</f>
        <v>373823.615518638</v>
      </c>
      <c r="BR7" s="0" t="n">
        <f aca="false">(BN7-BO7-BQ7)*Inputs!$B$10</f>
        <v>401282.493008782</v>
      </c>
      <c r="BS7" s="0" t="n">
        <f aca="false">BN7-BO7-BQ7-BR7</f>
        <v>45503585.0523925</v>
      </c>
      <c r="BT7" s="0" t="n">
        <f aca="false">C7+J7+Q7+X7+AE7+AL7+AS7+AZ7+BG7+BN7</f>
        <v>390023332.953813</v>
      </c>
      <c r="BU7" s="0" t="n">
        <f aca="false">D7+K7+R7+Y7+AF7+AM7+AT7+BA7+BH7+BO7</f>
        <v>988728.109568529</v>
      </c>
      <c r="BV7" s="0" t="n">
        <f aca="false">E7+L7+S7+Z7+AG7+AN7+AU7+BB7+BI7+BP7</f>
        <v>2969217.03661631</v>
      </c>
      <c r="BW7" s="0" t="n">
        <f aca="false">F7+M7+T7+AA7+AH7+AO7+AV7+BC7+BJ7+BQ7</f>
        <v>5500724.78766175</v>
      </c>
      <c r="BX7" s="0" t="n">
        <f aca="false">G7+N7+U7+AB7+AI7+AP7+AW7+BD7+BK7+BR7</f>
        <v>3352703.96739996</v>
      </c>
      <c r="BY7" s="0" t="n">
        <f aca="false">H7+O7+V7+AC7+AJ7+AQ7+AX7+BE7+BL7+BS7</f>
        <v>380181176.089183</v>
      </c>
      <c r="BZ7" s="0" t="n">
        <f aca="false">IF(A7&gt;Inputs!$B$7,(1-Inputs!$B$6)*INDEX($BU$6:$BU$125,A7-Inputs!$B$7),0)</f>
        <v>0</v>
      </c>
      <c r="CA7" s="0" t="n">
        <f aca="false">CA6+(1-Inputs!$B$6)*BU7-BZ7</f>
        <v>1201648.53306192</v>
      </c>
      <c r="CB7" s="0" t="n">
        <f aca="false">BY7+CA7</f>
        <v>381382824.622245</v>
      </c>
      <c r="CC7" s="0" t="n">
        <f aca="false">BV7+BW7+BX7+BZ7</f>
        <v>11822645.791678</v>
      </c>
      <c r="CD7" s="0" t="n">
        <f aca="false">CD6+BU7-BZ7</f>
        <v>2002747.5551032</v>
      </c>
    </row>
    <row r="8" customFormat="false" ht="15" hidden="false" customHeight="false" outlineLevel="0" collapsed="false">
      <c r="A8" s="0" t="n">
        <f aca="false">ROW()-5</f>
        <v>3</v>
      </c>
      <c r="B8" s="0" t="n">
        <f aca="false">Inputs!$D$58-(A8-1)</f>
        <v>34</v>
      </c>
      <c r="C8" s="0" t="n">
        <f aca="false">IF(B8&lt;=0,0,IF(A8=1,Inputs!$B$58,H7))</f>
        <v>36220204.8998824</v>
      </c>
      <c r="D8" s="0" t="n">
        <f aca="false">C8*Inputs!$B$9</f>
        <v>91819.9802243277</v>
      </c>
      <c r="E8" s="0" t="n">
        <f aca="false">(C8-D8)*Inputs!$C$58/12</f>
        <v>219781.008261253</v>
      </c>
      <c r="F8" s="0" t="n">
        <f aca="false">IF(B8&lt;=0,0,IF(B8=1,C8-D8,MIN((C8-D8)*(Inputs!$C$58/12)/(1-(1+Inputs!$C$58/12)^(-B8))-E8,C8-D8)))</f>
        <v>959711.879204724</v>
      </c>
      <c r="G8" s="0" t="n">
        <f aca="false">(C8-D8-F8)*Inputs!$B$10</f>
        <v>307430.857512574</v>
      </c>
      <c r="H8" s="0" t="n">
        <f aca="false">C8-D8-F8-G8</f>
        <v>34861242.1829408</v>
      </c>
      <c r="I8" s="0" t="n">
        <f aca="false">Inputs!$D$59-(A8-1)</f>
        <v>46</v>
      </c>
      <c r="J8" s="0" t="n">
        <f aca="false">IF(I8&lt;=0,0,IF(A8=1,Inputs!$B$59,O7))</f>
        <v>71171116.9177972</v>
      </c>
      <c r="K8" s="0" t="n">
        <f aca="false">J8*Inputs!$B$9</f>
        <v>180422.241287671</v>
      </c>
      <c r="L8" s="0" t="n">
        <f aca="false">(J8-K8)*Inputs!$C$59/12</f>
        <v>461439.515397312</v>
      </c>
      <c r="M8" s="0" t="n">
        <f aca="false">IF(I8&lt;=0,0,IF(I8=1,J8-K8,MIN((J8-K8)*(Inputs!$C$59/12)/(1-(1+Inputs!$C$59/12)^(-I8))-L8,J8-K8)))</f>
        <v>1329009.8432052</v>
      </c>
      <c r="N8" s="0" t="n">
        <f aca="false">(J8-K8-M8)*Inputs!$B$10</f>
        <v>608955.347261443</v>
      </c>
      <c r="O8" s="0" t="n">
        <f aca="false">J8-K8-M8-N8</f>
        <v>69052729.4860428</v>
      </c>
      <c r="P8" s="0" t="n">
        <f aca="false">Inputs!$D$60-(A8-1)</f>
        <v>46</v>
      </c>
      <c r="Q8" s="0" t="n">
        <f aca="false">IF(P8&lt;=0,0,IF(A8=1,Inputs!$B$60,V7))</f>
        <v>20369087.0836039</v>
      </c>
      <c r="R8" s="0" t="n">
        <f aca="false">Q8*Inputs!$B$9</f>
        <v>51636.6259764089</v>
      </c>
      <c r="S8" s="0" t="n">
        <f aca="false">(Q8-R8)*Inputs!$C$60/12</f>
        <v>140529.032331924</v>
      </c>
      <c r="T8" s="0" t="n">
        <f aca="false">IF(P8&lt;=0,0,IF(P8=1,Q8-R8,MIN((Q8-R8)*(Inputs!$C$60/12)/(1-(1+Inputs!$C$60/12)^(-P8))-S8,Q8-R8)))</f>
        <v>376651.861950474</v>
      </c>
      <c r="U8" s="0" t="n">
        <f aca="false">(Q8-R8-T8)*Inputs!$B$10</f>
        <v>174314.703449371</v>
      </c>
      <c r="V8" s="0" t="n">
        <f aca="false">Q8-R8-T8-U8</f>
        <v>19766483.8922277</v>
      </c>
      <c r="W8" s="0" t="n">
        <f aca="false">Inputs!$D$61-(A8-1)</f>
        <v>58</v>
      </c>
      <c r="X8" s="0" t="n">
        <f aca="false">IF(W8&lt;=0,0,IF(A8=1,Inputs!$B$61,AC7))</f>
        <v>63938284.0908701</v>
      </c>
      <c r="Y8" s="0" t="n">
        <f aca="false">X8*Inputs!$B$9</f>
        <v>162086.658455657</v>
      </c>
      <c r="Z8" s="0" t="n">
        <f aca="false">(X8-Y8)*Inputs!$C$61/12</f>
        <v>467692.114504373</v>
      </c>
      <c r="AA8" s="0" t="n">
        <f aca="false">IF(W8&lt;=0,0,IF(W8=1,X8-Y8,MIN((X8-Y8)*(Inputs!$C$61/12)/(1-(1+Inputs!$C$61/12)^(-W8))-Z8,X8-Y8)))</f>
        <v>886237.845804257</v>
      </c>
      <c r="AB8" s="0" t="n">
        <f aca="false">(X8-Y8-AA8)*Inputs!$B$10</f>
        <v>549759.559662746</v>
      </c>
      <c r="AC8" s="0" t="n">
        <f aca="false">X8-Y8-AA8-AB8</f>
        <v>62340200.0269475</v>
      </c>
      <c r="AD8" s="0" t="n">
        <f aca="false">Inputs!$D$62-(A8-1)</f>
        <v>58</v>
      </c>
      <c r="AE8" s="0" t="n">
        <f aca="false">IF(AD8&lt;=0,0,IF(A8=1,Inputs!$B$62,AJ7))</f>
        <v>18084168.3279389</v>
      </c>
      <c r="AF8" s="0" t="n">
        <f aca="false">AE8*Inputs!$B$9</f>
        <v>45844.2458521309</v>
      </c>
      <c r="AG8" s="0" t="n">
        <f aca="false">(AE8-AF8)*Inputs!$C$62/12</f>
        <v>139797.011636173</v>
      </c>
      <c r="AH8" s="0" t="n">
        <f aca="false">IF(AD8&lt;=0,0,IF(AD8=1,AE8-AF8,MIN((AE8-AF8)*(Inputs!$C$62/12)/(1-(1+Inputs!$C$62/12)^(-AD8))-AG8,AE8-AF8)))</f>
        <v>247509.705230814</v>
      </c>
      <c r="AI8" s="0" t="n">
        <f aca="false">(AE8-AF8-AH8)*Inputs!$B$10</f>
        <v>155520.3778497</v>
      </c>
      <c r="AJ8" s="0" t="n">
        <f aca="false">AE8-AF8-AH8-AI8</f>
        <v>17635293.9990063</v>
      </c>
      <c r="AK8" s="0" t="n">
        <f aca="false">Inputs!$D$63-(A8-1)</f>
        <v>58</v>
      </c>
      <c r="AL8" s="0" t="n">
        <f aca="false">IF(AK8&lt;=0,0,IF(A8=1,Inputs!$B$63,AQ7))</f>
        <v>21609606.3050739</v>
      </c>
      <c r="AM8" s="0" t="n">
        <f aca="false">AL8*Inputs!$B$9</f>
        <v>54781.4025092342</v>
      </c>
      <c r="AN8" s="0" t="n">
        <f aca="false">(AL8-AM8)*Inputs!$C$63/12</f>
        <v>171540.481516244</v>
      </c>
      <c r="AO8" s="0" t="n">
        <f aca="false">IF(AK8&lt;=0,0,IF(AK8=1,AL8-AM8,MIN((AL8-AM8)*(Inputs!$C$63/12)/(1-(1+Inputs!$C$63/12)^(-AK8))-AN8,AL8-AM8)))</f>
        <v>293890.712103593</v>
      </c>
      <c r="AP8" s="0" t="n">
        <f aca="false">(AL8-AM8-AO8)*Inputs!$B$10</f>
        <v>185854.815226421</v>
      </c>
      <c r="AQ8" s="0" t="n">
        <f aca="false">AL8-AM8-AO8-AP8</f>
        <v>21075079.3752347</v>
      </c>
      <c r="AR8" s="0" t="n">
        <f aca="false">Inputs!$D$64-(A8-1)</f>
        <v>70</v>
      </c>
      <c r="AS8" s="0" t="n">
        <f aca="false">IF(AR8&lt;=0,0,IF(A8=1,Inputs!$B$64,AX7))</f>
        <v>33703226.7594459</v>
      </c>
      <c r="AT8" s="0" t="n">
        <f aca="false">AS8*Inputs!$B$9</f>
        <v>85439.3182783568</v>
      </c>
      <c r="AU8" s="0" t="n">
        <f aca="false">(AS8-AT8)*Inputs!$C$64/12</f>
        <v>274545.264102868</v>
      </c>
      <c r="AV8" s="0" t="n">
        <f aca="false">IF(AR8&lt;=0,0,IF(AR8=1,AS8-AT8,MIN((AS8-AT8)*(Inputs!$C$64/12)/(1-(1+Inputs!$C$64/12)^(-AR8))-AU8,AS8-AT8)))</f>
        <v>357895.933250516</v>
      </c>
      <c r="AW8" s="0" t="n">
        <f aca="false">(AS8-AT8-AV8)*Inputs!$B$10</f>
        <v>290745.031957632</v>
      </c>
      <c r="AX8" s="0" t="n">
        <f aca="false">AS8-AT8-AV8-AW8</f>
        <v>32969146.4759594</v>
      </c>
      <c r="AY8" s="0" t="n">
        <f aca="false">Inputs!$D$65-(A8-1)</f>
        <v>70</v>
      </c>
      <c r="AZ8" s="0" t="n">
        <f aca="false">IF(AY8&lt;=0,0,IF(A8=1,Inputs!$B$65,BE7))</f>
        <v>34863793.773351</v>
      </c>
      <c r="BA8" s="0" t="n">
        <f aca="false">AZ8*Inputs!$B$9</f>
        <v>88381.4120782217</v>
      </c>
      <c r="BB8" s="0" t="n">
        <f aca="false">(AZ8-BA8)*Inputs!$C$65/12</f>
        <v>298488.956100925</v>
      </c>
      <c r="BC8" s="0" t="n">
        <f aca="false">IF(AY8&lt;=0,0,IF(AY8=1,AZ8-BA8,MIN((AZ8-BA8)*(Inputs!$C$65/12)/(1-(1+Inputs!$C$65/12)^(-AY8))-BB8,AZ8-BA8)))</f>
        <v>364469.530979657</v>
      </c>
      <c r="BD8" s="0" t="n">
        <f aca="false">(AZ8-BA8-BC8)*Inputs!$B$10</f>
        <v>300807.074806733</v>
      </c>
      <c r="BE8" s="0" t="n">
        <f aca="false">AZ8-BA8-BC8-BD8</f>
        <v>34110135.7554864</v>
      </c>
      <c r="BF8" s="0" t="n">
        <f aca="false">Inputs!$D$66-(A8-1)</f>
        <v>82</v>
      </c>
      <c r="BG8" s="0" t="n">
        <f aca="false">IF(BF8&lt;=0,0,IF(A8=1,Inputs!$B$66,BL7))</f>
        <v>34718102.878827</v>
      </c>
      <c r="BH8" s="0" t="n">
        <f aca="false">BG8*Inputs!$B$9</f>
        <v>88012.0785780099</v>
      </c>
      <c r="BI8" s="0" t="n">
        <f aca="false">(BG8-BH8)*Inputs!$C$66/12</f>
        <v>304456.214952189</v>
      </c>
      <c r="BJ8" s="0" t="n">
        <f aca="false">IF(BF8&lt;=0,0,IF(BF8=1,BG8-BH8,MIN((BG8-BH8)*(Inputs!$C$66/12)/(1-(1+Inputs!$C$66/12)^(-BF8))-BI8,BG8-BH8)))</f>
        <v>290000.028686333</v>
      </c>
      <c r="BK8" s="0" t="n">
        <f aca="false">(BG8-BH8-BJ8)*Inputs!$B$10</f>
        <v>300187.713673972</v>
      </c>
      <c r="BL8" s="0" t="n">
        <f aca="false">BG8-BH8-BJ8-BK8</f>
        <v>34039903.0578887</v>
      </c>
      <c r="BM8" s="0" t="n">
        <f aca="false">Inputs!$D$67-(A8-1)</f>
        <v>82</v>
      </c>
      <c r="BN8" s="0" t="n">
        <f aca="false">IF(BM8&lt;=0,0,IF(A8=1,Inputs!$B$67,BS7))</f>
        <v>45503585.0523925</v>
      </c>
      <c r="BO8" s="0" t="n">
        <f aca="false">BN8*Inputs!$B$9</f>
        <v>115353.800211668</v>
      </c>
      <c r="BP8" s="0" t="n">
        <f aca="false">(BN8-BO8)*Inputs!$C$67/12</f>
        <v>417949.962780499</v>
      </c>
      <c r="BQ8" s="0" t="n">
        <f aca="false">IF(BM8&lt;=0,0,IF(BM8=1,BN8-BO8,MIN((BN8-BO8)*(Inputs!$C$67/12)/(1-(1+Inputs!$C$67/12)^(-BM8))-BP8,BN8-BO8)))</f>
        <v>373019.969133844</v>
      </c>
      <c r="BR8" s="0" t="n">
        <f aca="false">(BN8-BO8-BQ8)*Inputs!$B$10</f>
        <v>393505.464079871</v>
      </c>
      <c r="BS8" s="0" t="n">
        <f aca="false">BN8-BO8-BQ8-BR8</f>
        <v>44621705.8189672</v>
      </c>
      <c r="BT8" s="0" t="n">
        <f aca="false">C8+J8+Q8+X8+AE8+AL8+AS8+AZ8+BG8+BN8</f>
        <v>380181176.089183</v>
      </c>
      <c r="BU8" s="0" t="n">
        <f aca="false">D8+K8+R8+Y8+AF8+AM8+AT8+BA8+BH8+BO8</f>
        <v>963777.763451685</v>
      </c>
      <c r="BV8" s="0" t="n">
        <f aca="false">E8+L8+S8+Z8+AG8+AN8+AU8+BB8+BI8+BP8</f>
        <v>2896219.56158376</v>
      </c>
      <c r="BW8" s="0" t="n">
        <f aca="false">F8+M8+T8+AA8+AH8+AO8+AV8+BC8+BJ8+BQ8</f>
        <v>5478397.30954941</v>
      </c>
      <c r="BX8" s="0" t="n">
        <f aca="false">G8+N8+U8+AB8+AI8+AP8+AW8+BD8+BK8+BR8</f>
        <v>3267080.94548046</v>
      </c>
      <c r="BY8" s="0" t="n">
        <f aca="false">H8+O8+V8+AC8+AJ8+AQ8+AX8+BE8+BL8+BS8</f>
        <v>370471920.070701</v>
      </c>
      <c r="BZ8" s="0" t="n">
        <f aca="false">IF(A8&gt;Inputs!$B$7,(1-Inputs!$B$6)*INDEX($BU$6:$BU$125,A8-Inputs!$B$7),0)</f>
        <v>0</v>
      </c>
      <c r="CA8" s="0" t="n">
        <f aca="false">CA7+(1-Inputs!$B$6)*BU8-BZ8</f>
        <v>1779915.19113293</v>
      </c>
      <c r="CB8" s="0" t="n">
        <f aca="false">BY8+CA8</f>
        <v>372251835.261834</v>
      </c>
      <c r="CC8" s="0" t="n">
        <f aca="false">BV8+BW8+BX8+BZ8</f>
        <v>11641697.8166136</v>
      </c>
      <c r="CD8" s="0" t="n">
        <f aca="false">CD7+BU8-BZ8</f>
        <v>2966525.31855489</v>
      </c>
    </row>
    <row r="9" customFormat="false" ht="15" hidden="false" customHeight="false" outlineLevel="0" collapsed="false">
      <c r="A9" s="0" t="n">
        <f aca="false">ROW()-5</f>
        <v>4</v>
      </c>
      <c r="B9" s="0" t="n">
        <f aca="false">Inputs!$D$58-(A9-1)</f>
        <v>33</v>
      </c>
      <c r="C9" s="0" t="n">
        <f aca="false">IF(B9&lt;=0,0,IF(A9=1,Inputs!$B$58,H8))</f>
        <v>34861242.1829408</v>
      </c>
      <c r="D9" s="0" t="n">
        <f aca="false">C9*Inputs!$B$9</f>
        <v>88374.943672489</v>
      </c>
      <c r="E9" s="0" t="n">
        <f aca="false">(C9-D9)*Inputs!$C$58/12</f>
        <v>211534.942372215</v>
      </c>
      <c r="F9" s="0" t="n">
        <f aca="false">IF(B9&lt;=0,0,IF(B9=1,C9-D9,MIN((C9-D9)*(Inputs!$C$58/12)/(1-(1+Inputs!$C$58/12)^(-B9))-E9,C9-D9)))</f>
        <v>954683.343382787</v>
      </c>
      <c r="G9" s="0" t="n">
        <f aca="false">(C9-D9-F9)*Inputs!$B$10</f>
        <v>295625.406812221</v>
      </c>
      <c r="H9" s="0" t="n">
        <f aca="false">C9-D9-F9-G9</f>
        <v>33522558.4890733</v>
      </c>
      <c r="I9" s="0" t="n">
        <f aca="false">Inputs!$D$59-(A9-1)</f>
        <v>45</v>
      </c>
      <c r="J9" s="0" t="n">
        <f aca="false">IF(I9&lt;=0,0,IF(A9=1,Inputs!$B$59,O8))</f>
        <v>69052729.4860428</v>
      </c>
      <c r="K9" s="0" t="n">
        <f aca="false">J9*Inputs!$B$9</f>
        <v>175052.026165233</v>
      </c>
      <c r="L9" s="0" t="n">
        <f aca="false">(J9-K9)*Inputs!$C$59/12</f>
        <v>447704.903489204</v>
      </c>
      <c r="M9" s="0" t="n">
        <f aca="false">IF(I9&lt;=0,0,IF(I9=1,J9-K9,MIN((J9-K9)*(Inputs!$C$59/12)/(1-(1+Inputs!$C$59/12)^(-I9))-L9,J9-K9)))</f>
        <v>1322593.84431125</v>
      </c>
      <c r="N9" s="0" t="n">
        <f aca="false">(J9-K9-M9)*Inputs!$B$10</f>
        <v>590540.258979288</v>
      </c>
      <c r="O9" s="0" t="n">
        <f aca="false">J9-K9-M9-N9</f>
        <v>66964543.3565871</v>
      </c>
      <c r="P9" s="0" t="n">
        <f aca="false">Inputs!$D$60-(A9-1)</f>
        <v>45</v>
      </c>
      <c r="Q9" s="0" t="n">
        <f aca="false">IF(P9&lt;=0,0,IF(A9=1,Inputs!$B$60,V8))</f>
        <v>19766483.8922277</v>
      </c>
      <c r="R9" s="0" t="n">
        <f aca="false">Q9*Inputs!$B$9</f>
        <v>50108.997591417</v>
      </c>
      <c r="S9" s="0" t="n">
        <f aca="false">(Q9-R9)*Inputs!$C$60/12</f>
        <v>136371.593021234</v>
      </c>
      <c r="T9" s="0" t="n">
        <f aca="false">IF(P9&lt;=0,0,IF(P9=1,Q9-R9,MIN((Q9-R9)*(Inputs!$C$60/12)/(1-(1+Inputs!$C$60/12)^(-P9))-S9,Q9-R9)))</f>
        <v>374988.689320997</v>
      </c>
      <c r="U9" s="0" t="n">
        <f aca="false">(Q9-R9-T9)*Inputs!$B$10</f>
        <v>169074.873531404</v>
      </c>
      <c r="V9" s="0" t="n">
        <f aca="false">Q9-R9-T9-U9</f>
        <v>19172311.3317839</v>
      </c>
      <c r="W9" s="0" t="n">
        <f aca="false">Inputs!$D$61-(A9-1)</f>
        <v>57</v>
      </c>
      <c r="X9" s="0" t="n">
        <f aca="false">IF(W9&lt;=0,0,IF(A9=1,Inputs!$B$61,AC8))</f>
        <v>62340200.0269475</v>
      </c>
      <c r="Y9" s="0" t="n">
        <f aca="false">X9*Inputs!$B$9</f>
        <v>158035.437664615</v>
      </c>
      <c r="Z9" s="0" t="n">
        <f aca="false">(X9-Y9)*Inputs!$C$61/12</f>
        <v>456002.540321408</v>
      </c>
      <c r="AA9" s="0" t="n">
        <f aca="false">IF(W9&lt;=0,0,IF(W9=1,X9-Y9,MIN((X9-Y9)*(Inputs!$C$61/12)/(1-(1+Inputs!$C$61/12)^(-W9))-Z9,X9-Y9)))</f>
        <v>882689.6163865</v>
      </c>
      <c r="AB9" s="0" t="n">
        <f aca="false">(X9-Y9-AA9)*Inputs!$B$10</f>
        <v>535856.161940228</v>
      </c>
      <c r="AC9" s="0" t="n">
        <f aca="false">X9-Y9-AA9-AB9</f>
        <v>60763618.8109561</v>
      </c>
      <c r="AD9" s="0" t="n">
        <f aca="false">Inputs!$D$62-(A9-1)</f>
        <v>57</v>
      </c>
      <c r="AE9" s="0" t="n">
        <f aca="false">IF(AD9&lt;=0,0,IF(A9=1,Inputs!$B$62,AJ8))</f>
        <v>17635293.9990063</v>
      </c>
      <c r="AF9" s="0" t="n">
        <f aca="false">AE9*Inputs!$B$9</f>
        <v>44706.3276067833</v>
      </c>
      <c r="AG9" s="0" t="n">
        <f aca="false">(AE9-AF9)*Inputs!$C$62/12</f>
        <v>136327.054453346</v>
      </c>
      <c r="AH9" s="0" t="n">
        <f aca="false">IF(AD9&lt;=0,0,IF(AD9=1,AE9-AF9,MIN((AE9-AF9)*(Inputs!$C$62/12)/(1-(1+Inputs!$C$62/12)^(-AD9))-AG9,AE9-AF9)))</f>
        <v>246620.719294076</v>
      </c>
      <c r="AI9" s="0" t="n">
        <f aca="false">(AE9-AF9-AH9)*Inputs!$B$10</f>
        <v>151614.211506423</v>
      </c>
      <c r="AJ9" s="0" t="n">
        <f aca="false">AE9-AF9-AH9-AI9</f>
        <v>17192352.740599</v>
      </c>
      <c r="AK9" s="0" t="n">
        <f aca="false">Inputs!$D$63-(A9-1)</f>
        <v>57</v>
      </c>
      <c r="AL9" s="0" t="n">
        <f aca="false">IF(AK9&lt;=0,0,IF(A9=1,Inputs!$B$63,AQ8))</f>
        <v>21075079.3752347</v>
      </c>
      <c r="AM9" s="0" t="n">
        <f aca="false">AL9*Inputs!$B$9</f>
        <v>53426.3507566868</v>
      </c>
      <c r="AN9" s="0" t="n">
        <f aca="false">(AL9-AM9)*Inputs!$C$63/12</f>
        <v>167297.321986471</v>
      </c>
      <c r="AO9" s="0" t="n">
        <f aca="false">IF(AK9&lt;=0,0,IF(AK9=1,AL9-AM9,MIN((AL9-AM9)*(Inputs!$C$63/12)/(1-(1+Inputs!$C$63/12)^(-AK9))-AN9,AL9-AM9)))</f>
        <v>292895.676655827</v>
      </c>
      <c r="AP9" s="0" t="n">
        <f aca="false">(AL9-AM9-AO9)*Inputs!$B$10</f>
        <v>181202.732308972</v>
      </c>
      <c r="AQ9" s="0" t="n">
        <f aca="false">AL9-AM9-AO9-AP9</f>
        <v>20547554.6155132</v>
      </c>
      <c r="AR9" s="0" t="n">
        <f aca="false">Inputs!$D$64-(A9-1)</f>
        <v>69</v>
      </c>
      <c r="AS9" s="0" t="n">
        <f aca="false">IF(AR9&lt;=0,0,IF(A9=1,Inputs!$B$64,AX8))</f>
        <v>32969146.4759594</v>
      </c>
      <c r="AT9" s="0" t="n">
        <f aca="false">AS9*Inputs!$B$9</f>
        <v>83578.3890732595</v>
      </c>
      <c r="AU9" s="0" t="n">
        <f aca="false">(AS9-AT9)*Inputs!$C$64/12</f>
        <v>268565.47270957</v>
      </c>
      <c r="AV9" s="0" t="n">
        <f aca="false">IF(AR9&lt;=0,0,IF(AR9=1,AS9-AT9,MIN((AS9-AT9)*(Inputs!$C$64/12)/(1-(1+Inputs!$C$64/12)^(-AR9))-AU9,AS9-AT9)))</f>
        <v>356757.915719577</v>
      </c>
      <c r="AW9" s="0" t="n">
        <f aca="false">(AS9-AT9-AV9)*Inputs!$B$10</f>
        <v>284354.203335519</v>
      </c>
      <c r="AX9" s="0" t="n">
        <f aca="false">AS9-AT9-AV9-AW9</f>
        <v>32244455.967831</v>
      </c>
      <c r="AY9" s="0" t="n">
        <f aca="false">Inputs!$D$65-(A9-1)</f>
        <v>69</v>
      </c>
      <c r="AZ9" s="0" t="n">
        <f aca="false">IF(AY9&lt;=0,0,IF(A9=1,Inputs!$B$65,BE8))</f>
        <v>34110135.7554864</v>
      </c>
      <c r="BA9" s="0" t="n">
        <f aca="false">AZ9*Inputs!$B$9</f>
        <v>86470.8523647271</v>
      </c>
      <c r="BB9" s="0" t="n">
        <f aca="false">(AZ9-BA9)*Inputs!$C$65/12</f>
        <v>292036.457085128</v>
      </c>
      <c r="BC9" s="0" t="n">
        <f aca="false">IF(AY9&lt;=0,0,IF(AY9=1,AZ9-BA9,MIN((AZ9-BA9)*(Inputs!$C$65/12)/(1-(1+Inputs!$C$65/12)^(-AY9))-BB9,AZ9-BA9)))</f>
        <v>363460.764259623</v>
      </c>
      <c r="BD9" s="0" t="n">
        <f aca="false">(AZ9-BA9-BC9)*Inputs!$B$10</f>
        <v>294244.409237605</v>
      </c>
      <c r="BE9" s="0" t="n">
        <f aca="false">AZ9-BA9-BC9-BD9</f>
        <v>33365959.7296245</v>
      </c>
      <c r="BF9" s="0" t="n">
        <f aca="false">Inputs!$D$66-(A9-1)</f>
        <v>81</v>
      </c>
      <c r="BG9" s="0" t="n">
        <f aca="false">IF(BF9&lt;=0,0,IF(A9=1,Inputs!$B$66,BL8))</f>
        <v>34039903.0578887</v>
      </c>
      <c r="BH9" s="0" t="n">
        <f aca="false">BG9*Inputs!$B$9</f>
        <v>86292.8090620359</v>
      </c>
      <c r="BI9" s="0" t="n">
        <f aca="false">(BG9-BH9)*Inputs!$C$66/12</f>
        <v>298508.823437601</v>
      </c>
      <c r="BJ9" s="0" t="n">
        <f aca="false">IF(BF9&lt;=0,0,IF(BF9=1,BG9-BH9,MIN((BG9-BH9)*(Inputs!$C$66/12)/(1-(1+Inputs!$C$66/12)^(-BF9))-BI9,BG9-BH9)))</f>
        <v>289257.112906354</v>
      </c>
      <c r="BK9" s="0" t="n">
        <f aca="false">(BG9-BH9-BJ9)*Inputs!$B$10</f>
        <v>294280.67815574</v>
      </c>
      <c r="BL9" s="0" t="n">
        <f aca="false">BG9-BH9-BJ9-BK9</f>
        <v>33370072.4577645</v>
      </c>
      <c r="BM9" s="0" t="n">
        <f aca="false">Inputs!$D$67-(A9-1)</f>
        <v>81</v>
      </c>
      <c r="BN9" s="0" t="n">
        <f aca="false">IF(BM9&lt;=0,0,IF(A9=1,Inputs!$B$67,BS8))</f>
        <v>44621705.8189672</v>
      </c>
      <c r="BO9" s="0" t="n">
        <f aca="false">BN9*Inputs!$B$9</f>
        <v>113118.193483401</v>
      </c>
      <c r="BP9" s="0" t="n">
        <f aca="false">(BN9-BO9)*Inputs!$C$67/12</f>
        <v>409849.911051329</v>
      </c>
      <c r="BQ9" s="0" t="n">
        <f aca="false">IF(BM9&lt;=0,0,IF(BM9=1,BN9-BO9,MIN((BN9-BO9)*(Inputs!$C$67/12)/(1-(1+Inputs!$C$67/12)^(-BM9))-BP9,BN9-BO9)))</f>
        <v>372218.050428856</v>
      </c>
      <c r="BR9" s="0" t="n">
        <f aca="false">(BN9-BO9-BQ9)*Inputs!$B$10</f>
        <v>385822.971777843</v>
      </c>
      <c r="BS9" s="0" t="n">
        <f aca="false">BN9-BO9-BQ9-BR9</f>
        <v>43750546.6032771</v>
      </c>
      <c r="BT9" s="0" t="n">
        <f aca="false">C9+J9+Q9+X9+AE9+AL9+AS9+AZ9+BG9+BN9</f>
        <v>370471920.070701</v>
      </c>
      <c r="BU9" s="0" t="n">
        <f aca="false">D9+K9+R9+Y9+AF9+AM9+AT9+BA9+BH9+BO9</f>
        <v>939164.327440647</v>
      </c>
      <c r="BV9" s="0" t="n">
        <f aca="false">E9+L9+S9+Z9+AG9+AN9+AU9+BB9+BI9+BP9</f>
        <v>2824199.01992751</v>
      </c>
      <c r="BW9" s="0" t="n">
        <f aca="false">F9+M9+T9+AA9+AH9+AO9+AV9+BC9+BJ9+BQ9</f>
        <v>5456165.73266585</v>
      </c>
      <c r="BX9" s="0" t="n">
        <f aca="false">G9+N9+U9+AB9+AI9+AP9+AW9+BD9+BK9+BR9</f>
        <v>3182615.90758524</v>
      </c>
      <c r="BY9" s="0" t="n">
        <f aca="false">H9+O9+V9+AC9+AJ9+AQ9+AX9+BE9+BL9+BS9</f>
        <v>360893974.10301</v>
      </c>
      <c r="BZ9" s="0" t="n">
        <f aca="false">IF(A9&gt;Inputs!$B$7,(1-Inputs!$B$6)*INDEX($BU$6:$BU$125,A9-Inputs!$B$7),0)</f>
        <v>0</v>
      </c>
      <c r="CA9" s="0" t="n">
        <f aca="false">CA8+(1-Inputs!$B$6)*BU9-BZ9</f>
        <v>2343413.78759732</v>
      </c>
      <c r="CB9" s="0" t="n">
        <f aca="false">BY9+CA9</f>
        <v>363237387.890607</v>
      </c>
      <c r="CC9" s="0" t="n">
        <f aca="false">BV9+BW9+BX9+BZ9</f>
        <v>11462980.6601786</v>
      </c>
      <c r="CD9" s="0" t="n">
        <f aca="false">CD8+BU9-BZ9</f>
        <v>3905689.64599554</v>
      </c>
    </row>
    <row r="10" customFormat="false" ht="15" hidden="false" customHeight="false" outlineLevel="0" collapsed="false">
      <c r="A10" s="0" t="n">
        <f aca="false">ROW()-5</f>
        <v>5</v>
      </c>
      <c r="B10" s="0" t="n">
        <f aca="false">Inputs!$D$58-(A10-1)</f>
        <v>32</v>
      </c>
      <c r="C10" s="0" t="n">
        <f aca="false">IF(B10&lt;=0,0,IF(A10=1,Inputs!$B$58,H9))</f>
        <v>33522558.4890733</v>
      </c>
      <c r="D10" s="0" t="n">
        <f aca="false">C10*Inputs!$B$9</f>
        <v>84981.3154299845</v>
      </c>
      <c r="E10" s="0" t="n">
        <f aca="false">(C10-D10)*Inputs!$C$58/12</f>
        <v>203411.92780633</v>
      </c>
      <c r="F10" s="0" t="n">
        <f aca="false">IF(B10&lt;=0,0,IF(B10=1,C10-D10,MIN((C10-D10)*(Inputs!$C$58/12)/(1-(1+Inputs!$C$58/12)^(-B10))-E10,C10-D10)))</f>
        <v>949681.1552315</v>
      </c>
      <c r="G10" s="0" t="n">
        <f aca="false">(C10-D10-F10)*Inputs!$B$10</f>
        <v>283996.547729596</v>
      </c>
      <c r="H10" s="0" t="n">
        <f aca="false">C10-D10-F10-G10</f>
        <v>32203899.4706822</v>
      </c>
      <c r="I10" s="0" t="n">
        <f aca="false">Inputs!$D$59-(A10-1)</f>
        <v>44</v>
      </c>
      <c r="J10" s="0" t="n">
        <f aca="false">IF(I10&lt;=0,0,IF(A10=1,Inputs!$B$59,O9))</f>
        <v>66964543.3565871</v>
      </c>
      <c r="K10" s="0" t="n">
        <f aca="false">J10*Inputs!$B$9</f>
        <v>169758.372812323</v>
      </c>
      <c r="L10" s="0" t="n">
        <f aca="false">(J10-K10)*Inputs!$C$59/12</f>
        <v>434166.102394536</v>
      </c>
      <c r="M10" s="0" t="n">
        <f aca="false">IF(I10&lt;=0,0,IF(I10=1,J10-K10,MIN((J10-K10)*(Inputs!$C$59/12)/(1-(1+Inputs!$C$59/12)^(-I10))-L10,J10-K10)))</f>
        <v>1316208.8196362</v>
      </c>
      <c r="N10" s="0" t="n">
        <f aca="false">(J10-K10-M10)*Inputs!$B$10</f>
        <v>572388.238694377</v>
      </c>
      <c r="O10" s="0" t="n">
        <f aca="false">J10-K10-M10-N10</f>
        <v>64906187.9254442</v>
      </c>
      <c r="P10" s="0" t="n">
        <f aca="false">Inputs!$D$60-(A10-1)</f>
        <v>44</v>
      </c>
      <c r="Q10" s="0" t="n">
        <f aca="false">IF(P10&lt;=0,0,IF(A10=1,Inputs!$B$60,V9))</f>
        <v>19172311.3317839</v>
      </c>
      <c r="R10" s="0" t="n">
        <f aca="false">Q10*Inputs!$B$9</f>
        <v>48602.7412656841</v>
      </c>
      <c r="S10" s="0" t="n">
        <f aca="false">(Q10-R10)*Inputs!$C$60/12</f>
        <v>132272.317751084</v>
      </c>
      <c r="T10" s="0" t="n">
        <f aca="false">IF(P10&lt;=0,0,IF(P10=1,Q10-R10,MIN((Q10-R10)*(Inputs!$C$60/12)/(1-(1+Inputs!$C$60/12)^(-P10))-S10,Q10-R10)))</f>
        <v>373332.860723172</v>
      </c>
      <c r="U10" s="0" t="n">
        <f aca="false">(Q10-R10-T10)*Inputs!$B$10</f>
        <v>163908.489884255</v>
      </c>
      <c r="V10" s="0" t="n">
        <f aca="false">Q10-R10-T10-U10</f>
        <v>18586467.2399107</v>
      </c>
      <c r="W10" s="0" t="n">
        <f aca="false">Inputs!$D$61-(A10-1)</f>
        <v>56</v>
      </c>
      <c r="X10" s="0" t="n">
        <f aca="false">IF(W10&lt;=0,0,IF(A10=1,Inputs!$B$61,AC9))</f>
        <v>60763618.8109561</v>
      </c>
      <c r="Y10" s="0" t="n">
        <f aca="false">X10*Inputs!$B$9</f>
        <v>154038.727638415</v>
      </c>
      <c r="Z10" s="0" t="n">
        <f aca="false">(X10-Y10)*Inputs!$C$61/12</f>
        <v>444470.25394433</v>
      </c>
      <c r="AA10" s="0" t="n">
        <f aca="false">IF(W10&lt;=0,0,IF(W10=1,X10-Y10,MIN((X10-Y10)*(Inputs!$C$61/12)/(1-(1+Inputs!$C$61/12)^(-W10))-Z10,X10-Y10)))</f>
        <v>879155.593010678</v>
      </c>
      <c r="AB10" s="0" t="n">
        <f aca="false">(X10-Y10-AA10)*Inputs!$B$10</f>
        <v>522140.133053153</v>
      </c>
      <c r="AC10" s="0" t="n">
        <f aca="false">X10-Y10-AA10-AB10</f>
        <v>59208284.3572539</v>
      </c>
      <c r="AD10" s="0" t="n">
        <f aca="false">Inputs!$D$62-(A10-1)</f>
        <v>56</v>
      </c>
      <c r="AE10" s="0" t="n">
        <f aca="false">IF(AD10&lt;=0,0,IF(A10=1,Inputs!$B$62,AJ9))</f>
        <v>17192352.740599</v>
      </c>
      <c r="AF10" s="0" t="n">
        <f aca="false">AE10*Inputs!$B$9</f>
        <v>43583.4499836469</v>
      </c>
      <c r="AG10" s="0" t="n">
        <f aca="false">(AE10-AF10)*Inputs!$C$62/12</f>
        <v>132902.962002269</v>
      </c>
      <c r="AH10" s="0" t="n">
        <f aca="false">IF(AD10&lt;=0,0,IF(AD10=1,AE10-AF10,MIN((AE10-AF10)*(Inputs!$C$62/12)/(1-(1+Inputs!$C$62/12)^(-AD10))-AG10,AE10-AF10)))</f>
        <v>245734.926347266</v>
      </c>
      <c r="AI10" s="0" t="n">
        <f aca="false">(AE10-AF10-AH10)*Inputs!$B$10</f>
        <v>147759.750366301</v>
      </c>
      <c r="AJ10" s="0" t="n">
        <f aca="false">AE10-AF10-AH10-AI10</f>
        <v>16755274.6139018</v>
      </c>
      <c r="AK10" s="0" t="n">
        <f aca="false">Inputs!$D$63-(A10-1)</f>
        <v>56</v>
      </c>
      <c r="AL10" s="0" t="n">
        <f aca="false">IF(AK10&lt;=0,0,IF(A10=1,Inputs!$B$63,AQ9))</f>
        <v>20547554.6155132</v>
      </c>
      <c r="AM10" s="0" t="n">
        <f aca="false">AL10*Inputs!$B$9</f>
        <v>52089.0498457903</v>
      </c>
      <c r="AN10" s="0" t="n">
        <f aca="false">(AL10-AM10)*Inputs!$C$63/12</f>
        <v>163109.746793436</v>
      </c>
      <c r="AO10" s="0" t="n">
        <f aca="false">IF(AK10&lt;=0,0,IF(AK10=1,AL10-AM10,MIN((AL10-AM10)*(Inputs!$C$63/12)/(1-(1+Inputs!$C$63/12)^(-AK10))-AN10,AL10-AM10)))</f>
        <v>291904.010132296</v>
      </c>
      <c r="AP10" s="0" t="n">
        <f aca="false">(AL10-AM10-AO10)*Inputs!$B$10</f>
        <v>176611.675017755</v>
      </c>
      <c r="AQ10" s="0" t="n">
        <f aca="false">AL10-AM10-AO10-AP10</f>
        <v>20026949.8805173</v>
      </c>
      <c r="AR10" s="0" t="n">
        <f aca="false">Inputs!$D$64-(A10-1)</f>
        <v>68</v>
      </c>
      <c r="AS10" s="0" t="n">
        <f aca="false">IF(AR10&lt;=0,0,IF(A10=1,Inputs!$B$64,AX9))</f>
        <v>32244455.967831</v>
      </c>
      <c r="AT10" s="0" t="n">
        <f aca="false">AS10*Inputs!$B$9</f>
        <v>81741.2634051681</v>
      </c>
      <c r="AU10" s="0" t="n">
        <f aca="false">(AS10-AT10)*Inputs!$C$64/12</f>
        <v>262662.170086144</v>
      </c>
      <c r="AV10" s="0" t="n">
        <f aca="false">IF(AR10&lt;=0,0,IF(AR10=1,AS10-AT10,MIN((AS10-AT10)*(Inputs!$C$64/12)/(1-(1+Inputs!$C$64/12)^(-AR10))-AU10,AS10-AT10)))</f>
        <v>355623.516793324</v>
      </c>
      <c r="AW10" s="0" t="n">
        <f aca="false">(AS10-AT10-AV10)*Inputs!$B$10</f>
        <v>278045.216762846</v>
      </c>
      <c r="AX10" s="0" t="n">
        <f aca="false">AS10-AT10-AV10-AW10</f>
        <v>31529045.9708697</v>
      </c>
      <c r="AY10" s="0" t="n">
        <f aca="false">Inputs!$D$65-(A10-1)</f>
        <v>68</v>
      </c>
      <c r="AZ10" s="0" t="n">
        <f aca="false">IF(AY10&lt;=0,0,IF(A10=1,Inputs!$B$65,BE9))</f>
        <v>33365959.7296245</v>
      </c>
      <c r="BA10" s="0" t="n">
        <f aca="false">AZ10*Inputs!$B$9</f>
        <v>84584.3299619152</v>
      </c>
      <c r="BB10" s="0" t="n">
        <f aca="false">(AZ10-BA10)*Inputs!$C$65/12</f>
        <v>285665.138847103</v>
      </c>
      <c r="BC10" s="0" t="n">
        <f aca="false">IF(AY10&lt;=0,0,IF(AY10=1,AZ10-BA10,MIN((AZ10-BA10)*(Inputs!$C$65/12)/(1-(1+Inputs!$C$65/12)^(-AY10))-BB10,AZ10-BA10)))</f>
        <v>362454.789570772</v>
      </c>
      <c r="BD10" s="0" t="n">
        <f aca="false">(AZ10-BA10-BC10)*Inputs!$B$10</f>
        <v>287764.39702197</v>
      </c>
      <c r="BE10" s="0" t="n">
        <f aca="false">AZ10-BA10-BC10-BD10</f>
        <v>32631156.2130698</v>
      </c>
      <c r="BF10" s="0" t="n">
        <f aca="false">Inputs!$D$66-(A10-1)</f>
        <v>80</v>
      </c>
      <c r="BG10" s="0" t="n">
        <f aca="false">IF(BF10&lt;=0,0,IF(A10=1,Inputs!$B$66,BL9))</f>
        <v>33370072.4577645</v>
      </c>
      <c r="BH10" s="0" t="n">
        <f aca="false">BG10*Inputs!$B$9</f>
        <v>84594.7559276859</v>
      </c>
      <c r="BI10" s="0" t="n">
        <f aca="false">(BG10-BH10)*Inputs!$C$66/12</f>
        <v>292634.824795316</v>
      </c>
      <c r="BJ10" s="0" t="n">
        <f aca="false">IF(BF10&lt;=0,0,IF(BF10=1,BG10-BH10,MIN((BG10-BH10)*(Inputs!$C$66/12)/(1-(1+Inputs!$C$66/12)^(-BF10))-BI10,BG10-BH10)))</f>
        <v>288516.100311897</v>
      </c>
      <c r="BK10" s="0" t="n">
        <f aca="false">(BG10-BH10-BJ10)*Inputs!$B$10</f>
        <v>288446.601007598</v>
      </c>
      <c r="BL10" s="0" t="n">
        <f aca="false">BG10-BH10-BJ10-BK10</f>
        <v>32708515.0005174</v>
      </c>
      <c r="BM10" s="0" t="n">
        <f aca="false">Inputs!$D$67-(A10-1)</f>
        <v>80</v>
      </c>
      <c r="BN10" s="0" t="n">
        <f aca="false">IF(BM10&lt;=0,0,IF(A10=1,Inputs!$B$67,BS9))</f>
        <v>43750546.6032771</v>
      </c>
      <c r="BO10" s="0" t="n">
        <f aca="false">BN10*Inputs!$B$9</f>
        <v>110909.762521235</v>
      </c>
      <c r="BP10" s="0" t="n">
        <f aca="false">(BN10-BO10)*Inputs!$C$67/12</f>
        <v>401848.322575293</v>
      </c>
      <c r="BQ10" s="0" t="n">
        <f aca="false">IF(BM10&lt;=0,0,IF(BM10=1,BN10-BO10,MIN((BN10-BO10)*(Inputs!$C$67/12)/(1-(1+Inputs!$C$67/12)^(-BM10))-BP10,BN10-BO10)))</f>
        <v>371417.855689507</v>
      </c>
      <c r="BR10" s="0" t="n">
        <f aca="false">(BN10-BO10-BQ10)*Inputs!$B$10</f>
        <v>378233.937070072</v>
      </c>
      <c r="BS10" s="0" t="n">
        <f aca="false">BN10-BO10-BQ10-BR10</f>
        <v>42889985.0479962</v>
      </c>
      <c r="BT10" s="0" t="n">
        <f aca="false">C10+J10+Q10+X10+AE10+AL10+AS10+AZ10+BG10+BN10</f>
        <v>360893974.10301</v>
      </c>
      <c r="BU10" s="0" t="n">
        <f aca="false">D10+K10+R10+Y10+AF10+AM10+AT10+BA10+BH10+BO10</f>
        <v>914883.768791848</v>
      </c>
      <c r="BV10" s="0" t="n">
        <f aca="false">E10+L10+S10+Z10+AG10+AN10+AU10+BB10+BI10+BP10</f>
        <v>2753143.76699584</v>
      </c>
      <c r="BW10" s="0" t="n">
        <f aca="false">F10+M10+T10+AA10+AH10+AO10+AV10+BC10+BJ10+BQ10</f>
        <v>5434029.62744661</v>
      </c>
      <c r="BX10" s="0" t="n">
        <f aca="false">G10+N10+U10+AB10+AI10+AP10+AW10+BD10+BK10+BR10</f>
        <v>3099294.98660792</v>
      </c>
      <c r="BY10" s="0" t="n">
        <f aca="false">H10+O10+V10+AC10+AJ10+AQ10+AX10+BE10+BL10+BS10</f>
        <v>351445765.720163</v>
      </c>
      <c r="BZ10" s="0" t="n">
        <f aca="false">IF(A10&gt;Inputs!$B$7,(1-Inputs!$B$6)*INDEX($BU$6:$BU$125,A10-Inputs!$B$7),0)</f>
        <v>0</v>
      </c>
      <c r="CA10" s="0" t="n">
        <f aca="false">CA9+(1-Inputs!$B$6)*BU10-BZ10</f>
        <v>2892344.04887243</v>
      </c>
      <c r="CB10" s="0" t="n">
        <f aca="false">BY10+CA10</f>
        <v>354338109.769036</v>
      </c>
      <c r="CC10" s="0" t="n">
        <f aca="false">BV10+BW10+BX10+BZ10</f>
        <v>11286468.3810504</v>
      </c>
      <c r="CD10" s="0" t="n">
        <f aca="false">CD9+BU10-BZ10</f>
        <v>4820573.41478738</v>
      </c>
    </row>
    <row r="11" customFormat="false" ht="15" hidden="false" customHeight="false" outlineLevel="0" collapsed="false">
      <c r="A11" s="0" t="n">
        <f aca="false">ROW()-5</f>
        <v>6</v>
      </c>
      <c r="B11" s="0" t="n">
        <f aca="false">Inputs!$D$58-(A11-1)</f>
        <v>31</v>
      </c>
      <c r="C11" s="0" t="n">
        <f aca="false">IF(B11&lt;=0,0,IF(A11=1,Inputs!$B$58,H10))</f>
        <v>32203899.4706822</v>
      </c>
      <c r="D11" s="0" t="n">
        <f aca="false">C11*Inputs!$B$9</f>
        <v>81638.4507132889</v>
      </c>
      <c r="E11" s="0" t="n">
        <f aca="false">(C11-D11)*Inputs!$C$58/12</f>
        <v>195410.421204811</v>
      </c>
      <c r="F11" s="0" t="n">
        <f aca="false">IF(B11&lt;=0,0,IF(B11=1,C11-D11,MIN((C11-D11)*(Inputs!$C$58/12)/(1-(1+Inputs!$C$58/12)^(-B11))-E11,C11-D11)))</f>
        <v>944705.176698798</v>
      </c>
      <c r="G11" s="0" t="n">
        <f aca="false">(C11-D11-F11)*Inputs!$B$10</f>
        <v>272542.063700199</v>
      </c>
      <c r="H11" s="0" t="n">
        <f aca="false">C11-D11-F11-G11</f>
        <v>30905013.7795699</v>
      </c>
      <c r="I11" s="0" t="n">
        <f aca="false">Inputs!$D$59-(A11-1)</f>
        <v>43</v>
      </c>
      <c r="J11" s="0" t="n">
        <f aca="false">IF(I11&lt;=0,0,IF(A11=1,Inputs!$B$59,O10))</f>
        <v>64906187.9254442</v>
      </c>
      <c r="K11" s="0" t="n">
        <f aca="false">J11*Inputs!$B$9</f>
        <v>164540.341729821</v>
      </c>
      <c r="L11" s="0" t="n">
        <f aca="false">(J11-K11)*Inputs!$C$59/12</f>
        <v>420820.709294143</v>
      </c>
      <c r="M11" s="0" t="n">
        <f aca="false">IF(I11&lt;=0,0,IF(I11=1,J11-K11,MIN((J11-K11)*(Inputs!$C$59/12)/(1-(1+Inputs!$C$59/12)^(-I11))-L11,J11-K11)))</f>
        <v>1309854.61964727</v>
      </c>
      <c r="N11" s="0" t="n">
        <f aca="false">(J11-K11-M11)*Inputs!$B$10</f>
        <v>554496.056250743</v>
      </c>
      <c r="O11" s="0" t="n">
        <f aca="false">J11-K11-M11-N11</f>
        <v>62877296.9078163</v>
      </c>
      <c r="P11" s="0" t="n">
        <f aca="false">Inputs!$D$60-(A11-1)</f>
        <v>43</v>
      </c>
      <c r="Q11" s="0" t="n">
        <f aca="false">IF(P11&lt;=0,0,IF(A11=1,Inputs!$B$60,V10))</f>
        <v>18586467.2399107</v>
      </c>
      <c r="R11" s="0" t="n">
        <f aca="false">Q11*Inputs!$B$9</f>
        <v>47117.5980126567</v>
      </c>
      <c r="S11" s="0" t="n">
        <f aca="false">(Q11-R11)*Inputs!$C$60/12</f>
        <v>128230.501689795</v>
      </c>
      <c r="T11" s="0" t="n">
        <f aca="false">IF(P11&lt;=0,0,IF(P11=1,Q11-R11,MIN((Q11-R11)*(Inputs!$C$60/12)/(1-(1+Inputs!$C$60/12)^(-P11))-S11,Q11-R11)))</f>
        <v>371684.343728132</v>
      </c>
      <c r="U11" s="0" t="n">
        <f aca="false">(Q11-R11-T11)*Inputs!$B$10</f>
        <v>158814.661991746</v>
      </c>
      <c r="V11" s="0" t="n">
        <f aca="false">Q11-R11-T11-U11</f>
        <v>18008850.6361782</v>
      </c>
      <c r="W11" s="0" t="n">
        <f aca="false">Inputs!$D$61-(A11-1)</f>
        <v>55</v>
      </c>
      <c r="X11" s="0" t="n">
        <f aca="false">IF(W11&lt;=0,0,IF(A11=1,Inputs!$B$61,AC10))</f>
        <v>59208284.3572539</v>
      </c>
      <c r="Y11" s="0" t="n">
        <f aca="false">X11*Inputs!$B$9</f>
        <v>150095.879187505</v>
      </c>
      <c r="Z11" s="0" t="n">
        <f aca="false">(X11-Y11)*Inputs!$C$61/12</f>
        <v>433093.382172487</v>
      </c>
      <c r="AA11" s="0" t="n">
        <f aca="false">IF(W11&lt;=0,0,IF(W11=1,X11-Y11,MIN((X11-Y11)*(Inputs!$C$61/12)/(1-(1+Inputs!$C$61/12)^(-W11))-Z11,X11-Y11)))</f>
        <v>875635.718800077</v>
      </c>
      <c r="AB11" s="0" t="n">
        <f aca="false">(X11-Y11-AA11)*Inputs!$B$10</f>
        <v>508609.240572622</v>
      </c>
      <c r="AC11" s="0" t="n">
        <f aca="false">X11-Y11-AA11-AB11</f>
        <v>57673943.5186937</v>
      </c>
      <c r="AD11" s="0" t="n">
        <f aca="false">Inputs!$D$62-(A11-1)</f>
        <v>55</v>
      </c>
      <c r="AE11" s="0" t="n">
        <f aca="false">IF(AD11&lt;=0,0,IF(A11=1,Inputs!$B$62,AJ10))</f>
        <v>16755274.6139018</v>
      </c>
      <c r="AF11" s="0" t="n">
        <f aca="false">AE11*Inputs!$B$9</f>
        <v>42475.4356844248</v>
      </c>
      <c r="AG11" s="0" t="n">
        <f aca="false">(AE11-AF11)*Inputs!$C$62/12</f>
        <v>129524.193631185</v>
      </c>
      <c r="AH11" s="0" t="n">
        <f aca="false">IF(AD11&lt;=0,0,IF(AD11=1,AE11-AF11,MIN((AE11-AF11)*(Inputs!$C$62/12)/(1-(1+Inputs!$C$62/12)^(-AD11))-AG11,AE11-AF11)))</f>
        <v>244852.314922052</v>
      </c>
      <c r="AI11" s="0" t="n">
        <f aca="false">(AE11-AF11-AH11)*Inputs!$B$10</f>
        <v>143956.384701546</v>
      </c>
      <c r="AJ11" s="0" t="n">
        <f aca="false">AE11-AF11-AH11-AI11</f>
        <v>16323990.4785938</v>
      </c>
      <c r="AK11" s="0" t="n">
        <f aca="false">Inputs!$D$63-(A11-1)</f>
        <v>55</v>
      </c>
      <c r="AL11" s="0" t="n">
        <f aca="false">IF(AK11&lt;=0,0,IF(A11=1,Inputs!$B$63,AQ10))</f>
        <v>20026949.8805173</v>
      </c>
      <c r="AM11" s="0" t="n">
        <f aca="false">AL11*Inputs!$B$9</f>
        <v>50769.2915339823</v>
      </c>
      <c r="AN11" s="0" t="n">
        <f aca="false">(AL11-AM11)*Inputs!$C$63/12</f>
        <v>158977.103853993</v>
      </c>
      <c r="AO11" s="0" t="n">
        <f aca="false">IF(AK11&lt;=0,0,IF(AK11=1,AL11-AM11,MIN((AL11-AM11)*(Inputs!$C$63/12)/(1-(1+Inputs!$C$63/12)^(-AK11))-AN11,AL11-AM11)))</f>
        <v>290915.701126722</v>
      </c>
      <c r="AP11" s="0" t="n">
        <f aca="false">(AL11-AM11-AO11)*Inputs!$B$10</f>
        <v>172080.927189794</v>
      </c>
      <c r="AQ11" s="0" t="n">
        <f aca="false">AL11-AM11-AO11-AP11</f>
        <v>19513183.9606668</v>
      </c>
      <c r="AR11" s="0" t="n">
        <f aca="false">Inputs!$D$64-(A11-1)</f>
        <v>67</v>
      </c>
      <c r="AS11" s="0" t="n">
        <f aca="false">IF(AR11&lt;=0,0,IF(A11=1,Inputs!$B$64,AX10))</f>
        <v>31529045.9708697</v>
      </c>
      <c r="AT11" s="0" t="n">
        <f aca="false">AS11*Inputs!$B$9</f>
        <v>79927.6642840464</v>
      </c>
      <c r="AU11" s="0" t="n">
        <f aca="false">(AS11-AT11)*Inputs!$C$64/12</f>
        <v>256834.466170449</v>
      </c>
      <c r="AV11" s="0" t="n">
        <f aca="false">IF(AR11&lt;=0,0,IF(AR11=1,AS11-AT11,MIN((AS11-AT11)*(Inputs!$C$64/12)/(1-(1+Inputs!$C$64/12)^(-AR11))-AU11,AS11-AT11)))</f>
        <v>354492.724965517</v>
      </c>
      <c r="AW11" s="0" t="n">
        <f aca="false">(AS11-AT11-AV11)*Inputs!$B$10</f>
        <v>271817.119616483</v>
      </c>
      <c r="AX11" s="0" t="n">
        <f aca="false">AS11-AT11-AV11-AW11</f>
        <v>30822808.4620036</v>
      </c>
      <c r="AY11" s="0" t="n">
        <f aca="false">Inputs!$D$65-(A11-1)</f>
        <v>67</v>
      </c>
      <c r="AZ11" s="0" t="n">
        <f aca="false">IF(AY11&lt;=0,0,IF(A11=1,Inputs!$B$65,BE10))</f>
        <v>32631156.2130698</v>
      </c>
      <c r="BA11" s="0" t="n">
        <f aca="false">AZ11*Inputs!$B$9</f>
        <v>82721.567325831</v>
      </c>
      <c r="BB11" s="0" t="n">
        <f aca="false">(AZ11-BA11)*Inputs!$C$65/12</f>
        <v>279374.064042636</v>
      </c>
      <c r="BC11" s="0" t="n">
        <f aca="false">IF(AY11&lt;=0,0,IF(AY11=1,AZ11-BA11,MIN((AZ11-BA11)*(Inputs!$C$65/12)/(1-(1+Inputs!$C$65/12)^(-AY11))-BB11,AZ11-BA11)))</f>
        <v>361451.599185411</v>
      </c>
      <c r="BD11" s="0" t="n">
        <f aca="false">(AZ11-BA11-BC11)*Inputs!$B$10</f>
        <v>281366.083598434</v>
      </c>
      <c r="BE11" s="0" t="n">
        <f aca="false">AZ11-BA11-BC11-BD11</f>
        <v>31905616.9629601</v>
      </c>
      <c r="BF11" s="0" t="n">
        <f aca="false">Inputs!$D$66-(A11-1)</f>
        <v>79</v>
      </c>
      <c r="BG11" s="0" t="n">
        <f aca="false">IF(BF11&lt;=0,0,IF(A11=1,Inputs!$B$66,BL10))</f>
        <v>32708515.0005174</v>
      </c>
      <c r="BH11" s="0" t="n">
        <f aca="false">BG11*Inputs!$B$9</f>
        <v>82917.6756127181</v>
      </c>
      <c r="BI11" s="0" t="n">
        <f aca="false">(BG11-BH11)*Inputs!$C$66/12</f>
        <v>286833.376481453</v>
      </c>
      <c r="BJ11" s="0" t="n">
        <f aca="false">IF(BF11&lt;=0,0,IF(BF11=1,BG11-BH11,MIN((BG11-BH11)*(Inputs!$C$66/12)/(1-(1+Inputs!$C$66/12)^(-BF11))-BI11,BG11-BH11)))</f>
        <v>287776.986027423</v>
      </c>
      <c r="BK11" s="0" t="n">
        <f aca="false">(BG11-BH11-BJ11)*Inputs!$B$10</f>
        <v>282684.644525344</v>
      </c>
      <c r="BL11" s="0" t="n">
        <f aca="false">BG11-BH11-BJ11-BK11</f>
        <v>32055135.6943519</v>
      </c>
      <c r="BM11" s="0" t="n">
        <f aca="false">Inputs!$D$67-(A11-1)</f>
        <v>79</v>
      </c>
      <c r="BN11" s="0" t="n">
        <f aca="false">IF(BM11&lt;=0,0,IF(A11=1,Inputs!$B$67,BS10))</f>
        <v>42889985.0479962</v>
      </c>
      <c r="BO11" s="0" t="n">
        <f aca="false">BN11*Inputs!$B$9</f>
        <v>108728.197143399</v>
      </c>
      <c r="BP11" s="0" t="n">
        <f aca="false">(BN11-BO11)*Inputs!$C$67/12</f>
        <v>393944.073501603</v>
      </c>
      <c r="BQ11" s="0" t="n">
        <f aca="false">IF(BM11&lt;=0,0,IF(BM11=1,BN11-BO11,MIN((BN11-BO11)*(Inputs!$C$67/12)/(1-(1+Inputs!$C$67/12)^(-BM11))-BP11,BN11-BO11)))</f>
        <v>370619.381209614</v>
      </c>
      <c r="BR11" s="0" t="n">
        <f aca="false">(BN11-BO11-BQ11)*Inputs!$B$10</f>
        <v>370737.293100305</v>
      </c>
      <c r="BS11" s="0" t="n">
        <f aca="false">BN11-BO11-BQ11-BR11</f>
        <v>42039900.1765429</v>
      </c>
      <c r="BT11" s="0" t="n">
        <f aca="false">C11+J11+Q11+X11+AE11+AL11+AS11+AZ11+BG11+BN11</f>
        <v>351445765.720163</v>
      </c>
      <c r="BU11" s="0" t="n">
        <f aca="false">D11+K11+R11+Y11+AF11+AM11+AT11+BA11+BH11+BO11</f>
        <v>890932.101227673</v>
      </c>
      <c r="BV11" s="0" t="n">
        <f aca="false">E11+L11+S11+Z11+AG11+AN11+AU11+BB11+BI11+BP11</f>
        <v>2683042.29204255</v>
      </c>
      <c r="BW11" s="0" t="n">
        <f aca="false">F11+M11+T11+AA11+AH11+AO11+AV11+BC11+BJ11+BQ11</f>
        <v>5411988.56631101</v>
      </c>
      <c r="BX11" s="0" t="n">
        <f aca="false">G11+N11+U11+AB11+AI11+AP11+AW11+BD11+BK11+BR11</f>
        <v>3017104.47524722</v>
      </c>
      <c r="BY11" s="0" t="n">
        <f aca="false">H11+O11+V11+AC11+AJ11+AQ11+AX11+BE11+BL11+BS11</f>
        <v>342125740.577377</v>
      </c>
      <c r="BZ11" s="0" t="n">
        <f aca="false">IF(A11&gt;Inputs!$B$7,(1-Inputs!$B$6)*INDEX($BU$6:$BU$125,A11-Inputs!$B$7),0)</f>
        <v>0</v>
      </c>
      <c r="CA11" s="0" t="n">
        <f aca="false">CA10+(1-Inputs!$B$6)*BU11-BZ11</f>
        <v>3426903.30960903</v>
      </c>
      <c r="CB11" s="0" t="n">
        <f aca="false">BY11+CA11</f>
        <v>345552643.886986</v>
      </c>
      <c r="CC11" s="0" t="n">
        <f aca="false">BV11+BW11+BX11+BZ11</f>
        <v>11112135.3336008</v>
      </c>
      <c r="CD11" s="0" t="n">
        <f aca="false">CD10+BU11-BZ11</f>
        <v>5711505.51601506</v>
      </c>
    </row>
    <row r="12" customFormat="false" ht="15" hidden="false" customHeight="false" outlineLevel="0" collapsed="false">
      <c r="A12" s="0" t="n">
        <f aca="false">ROW()-5</f>
        <v>7</v>
      </c>
      <c r="B12" s="0" t="n">
        <f aca="false">Inputs!$D$58-(A12-1)</f>
        <v>30</v>
      </c>
      <c r="C12" s="0" t="n">
        <f aca="false">IF(B12&lt;=0,0,IF(A12=1,Inputs!$B$58,H11))</f>
        <v>30905013.7795699</v>
      </c>
      <c r="D12" s="0" t="n">
        <f aca="false">C12*Inputs!$B$9</f>
        <v>78345.7123425024</v>
      </c>
      <c r="E12" s="0" t="n">
        <f aca="false">(C12-D12)*Inputs!$C$58/12</f>
        <v>187528.897408967</v>
      </c>
      <c r="F12" s="0" t="n">
        <f aca="false">IF(B12&lt;=0,0,IF(B12=1,C12-D12,MIN((C12-D12)*(Inputs!$C$58/12)/(1-(1+Inputs!$C$58/12)^(-B12))-E12,C12-D12)))</f>
        <v>939755.270455963</v>
      </c>
      <c r="G12" s="0" t="n">
        <f aca="false">(C12-D12-F12)*Inputs!$B$10</f>
        <v>261259.764306323</v>
      </c>
      <c r="H12" s="0" t="n">
        <f aca="false">C12-D12-F12-G12</f>
        <v>29625653.0324651</v>
      </c>
      <c r="I12" s="0" t="n">
        <f aca="false">Inputs!$D$59-(A12-1)</f>
        <v>42</v>
      </c>
      <c r="J12" s="0" t="n">
        <f aca="false">IF(I12&lt;=0,0,IF(A12=1,Inputs!$B$59,O11))</f>
        <v>62877296.9078163</v>
      </c>
      <c r="K12" s="0" t="n">
        <f aca="false">J12*Inputs!$B$9</f>
        <v>159397.004367958</v>
      </c>
      <c r="L12" s="0" t="n">
        <f aca="false">(J12-K12)*Inputs!$C$59/12</f>
        <v>407666.349372414</v>
      </c>
      <c r="M12" s="0" t="n">
        <f aca="false">IF(I12&lt;=0,0,IF(I12=1,J12-K12,MIN((J12-K12)*(Inputs!$C$59/12)/(1-(1+Inputs!$C$59/12)^(-I12))-L12,J12-K12)))</f>
        <v>1303531.09553354</v>
      </c>
      <c r="N12" s="0" t="n">
        <f aca="false">(J12-K12-M12)*Inputs!$B$10</f>
        <v>536860.519147053</v>
      </c>
      <c r="O12" s="0" t="n">
        <f aca="false">J12-K12-M12-N12</f>
        <v>60877508.2887678</v>
      </c>
      <c r="P12" s="0" t="n">
        <f aca="false">Inputs!$D$60-(A12-1)</f>
        <v>42</v>
      </c>
      <c r="Q12" s="0" t="n">
        <f aca="false">IF(P12&lt;=0,0,IF(A12=1,Inputs!$B$60,V11))</f>
        <v>18008850.6361782</v>
      </c>
      <c r="R12" s="0" t="n">
        <f aca="false">Q12*Inputs!$B$9</f>
        <v>45653.3118420355</v>
      </c>
      <c r="S12" s="0" t="n">
        <f aca="false">(Q12-R12)*Inputs!$C$60/12</f>
        <v>124245.448159992</v>
      </c>
      <c r="T12" s="0" t="n">
        <f aca="false">IF(P12&lt;=0,0,IF(P12=1,Q12-R12,MIN((Q12-R12)*(Inputs!$C$60/12)/(1-(1+Inputs!$C$60/12)^(-P12))-S12,Q12-R12)))</f>
        <v>370043.106050207</v>
      </c>
      <c r="U12" s="0" t="n">
        <f aca="false">(Q12-R12-T12)*Inputs!$B$10</f>
        <v>153792.509642237</v>
      </c>
      <c r="V12" s="0" t="n">
        <f aca="false">Q12-R12-T12-U12</f>
        <v>17439361.7086437</v>
      </c>
      <c r="W12" s="0" t="n">
        <f aca="false">Inputs!$D$61-(A12-1)</f>
        <v>54</v>
      </c>
      <c r="X12" s="0" t="n">
        <f aca="false">IF(W12&lt;=0,0,IF(A12=1,Inputs!$B$61,AC11))</f>
        <v>57673943.5186937</v>
      </c>
      <c r="Y12" s="0" t="n">
        <f aca="false">X12*Inputs!$B$9</f>
        <v>146206.25057156</v>
      </c>
      <c r="Z12" s="0" t="n">
        <f aca="false">(X12-Y12)*Inputs!$C$61/12</f>
        <v>421870.073299562</v>
      </c>
      <c r="AA12" s="0" t="n">
        <f aca="false">IF(W12&lt;=0,0,IF(W12=1,X12-Y12,MIN((X12-Y12)*(Inputs!$C$61/12)/(1-(1+Inputs!$C$61/12)^(-W12))-Z12,X12-Y12)))</f>
        <v>872129.937105701</v>
      </c>
      <c r="AB12" s="0" t="n">
        <f aca="false">(X12-Y12-AA12)*Inputs!$B$10</f>
        <v>495261.277689809</v>
      </c>
      <c r="AC12" s="0" t="n">
        <f aca="false">X12-Y12-AA12-AB12</f>
        <v>56160346.0533266</v>
      </c>
      <c r="AD12" s="0" t="n">
        <f aca="false">Inputs!$D$62-(A12-1)</f>
        <v>54</v>
      </c>
      <c r="AE12" s="0" t="n">
        <f aca="false">IF(AD12&lt;=0,0,IF(A12=1,Inputs!$B$62,AJ11))</f>
        <v>16323990.4785938</v>
      </c>
      <c r="AF12" s="0" t="n">
        <f aca="false">AE12*Inputs!$B$9</f>
        <v>41382.1094350424</v>
      </c>
      <c r="AG12" s="0" t="n">
        <f aca="false">(AE12-AF12)*Inputs!$C$62/12</f>
        <v>126190.21486098</v>
      </c>
      <c r="AH12" s="0" t="n">
        <f aca="false">IF(AD12&lt;=0,0,IF(AD12=1,AE12-AF12,MIN((AE12-AF12)*(Inputs!$C$62/12)/(1-(1+Inputs!$C$62/12)^(-AD12))-AG12,AE12-AF12)))</f>
        <v>243972.873591295</v>
      </c>
      <c r="AI12" s="0" t="n">
        <f aca="false">(AE12-AF12-AH12)*Inputs!$B$10</f>
        <v>140203.51174644</v>
      </c>
      <c r="AJ12" s="0" t="n">
        <f aca="false">AE12-AF12-AH12-AI12</f>
        <v>15898431.983821</v>
      </c>
      <c r="AK12" s="0" t="n">
        <f aca="false">Inputs!$D$63-(A12-1)</f>
        <v>54</v>
      </c>
      <c r="AL12" s="0" t="n">
        <f aca="false">IF(AK12&lt;=0,0,IF(A12=1,Inputs!$B$63,AQ11))</f>
        <v>19513183.9606668</v>
      </c>
      <c r="AM12" s="0" t="n">
        <f aca="false">AL12*Inputs!$B$9</f>
        <v>49466.8699510288</v>
      </c>
      <c r="AN12" s="0" t="n">
        <f aca="false">(AL12-AM12)*Inputs!$C$63/12</f>
        <v>154898.748513613</v>
      </c>
      <c r="AO12" s="0" t="n">
        <f aca="false">IF(AK12&lt;=0,0,IF(AK12=1,AL12-AM12,MIN((AL12-AM12)*(Inputs!$C$63/12)/(1-(1+Inputs!$C$63/12)^(-AK12))-AN12,AL12-AM12)))</f>
        <v>289930.738271445</v>
      </c>
      <c r="AP12" s="0" t="n">
        <f aca="false">(AL12-AM12-AO12)*Inputs!$B$10</f>
        <v>167609.780821542</v>
      </c>
      <c r="AQ12" s="0" t="n">
        <f aca="false">AL12-AM12-AO12-AP12</f>
        <v>19006176.5716228</v>
      </c>
      <c r="AR12" s="0" t="n">
        <f aca="false">Inputs!$D$64-(A12-1)</f>
        <v>66</v>
      </c>
      <c r="AS12" s="0" t="n">
        <f aca="false">IF(AR12&lt;=0,0,IF(A12=1,Inputs!$B$64,AX11))</f>
        <v>30822808.4620036</v>
      </c>
      <c r="AT12" s="0" t="n">
        <f aca="false">AS12*Inputs!$B$9</f>
        <v>78137.317866156</v>
      </c>
      <c r="AU12" s="0" t="n">
        <f aca="false">(AS12-AT12)*Inputs!$C$64/12</f>
        <v>251081.481010456</v>
      </c>
      <c r="AV12" s="0" t="n">
        <f aca="false">IF(AR12&lt;=0,0,IF(AR12=1,AS12-AT12,MIN((AS12-AT12)*(Inputs!$C$64/12)/(1-(1+Inputs!$C$64/12)^(-AR12))-AU12,AS12-AT12)))</f>
        <v>353365.528766508</v>
      </c>
      <c r="AW12" s="0" t="n">
        <f aca="false">(AS12-AT12-AV12)*Inputs!$B$10</f>
        <v>265668.970094863</v>
      </c>
      <c r="AX12" s="0" t="n">
        <f aca="false">AS12-AT12-AV12-AW12</f>
        <v>30125636.6452761</v>
      </c>
      <c r="AY12" s="0" t="n">
        <f aca="false">Inputs!$D$65-(A12-1)</f>
        <v>66</v>
      </c>
      <c r="AZ12" s="0" t="n">
        <f aca="false">IF(AY12&lt;=0,0,IF(A12=1,Inputs!$B$65,BE11))</f>
        <v>31905616.9629601</v>
      </c>
      <c r="BA12" s="0" t="n">
        <f aca="false">AZ12*Inputs!$B$9</f>
        <v>80882.2900555564</v>
      </c>
      <c r="BB12" s="0" t="n">
        <f aca="false">(AZ12-BA12)*Inputs!$C$65/12</f>
        <v>273162.305942431</v>
      </c>
      <c r="BC12" s="0" t="n">
        <f aca="false">IF(AY12&lt;=0,0,IF(AY12=1,AZ12-BA12,MIN((AZ12-BA12)*(Inputs!$C$65/12)/(1-(1+Inputs!$C$65/12)^(-AY12))-BB12,AZ12-BA12)))</f>
        <v>360451.185397238</v>
      </c>
      <c r="BD12" s="0" t="n">
        <f aca="false">(AZ12-BA12-BC12)*Inputs!$B$10</f>
        <v>275048.525216077</v>
      </c>
      <c r="BE12" s="0" t="n">
        <f aca="false">AZ12-BA12-BC12-BD12</f>
        <v>31189234.9622913</v>
      </c>
      <c r="BF12" s="0" t="n">
        <f aca="false">Inputs!$D$66-(A12-1)</f>
        <v>78</v>
      </c>
      <c r="BG12" s="0" t="n">
        <f aca="false">IF(BF12&lt;=0,0,IF(A12=1,Inputs!$B$66,BL11))</f>
        <v>32055135.6943519</v>
      </c>
      <c r="BH12" s="0" t="n">
        <f aca="false">BG12*Inputs!$B$9</f>
        <v>81261.3273083137</v>
      </c>
      <c r="BI12" s="0" t="n">
        <f aca="false">(BG12-BH12)*Inputs!$C$66/12</f>
        <v>281103.645476925</v>
      </c>
      <c r="BJ12" s="0" t="n">
        <f aca="false">IF(BF12&lt;=0,0,IF(BF12=1,BG12-BH12,MIN((BG12-BH12)*(Inputs!$C$66/12)/(1-(1+Inputs!$C$66/12)^(-BF12))-BI12,BG12-BH12)))</f>
        <v>287039.765189883</v>
      </c>
      <c r="BK12" s="0" t="n">
        <f aca="false">(BG12-BH12-BJ12)*Inputs!$B$10</f>
        <v>276993.980475227</v>
      </c>
      <c r="BL12" s="0" t="n">
        <f aca="false">BG12-BH12-BJ12-BK12</f>
        <v>31409840.6213785</v>
      </c>
      <c r="BM12" s="0" t="n">
        <f aca="false">Inputs!$D$67-(A12-1)</f>
        <v>78</v>
      </c>
      <c r="BN12" s="0" t="n">
        <f aca="false">IF(BM12&lt;=0,0,IF(A12=1,Inputs!$B$67,BS11))</f>
        <v>42039900.1765429</v>
      </c>
      <c r="BO12" s="0" t="n">
        <f aca="false">BN12*Inputs!$B$9</f>
        <v>106573.190668378</v>
      </c>
      <c r="BP12" s="0" t="n">
        <f aca="false">(BN12-BO12)*Inputs!$C$67/12</f>
        <v>386136.052661595</v>
      </c>
      <c r="BQ12" s="0" t="n">
        <f aca="false">IF(BM12&lt;=0,0,IF(BM12=1,BN12-BO12,MIN((BN12-BO12)*(Inputs!$C$67/12)/(1-(1+Inputs!$C$67/12)^(-BM12))-BP12,BN12-BO12)))</f>
        <v>369822.623290961</v>
      </c>
      <c r="BR12" s="0" t="n">
        <f aca="false">(BN12-BO12-BQ12)*Inputs!$B$10</f>
        <v>363331.985051546</v>
      </c>
      <c r="BS12" s="0" t="n">
        <f aca="false">BN12-BO12-BQ12-BR12</f>
        <v>41200172.377532</v>
      </c>
      <c r="BT12" s="0" t="n">
        <f aca="false">C12+J12+Q12+X12+AE12+AL12+AS12+AZ12+BG12+BN12</f>
        <v>342125740.577377</v>
      </c>
      <c r="BU12" s="0" t="n">
        <f aca="false">D12+K12+R12+Y12+AF12+AM12+AT12+BA12+BH12+BO12</f>
        <v>867305.384408531</v>
      </c>
      <c r="BV12" s="0" t="n">
        <f aca="false">E12+L12+S12+Z12+AG12+AN12+AU12+BB12+BI12+BP12</f>
        <v>2613883.21670694</v>
      </c>
      <c r="BW12" s="0" t="n">
        <f aca="false">F12+M12+T12+AA12+AH12+AO12+AV12+BC12+BJ12+BQ12</f>
        <v>5390042.12365274</v>
      </c>
      <c r="BX12" s="0" t="n">
        <f aca="false">G12+N12+U12+AB12+AI12+AP12+AW12+BD12+BK12+BR12</f>
        <v>2936030.82419112</v>
      </c>
      <c r="BY12" s="0" t="n">
        <f aca="false">H12+O12+V12+AC12+AJ12+AQ12+AX12+BE12+BL12+BS12</f>
        <v>332932362.245125</v>
      </c>
      <c r="BZ12" s="0" t="n">
        <f aca="false">IF(A12&gt;Inputs!$B$7,(1-Inputs!$B$6)*INDEX($BU$6:$BU$125,A12-Inputs!$B$7),0)</f>
        <v>608411.667320805</v>
      </c>
      <c r="CA12" s="0" t="n">
        <f aca="false">CA11+(1-Inputs!$B$6)*BU12-BZ12</f>
        <v>3338874.87293335</v>
      </c>
      <c r="CB12" s="0" t="n">
        <f aca="false">BY12+CA12</f>
        <v>336271237.118058</v>
      </c>
      <c r="CC12" s="0" t="n">
        <f aca="false">BV12+BW12+BX12+BZ12</f>
        <v>11548367.8318716</v>
      </c>
      <c r="CD12" s="0" t="n">
        <f aca="false">CD11+BU12-BZ12</f>
        <v>5970399.23310278</v>
      </c>
    </row>
    <row r="13" customFormat="false" ht="15" hidden="false" customHeight="false" outlineLevel="0" collapsed="false">
      <c r="A13" s="0" t="n">
        <f aca="false">ROW()-5</f>
        <v>8</v>
      </c>
      <c r="B13" s="0" t="n">
        <f aca="false">Inputs!$D$58-(A13-1)</f>
        <v>29</v>
      </c>
      <c r="C13" s="0" t="n">
        <f aca="false">IF(B13&lt;=0,0,IF(A13=1,Inputs!$B$58,H12))</f>
        <v>29625653.0324651</v>
      </c>
      <c r="D13" s="0" t="n">
        <f aca="false">C13*Inputs!$B$9</f>
        <v>75102.4706539574</v>
      </c>
      <c r="E13" s="0" t="n">
        <f aca="false">(C13-D13)*Inputs!$C$58/12</f>
        <v>179765.849251018</v>
      </c>
      <c r="F13" s="0" t="n">
        <f aca="false">IF(B13&lt;=0,0,IF(B13=1,C13-D13,MIN((C13-D13)*(Inputs!$C$58/12)/(1-(1+Inputs!$C$58/12)^(-B13))-E13,C13-D13)))</f>
        <v>934831.29989382</v>
      </c>
      <c r="G13" s="0" t="n">
        <f aca="false">(C13-D13-F13)*Inputs!$B$10</f>
        <v>250147.484976503</v>
      </c>
      <c r="H13" s="0" t="n">
        <f aca="false">C13-D13-F13-G13</f>
        <v>28365571.7769408</v>
      </c>
      <c r="I13" s="0" t="n">
        <f aca="false">Inputs!$D$59-(A13-1)</f>
        <v>41</v>
      </c>
      <c r="J13" s="0" t="n">
        <f aca="false">IF(I13&lt;=0,0,IF(A13=1,Inputs!$B$59,O12))</f>
        <v>60877508.2887678</v>
      </c>
      <c r="K13" s="0" t="n">
        <f aca="false">J13*Inputs!$B$9</f>
        <v>154327.443001272</v>
      </c>
      <c r="L13" s="0" t="n">
        <f aca="false">(J13-K13)*Inputs!$C$59/12</f>
        <v>394700.675497482</v>
      </c>
      <c r="M13" s="0" t="n">
        <f aca="false">IF(I13&lt;=0,0,IF(I13=1,J13-K13,MIN((J13-K13)*(Inputs!$C$59/12)/(1-(1+Inputs!$C$59/12)^(-I13))-L13,J13-K13)))</f>
        <v>1297238.09920252</v>
      </c>
      <c r="N13" s="0" t="n">
        <f aca="false">(J13-K13-M13)*Inputs!$B$10</f>
        <v>519478.472106544</v>
      </c>
      <c r="O13" s="0" t="n">
        <f aca="false">J13-K13-M13-N13</f>
        <v>58906464.2744575</v>
      </c>
      <c r="P13" s="0" t="n">
        <f aca="false">Inputs!$D$60-(A13-1)</f>
        <v>41</v>
      </c>
      <c r="Q13" s="0" t="n">
        <f aca="false">IF(P13&lt;=0,0,IF(A13=1,Inputs!$B$60,V12))</f>
        <v>17439361.7086437</v>
      </c>
      <c r="R13" s="0" t="n">
        <f aca="false">Q13*Inputs!$B$9</f>
        <v>44209.6297256939</v>
      </c>
      <c r="S13" s="0" t="n">
        <f aca="false">(Q13-R13)*Inputs!$C$60/12</f>
        <v>120316.46854585</v>
      </c>
      <c r="T13" s="0" t="n">
        <f aca="false">IF(P13&lt;=0,0,IF(P13=1,Q13-R13,MIN((Q13-R13)*(Inputs!$C$60/12)/(1-(1+Inputs!$C$60/12)^(-P13))-S13,Q13-R13)))</f>
        <v>368409.115546292</v>
      </c>
      <c r="U13" s="0" t="n">
        <f aca="false">(Q13-R13-T13)*Inputs!$B$10</f>
        <v>148841.162811416</v>
      </c>
      <c r="V13" s="0" t="n">
        <f aca="false">Q13-R13-T13-U13</f>
        <v>16877901.8005603</v>
      </c>
      <c r="W13" s="0" t="n">
        <f aca="false">Inputs!$D$61-(A13-1)</f>
        <v>53</v>
      </c>
      <c r="X13" s="0" t="n">
        <f aca="false">IF(W13&lt;=0,0,IF(A13=1,Inputs!$B$61,AC12))</f>
        <v>56160346.0533266</v>
      </c>
      <c r="Y13" s="0" t="n">
        <f aca="false">X13*Inputs!$B$9</f>
        <v>142369.207415074</v>
      </c>
      <c r="Z13" s="0" t="n">
        <f aca="false">(X13-Y13)*Inputs!$C$61/12</f>
        <v>410798.496870018</v>
      </c>
      <c r="AA13" s="0" t="n">
        <f aca="false">IF(W13&lt;=0,0,IF(W13=1,X13-Y13,MIN((X13-Y13)*(Inputs!$C$61/12)/(1-(1+Inputs!$C$61/12)^(-W13))-Z13,X13-Y13)))</f>
        <v>868638.191505358</v>
      </c>
      <c r="AB13" s="0" t="n">
        <f aca="false">(X13-Y13-AA13)*Inputs!$B$10</f>
        <v>482094.062925636</v>
      </c>
      <c r="AC13" s="0" t="n">
        <f aca="false">X13-Y13-AA13-AB13</f>
        <v>54667244.5914805</v>
      </c>
      <c r="AD13" s="0" t="n">
        <f aca="false">Inputs!$D$62-(A13-1)</f>
        <v>53</v>
      </c>
      <c r="AE13" s="0" t="n">
        <f aca="false">IF(AD13&lt;=0,0,IF(A13=1,Inputs!$B$62,AJ12))</f>
        <v>15898431.983821</v>
      </c>
      <c r="AF13" s="0" t="n">
        <f aca="false">AE13*Inputs!$B$9</f>
        <v>40303.2979627623</v>
      </c>
      <c r="AG13" s="0" t="n">
        <f aca="false">(AE13-AF13)*Inputs!$C$62/12</f>
        <v>122900.497315401</v>
      </c>
      <c r="AH13" s="0" t="n">
        <f aca="false">IF(AD13&lt;=0,0,IF(AD13=1,AE13-AF13,MIN((AE13-AF13)*(Inputs!$C$62/12)/(1-(1+Inputs!$C$62/12)^(-AD13))-AG13,AE13-AF13)))</f>
        <v>243096.590968899</v>
      </c>
      <c r="AI13" s="0" t="n">
        <f aca="false">(AE13-AF13-AH13)*Inputs!$B$10</f>
        <v>136500.535618625</v>
      </c>
      <c r="AJ13" s="0" t="n">
        <f aca="false">AE13-AF13-AH13-AI13</f>
        <v>15478531.5592707</v>
      </c>
      <c r="AK13" s="0" t="n">
        <f aca="false">Inputs!$D$63-(A13-1)</f>
        <v>53</v>
      </c>
      <c r="AL13" s="0" t="n">
        <f aca="false">IF(AK13&lt;=0,0,IF(A13=1,Inputs!$B$63,AQ12))</f>
        <v>19006176.5716228</v>
      </c>
      <c r="AM13" s="0" t="n">
        <f aca="false">AL13*Inputs!$B$9</f>
        <v>48181.5815722278</v>
      </c>
      <c r="AN13" s="0" t="n">
        <f aca="false">(AL13-AM13)*Inputs!$C$63/12</f>
        <v>150874.043462486</v>
      </c>
      <c r="AO13" s="0" t="n">
        <f aca="false">IF(AK13&lt;=0,0,IF(AK13=1,AL13-AM13,MIN((AL13-AM13)*(Inputs!$C$63/12)/(1-(1+Inputs!$C$63/12)^(-AK13))-AN13,AL13-AM13)))</f>
        <v>288949.110237296</v>
      </c>
      <c r="AP13" s="0" t="n">
        <f aca="false">(AL13-AM13-AO13)*Inputs!$B$10</f>
        <v>163197.535976712</v>
      </c>
      <c r="AQ13" s="0" t="n">
        <f aca="false">AL13-AM13-AO13-AP13</f>
        <v>18505848.3438366</v>
      </c>
      <c r="AR13" s="0" t="n">
        <f aca="false">Inputs!$D$64-(A13-1)</f>
        <v>65</v>
      </c>
      <c r="AS13" s="0" t="n">
        <f aca="false">IF(AR13&lt;=0,0,IF(A13=1,Inputs!$B$64,AX12))</f>
        <v>30125636.6452761</v>
      </c>
      <c r="AT13" s="0" t="n">
        <f aca="false">AS13*Inputs!$B$9</f>
        <v>76369.9534185549</v>
      </c>
      <c r="AU13" s="0" t="n">
        <f aca="false">(AS13-AT13)*Inputs!$C$64/12</f>
        <v>245402.34465017</v>
      </c>
      <c r="AV13" s="0" t="n">
        <f aca="false">IF(AR13&lt;=0,0,IF(AR13=1,AS13-AT13,MIN((AS13-AT13)*(Inputs!$C$64/12)/(1-(1+Inputs!$C$64/12)^(-AR13))-AU13,AS13-AT13)))</f>
        <v>352241.916763115</v>
      </c>
      <c r="AW13" s="0" t="n">
        <f aca="false">(AS13-AT13-AV13)*Inputs!$B$10</f>
        <v>259599.837095865</v>
      </c>
      <c r="AX13" s="0" t="n">
        <f aca="false">AS13-AT13-AV13-AW13</f>
        <v>29437424.9379986</v>
      </c>
      <c r="AY13" s="0" t="n">
        <f aca="false">Inputs!$D$65-(A13-1)</f>
        <v>65</v>
      </c>
      <c r="AZ13" s="0" t="n">
        <f aca="false">IF(AY13&lt;=0,0,IF(A13=1,Inputs!$B$65,BE12))</f>
        <v>31189234.9622913</v>
      </c>
      <c r="BA13" s="0" t="n">
        <f aca="false">AZ13*Inputs!$B$9</f>
        <v>79066.2268577832</v>
      </c>
      <c r="BB13" s="0" t="n">
        <f aca="false">(AZ13-BA13)*Inputs!$C$65/12</f>
        <v>267028.948312471</v>
      </c>
      <c r="BC13" s="0" t="n">
        <f aca="false">IF(AY13&lt;=0,0,IF(AY13=1,AZ13-BA13,MIN((AZ13-BA13)*(Inputs!$C$65/12)/(1-(1+Inputs!$C$65/12)^(-AY13))-BB13,AZ13-BA13)))</f>
        <v>359453.540521278</v>
      </c>
      <c r="BD13" s="0" t="n">
        <f aca="false">(AZ13-BA13-BC13)*Inputs!$B$10</f>
        <v>268810.788812603</v>
      </c>
      <c r="BE13" s="0" t="n">
        <f aca="false">AZ13-BA13-BC13-BD13</f>
        <v>30481904.4060996</v>
      </c>
      <c r="BF13" s="0" t="n">
        <f aca="false">Inputs!$D$66-(A13-1)</f>
        <v>77</v>
      </c>
      <c r="BG13" s="0" t="n">
        <f aca="false">IF(BF13&lt;=0,0,IF(A13=1,Inputs!$B$66,BL12))</f>
        <v>31409840.6213785</v>
      </c>
      <c r="BH13" s="0" t="n">
        <f aca="false">BG13*Inputs!$B$9</f>
        <v>79625.4729280568</v>
      </c>
      <c r="BI13" s="0" t="n">
        <f aca="false">(BG13-BH13)*Inputs!$C$66/12</f>
        <v>275444.808180126</v>
      </c>
      <c r="BJ13" s="0" t="n">
        <f aca="false">IF(BF13&lt;=0,0,IF(BF13=1,BG13-BH13,MIN((BG13-BH13)*(Inputs!$C$66/12)/(1-(1+Inputs!$C$66/12)^(-BF13))-BI13,BG13-BH13)))</f>
        <v>286304.432948686</v>
      </c>
      <c r="BK13" s="0" t="n">
        <f aca="false">(BG13-BH13-BJ13)*Inputs!$B$10</f>
        <v>271373.789987257</v>
      </c>
      <c r="BL13" s="0" t="n">
        <f aca="false">BG13-BH13-BJ13-BK13</f>
        <v>30772536.9255145</v>
      </c>
      <c r="BM13" s="0" t="n">
        <f aca="false">Inputs!$D$67-(A13-1)</f>
        <v>77</v>
      </c>
      <c r="BN13" s="0" t="n">
        <f aca="false">IF(BM13&lt;=0,0,IF(A13=1,Inputs!$B$67,BS12))</f>
        <v>41200172.377532</v>
      </c>
      <c r="BO13" s="0" t="n">
        <f aca="false">BN13*Inputs!$B$9</f>
        <v>104444.439875495</v>
      </c>
      <c r="BP13" s="0" t="n">
        <f aca="false">(BN13-BO13)*Inputs!$C$67/12</f>
        <v>378423.161425921</v>
      </c>
      <c r="BQ13" s="0" t="n">
        <f aca="false">IF(BM13&lt;=0,0,IF(BM13=1,BN13-BO13,MIN((BN13-BO13)*(Inputs!$C$67/12)/(1-(1+Inputs!$C$67/12)^(-BM13))-BP13,BN13-BO13)))</f>
        <v>369027.578243283</v>
      </c>
      <c r="BR13" s="0" t="n">
        <f aca="false">(BN13-BO13-BQ13)*Inputs!$B$10</f>
        <v>356016.970010498</v>
      </c>
      <c r="BS13" s="0" t="n">
        <f aca="false">BN13-BO13-BQ13-BR13</f>
        <v>40370683.3894028</v>
      </c>
      <c r="BT13" s="0" t="n">
        <f aca="false">C13+J13+Q13+X13+AE13+AL13+AS13+AZ13+BG13+BN13</f>
        <v>332932362.245125</v>
      </c>
      <c r="BU13" s="0" t="n">
        <f aca="false">D13+K13+R13+Y13+AF13+AM13+AT13+BA13+BH13+BO13</f>
        <v>843999.723410878</v>
      </c>
      <c r="BV13" s="0" t="n">
        <f aca="false">E13+L13+S13+Z13+AG13+AN13+AU13+BB13+BI13+BP13</f>
        <v>2545655.29351094</v>
      </c>
      <c r="BW13" s="0" t="n">
        <f aca="false">F13+M13+T13+AA13+AH13+AO13+AV13+BC13+BJ13+BQ13</f>
        <v>5368189.87583055</v>
      </c>
      <c r="BX13" s="0" t="n">
        <f aca="false">G13+N13+U13+AB13+AI13+AP13+AW13+BD13+BK13+BR13</f>
        <v>2856060.64032166</v>
      </c>
      <c r="BY13" s="0" t="n">
        <f aca="false">H13+O13+V13+AC13+AJ13+AQ13+AX13+BE13+BL13+BS13</f>
        <v>323864112.005562</v>
      </c>
      <c r="BZ13" s="0" t="n">
        <f aca="false">IF(A13&gt;Inputs!$B$7,(1-Inputs!$B$6)*INDEX($BU$6:$BU$125,A13-Inputs!$B$7),0)</f>
        <v>593236.865741117</v>
      </c>
      <c r="CA13" s="0" t="n">
        <f aca="false">CA12+(1-Inputs!$B$6)*BU13-BZ13</f>
        <v>3252037.84123876</v>
      </c>
      <c r="CB13" s="0" t="n">
        <f aca="false">BY13+CA13</f>
        <v>327116149.846801</v>
      </c>
      <c r="CC13" s="0" t="n">
        <f aca="false">BV13+BW13+BX13+BZ13</f>
        <v>11363142.6754043</v>
      </c>
      <c r="CD13" s="0" t="n">
        <f aca="false">CD12+BU13-BZ13</f>
        <v>6221162.09077254</v>
      </c>
    </row>
    <row r="14" customFormat="false" ht="15" hidden="false" customHeight="false" outlineLevel="0" collapsed="false">
      <c r="A14" s="0" t="n">
        <f aca="false">ROW()-5</f>
        <v>9</v>
      </c>
      <c r="B14" s="0" t="n">
        <f aca="false">Inputs!$D$58-(A14-1)</f>
        <v>28</v>
      </c>
      <c r="C14" s="0" t="n">
        <f aca="false">IF(B14&lt;=0,0,IF(A14=1,Inputs!$B$58,H13))</f>
        <v>28365571.7769408</v>
      </c>
      <c r="D14" s="0" t="n">
        <f aca="false">C14*Inputs!$B$9</f>
        <v>71908.1034138189</v>
      </c>
      <c r="E14" s="0" t="n">
        <f aca="false">(C14-D14)*Inputs!$C$58/12</f>
        <v>172119.787347289</v>
      </c>
      <c r="F14" s="0" t="n">
        <f aca="false">IF(B14&lt;=0,0,IF(B14=1,C14-D14,MIN((C14-D14)*(Inputs!$C$58/12)/(1-(1+Inputs!$C$58/12)^(-B14))-E14,C14-D14)))</f>
        <v>929933.129118983</v>
      </c>
      <c r="G14" s="0" t="n">
        <f aca="false">(C14-D14-F14)*Inputs!$B$10</f>
        <v>239203.086688367</v>
      </c>
      <c r="H14" s="0" t="n">
        <f aca="false">C14-D14-F14-G14</f>
        <v>27124527.4577197</v>
      </c>
      <c r="I14" s="0" t="n">
        <f aca="false">Inputs!$D$59-(A14-1)</f>
        <v>40</v>
      </c>
      <c r="J14" s="0" t="n">
        <f aca="false">IF(I14&lt;=0,0,IF(A14=1,Inputs!$B$59,O13))</f>
        <v>58906464.2744575</v>
      </c>
      <c r="K14" s="0" t="n">
        <f aca="false">J14*Inputs!$B$9</f>
        <v>149330.750604984</v>
      </c>
      <c r="L14" s="0" t="n">
        <f aca="false">(J14-K14)*Inputs!$C$59/12</f>
        <v>381921.367905041</v>
      </c>
      <c r="M14" s="0" t="n">
        <f aca="false">IF(I14&lt;=0,0,IF(I14=1,J14-K14,MIN((J14-K14)*(Inputs!$C$59/12)/(1-(1+Inputs!$C$59/12)^(-I14))-L14,J14-K14)))</f>
        <v>1290975.48327667</v>
      </c>
      <c r="N14" s="0" t="n">
        <f aca="false">(J14-K14-M14)*Inputs!$B$10</f>
        <v>502346.796651831</v>
      </c>
      <c r="O14" s="0" t="n">
        <f aca="false">J14-K14-M14-N14</f>
        <v>56963811.243924</v>
      </c>
      <c r="P14" s="0" t="n">
        <f aca="false">Inputs!$D$60-(A14-1)</f>
        <v>40</v>
      </c>
      <c r="Q14" s="0" t="n">
        <f aca="false">IF(P14&lt;=0,0,IF(A14=1,Inputs!$B$60,V13))</f>
        <v>16877901.8005603</v>
      </c>
      <c r="R14" s="0" t="n">
        <f aca="false">Q14*Inputs!$B$9</f>
        <v>42786.3015639822</v>
      </c>
      <c r="S14" s="0" t="n">
        <f aca="false">(Q14-R14)*Inputs!$C$60/12</f>
        <v>116442.882201391</v>
      </c>
      <c r="T14" s="0" t="n">
        <f aca="false">IF(P14&lt;=0,0,IF(P14=1,Q14-R14,MIN((Q14-R14)*(Inputs!$C$60/12)/(1-(1+Inputs!$C$60/12)^(-P14))-S14,Q14-R14)))</f>
        <v>366782.340215212</v>
      </c>
      <c r="U14" s="0" t="n">
        <f aca="false">(Q14-R14-T14)*Inputs!$B$10</f>
        <v>143959.761546396</v>
      </c>
      <c r="V14" s="0" t="n">
        <f aca="false">Q14-R14-T14-U14</f>
        <v>16324373.3972347</v>
      </c>
      <c r="W14" s="0" t="n">
        <f aca="false">Inputs!$D$61-(A14-1)</f>
        <v>52</v>
      </c>
      <c r="X14" s="0" t="n">
        <f aca="false">IF(W14&lt;=0,0,IF(A14=1,Inputs!$B$61,AC13))</f>
        <v>54667244.5914805</v>
      </c>
      <c r="Y14" s="0" t="n">
        <f aca="false">X14*Inputs!$B$9</f>
        <v>138584.122623904</v>
      </c>
      <c r="Z14" s="0" t="n">
        <f aca="false">(X14-Y14)*Inputs!$C$61/12</f>
        <v>399876.843438282</v>
      </c>
      <c r="AA14" s="0" t="n">
        <f aca="false">IF(W14&lt;=0,0,IF(W14=1,X14-Y14,MIN((X14-Y14)*(Inputs!$C$61/12)/(1-(1+Inputs!$C$61/12)^(-W14))-Z14,X14-Y14)))</f>
        <v>865160.425802756</v>
      </c>
      <c r="AB14" s="0" t="n">
        <f aca="false">(X14-Y14-AA14)*Inputs!$B$10</f>
        <v>469105.439843728</v>
      </c>
      <c r="AC14" s="0" t="n">
        <f aca="false">X14-Y14-AA14-AB14</f>
        <v>53194394.6032102</v>
      </c>
      <c r="AD14" s="0" t="n">
        <f aca="false">Inputs!$D$62-(A14-1)</f>
        <v>52</v>
      </c>
      <c r="AE14" s="0" t="n">
        <f aca="false">IF(AD14&lt;=0,0,IF(A14=1,Inputs!$B$62,AJ13))</f>
        <v>15478531.5592707</v>
      </c>
      <c r="AF14" s="0" t="n">
        <f aca="false">AE14*Inputs!$B$9</f>
        <v>39238.8299735566</v>
      </c>
      <c r="AG14" s="0" t="n">
        <f aca="false">(AE14-AF14)*Inputs!$C$62/12</f>
        <v>119654.518652053</v>
      </c>
      <c r="AH14" s="0" t="n">
        <f aca="false">IF(AD14&lt;=0,0,IF(AD14=1,AE14-AF14,MIN((AE14-AF14)*(Inputs!$C$62/12)/(1-(1+Inputs!$C$62/12)^(-AD14))-AG14,AE14-AF14)))</f>
        <v>242223.455709662</v>
      </c>
      <c r="AI14" s="0" t="n">
        <f aca="false">(AE14-AF14-AH14)*Inputs!$B$10</f>
        <v>132846.867241277</v>
      </c>
      <c r="AJ14" s="0" t="n">
        <f aca="false">AE14-AF14-AH14-AI14</f>
        <v>15064222.4063462</v>
      </c>
      <c r="AK14" s="0" t="n">
        <f aca="false">Inputs!$D$63-(A14-1)</f>
        <v>52</v>
      </c>
      <c r="AL14" s="0" t="n">
        <f aca="false">IF(AK14&lt;=0,0,IF(A14=1,Inputs!$B$63,AQ13))</f>
        <v>18505848.3438366</v>
      </c>
      <c r="AM14" s="0" t="n">
        <f aca="false">AL14*Inputs!$B$9</f>
        <v>46913.2251919149</v>
      </c>
      <c r="AN14" s="0" t="n">
        <f aca="false">(AL14-AM14)*Inputs!$C$63/12</f>
        <v>146902.358652547</v>
      </c>
      <c r="AO14" s="0" t="n">
        <f aca="false">IF(AK14&lt;=0,0,IF(AK14=1,AL14-AM14,MIN((AL14-AM14)*(Inputs!$C$63/12)/(1-(1+Inputs!$C$63/12)^(-AK14))-AN14,AL14-AM14)))</f>
        <v>287970.80573346</v>
      </c>
      <c r="AP14" s="0" t="n">
        <f aca="false">(AL14-AM14-AO14)*Inputs!$B$10</f>
        <v>158843.500695148</v>
      </c>
      <c r="AQ14" s="0" t="n">
        <f aca="false">AL14-AM14-AO14-AP14</f>
        <v>18012120.8122161</v>
      </c>
      <c r="AR14" s="0" t="n">
        <f aca="false">Inputs!$D$64-(A14-1)</f>
        <v>64</v>
      </c>
      <c r="AS14" s="0" t="n">
        <f aca="false">IF(AR14&lt;=0,0,IF(A14=1,Inputs!$B$64,AX13))</f>
        <v>29437424.9379986</v>
      </c>
      <c r="AT14" s="0" t="n">
        <f aca="false">AS14*Inputs!$B$9</f>
        <v>74625.3032839948</v>
      </c>
      <c r="AU14" s="0" t="n">
        <f aca="false">(AS14-AT14)*Inputs!$C$64/12</f>
        <v>239796.197016836</v>
      </c>
      <c r="AV14" s="0" t="n">
        <f aca="false">IF(AR14&lt;=0,0,IF(AR14=1,AS14-AT14,MIN((AS14-AT14)*(Inputs!$C$64/12)/(1-(1+Inputs!$C$64/12)^(-AR14))-AU14,AS14-AT14)))</f>
        <v>351121.877558515</v>
      </c>
      <c r="AW14" s="0" t="n">
        <f aca="false">(AS14-AT14-AV14)*Inputs!$B$10</f>
        <v>253608.800096087</v>
      </c>
      <c r="AX14" s="0" t="n">
        <f aca="false">AS14-AT14-AV14-AW14</f>
        <v>28758068.95706</v>
      </c>
      <c r="AY14" s="0" t="n">
        <f aca="false">Inputs!$D$65-(A14-1)</f>
        <v>64</v>
      </c>
      <c r="AZ14" s="0" t="n">
        <f aca="false">IF(AY14&lt;=0,0,IF(A14=1,Inputs!$B$65,BE13))</f>
        <v>30481904.4060996</v>
      </c>
      <c r="BA14" s="0" t="n">
        <f aca="false">AZ14*Inputs!$B$9</f>
        <v>77273.1095117852</v>
      </c>
      <c r="BB14" s="0" t="n">
        <f aca="false">(AZ14-BA14)*Inputs!$C$65/12</f>
        <v>260973.085295712</v>
      </c>
      <c r="BC14" s="0" t="n">
        <f aca="false">IF(AY14&lt;=0,0,IF(AY14=1,AZ14-BA14,MIN((AZ14-BA14)*(Inputs!$C$65/12)/(1-(1+Inputs!$C$65/12)^(-AY14))-BB14,AZ14-BA14)))</f>
        <v>358458.656893828</v>
      </c>
      <c r="BD14" s="0" t="n">
        <f aca="false">(AZ14-BA14-BC14)*Inputs!$B$10</f>
        <v>262651.951893858</v>
      </c>
      <c r="BE14" s="0" t="n">
        <f aca="false">AZ14-BA14-BC14-BD14</f>
        <v>29783520.6878001</v>
      </c>
      <c r="BF14" s="0" t="n">
        <f aca="false">Inputs!$D$66-(A14-1)</f>
        <v>76</v>
      </c>
      <c r="BG14" s="0" t="n">
        <f aca="false">IF(BF14&lt;=0,0,IF(A14=1,Inputs!$B$66,BL13))</f>
        <v>30772536.9255145</v>
      </c>
      <c r="BH14" s="0" t="n">
        <f aca="false">BG14*Inputs!$B$9</f>
        <v>78009.8770772637</v>
      </c>
      <c r="BI14" s="0" t="n">
        <f aca="false">(BG14-BH14)*Inputs!$C$66/12</f>
        <v>269856.050300844</v>
      </c>
      <c r="BJ14" s="0" t="n">
        <f aca="false">IF(BF14&lt;=0,0,IF(BF14=1,BG14-BH14,MIN((BG14-BH14)*(Inputs!$C$66/12)/(1-(1+Inputs!$C$66/12)^(-BF14))-BI14,BG14-BH14)))</f>
        <v>285570.984465666</v>
      </c>
      <c r="BK14" s="0" t="n">
        <f aca="false">(BG14-BH14-BJ14)*Inputs!$B$10</f>
        <v>265823.263449705</v>
      </c>
      <c r="BL14" s="0" t="n">
        <f aca="false">BG14-BH14-BJ14-BK14</f>
        <v>30143132.8005218</v>
      </c>
      <c r="BM14" s="0" t="n">
        <f aca="false">Inputs!$D$67-(A14-1)</f>
        <v>76</v>
      </c>
      <c r="BN14" s="0" t="n">
        <f aca="false">IF(BM14&lt;=0,0,IF(A14=1,Inputs!$B$67,BS13))</f>
        <v>40370683.3894028</v>
      </c>
      <c r="BO14" s="0" t="n">
        <f aca="false">BN14*Inputs!$B$9</f>
        <v>102341.644965945</v>
      </c>
      <c r="BP14" s="0" t="n">
        <f aca="false">(BN14-BO14)*Inputs!$C$67/12</f>
        <v>370804.313563356</v>
      </c>
      <c r="BQ14" s="0" t="n">
        <f aca="false">IF(BM14&lt;=0,0,IF(BM14=1,BN14-BO14,MIN((BN14-BO14)*(Inputs!$C$67/12)/(1-(1+Inputs!$C$67/12)^(-BM14))-BP14,BN14-BO14)))</f>
        <v>368234.242384249</v>
      </c>
      <c r="BR14" s="0" t="n">
        <f aca="false">(BN14-BO14-BQ14)*Inputs!$B$10</f>
        <v>348791.21683352</v>
      </c>
      <c r="BS14" s="0" t="n">
        <f aca="false">BN14-BO14-BQ14-BR14</f>
        <v>39551316.2852191</v>
      </c>
      <c r="BT14" s="0" t="n">
        <f aca="false">C14+J14+Q14+X14+AE14+AL14+AS14+AZ14+BG14+BN14</f>
        <v>323864112.005562</v>
      </c>
      <c r="BU14" s="0" t="n">
        <f aca="false">D14+K14+R14+Y14+AF14+AM14+AT14+BA14+BH14+BO14</f>
        <v>821011.268211149</v>
      </c>
      <c r="BV14" s="0" t="n">
        <f aca="false">E14+L14+S14+Z14+AG14+AN14+AU14+BB14+BI14+BP14</f>
        <v>2478347.40437335</v>
      </c>
      <c r="BW14" s="0" t="n">
        <f aca="false">F14+M14+T14+AA14+AH14+AO14+AV14+BC14+BJ14+BQ14</f>
        <v>5346431.401159</v>
      </c>
      <c r="BX14" s="0" t="n">
        <f aca="false">G14+N14+U14+AB14+AI14+AP14+AW14+BD14+BK14+BR14</f>
        <v>2777180.68493992</v>
      </c>
      <c r="BY14" s="0" t="n">
        <f aca="false">H14+O14+V14+AC14+AJ14+AQ14+AX14+BE14+BL14+BS14</f>
        <v>314919488.651252</v>
      </c>
      <c r="BZ14" s="0" t="n">
        <f aca="false">IF(A14&gt;Inputs!$B$7,(1-Inputs!$B$6)*INDEX($BU$6:$BU$125,A14-Inputs!$B$7),0)</f>
        <v>578266.658071011</v>
      </c>
      <c r="CA14" s="0" t="n">
        <f aca="false">CA13+(1-Inputs!$B$6)*BU14-BZ14</f>
        <v>3166377.94409444</v>
      </c>
      <c r="CB14" s="0" t="n">
        <f aca="false">BY14+CA14</f>
        <v>318085866.595346</v>
      </c>
      <c r="CC14" s="0" t="n">
        <f aca="false">BV14+BW14+BX14+BZ14</f>
        <v>11180226.1485433</v>
      </c>
      <c r="CD14" s="0" t="n">
        <f aca="false">CD13+BU14-BZ14</f>
        <v>6463906.70091268</v>
      </c>
    </row>
    <row r="15" customFormat="false" ht="15" hidden="false" customHeight="false" outlineLevel="0" collapsed="false">
      <c r="A15" s="0" t="n">
        <f aca="false">ROW()-5</f>
        <v>10</v>
      </c>
      <c r="B15" s="0" t="n">
        <f aca="false">Inputs!$D$58-(A15-1)</f>
        <v>27</v>
      </c>
      <c r="C15" s="0" t="n">
        <f aca="false">IF(B15&lt;=0,0,IF(A15=1,Inputs!$B$58,H14))</f>
        <v>27124527.4577197</v>
      </c>
      <c r="D15" s="0" t="n">
        <f aca="false">C15*Inputs!$B$9</f>
        <v>68761.9957326674</v>
      </c>
      <c r="E15" s="0" t="n">
        <f aca="false">(C15-D15)*Inputs!$C$58/12</f>
        <v>164589.239893754</v>
      </c>
      <c r="F15" s="0" t="n">
        <f aca="false">IF(B15&lt;=0,0,IF(B15=1,C15-D15,MIN((C15-D15)*(Inputs!$C$58/12)/(1-(1+Inputs!$C$58/12)^(-B15))-E15,C15-D15)))</f>
        <v>925060.622950094</v>
      </c>
      <c r="G15" s="0" t="n">
        <f aca="false">(C15-D15-F15)*Inputs!$B$10</f>
        <v>228424.455674872</v>
      </c>
      <c r="H15" s="0" t="n">
        <f aca="false">C15-D15-F15-G15</f>
        <v>25902280.383362</v>
      </c>
      <c r="I15" s="0" t="n">
        <f aca="false">Inputs!$D$59-(A15-1)</f>
        <v>39</v>
      </c>
      <c r="J15" s="0" t="n">
        <f aca="false">IF(I15&lt;=0,0,IF(A15=1,Inputs!$B$59,O14))</f>
        <v>56963811.243924</v>
      </c>
      <c r="K15" s="0" t="n">
        <f aca="false">J15*Inputs!$B$9</f>
        <v>144406.030732764</v>
      </c>
      <c r="L15" s="0" t="n">
        <f aca="false">(J15-K15)*Inputs!$C$59/12</f>
        <v>369326.133885743</v>
      </c>
      <c r="M15" s="0" t="n">
        <f aca="false">IF(I15&lt;=0,0,IF(I15=1,J15-K15,MIN((J15-K15)*(Inputs!$C$59/12)/(1-(1+Inputs!$C$59/12)^(-I15))-L15,J15-K15)))</f>
        <v>1284743.10108991</v>
      </c>
      <c r="N15" s="0" t="n">
        <f aca="false">(J15-K15-M15)*Inputs!$B$10</f>
        <v>485462.410684526</v>
      </c>
      <c r="O15" s="0" t="n">
        <f aca="false">J15-K15-M15-N15</f>
        <v>55049199.7014168</v>
      </c>
      <c r="P15" s="0" t="n">
        <f aca="false">Inputs!$D$60-(A15-1)</f>
        <v>39</v>
      </c>
      <c r="Q15" s="0" t="n">
        <f aca="false">IF(P15&lt;=0,0,IF(A15=1,Inputs!$B$60,V14))</f>
        <v>16324373.3972347</v>
      </c>
      <c r="R15" s="0" t="n">
        <f aca="false">Q15*Inputs!$B$9</f>
        <v>41383.0801524124</v>
      </c>
      <c r="S15" s="0" t="n">
        <f aca="false">(Q15-R15)*Inputs!$C$60/12</f>
        <v>112624.016359819</v>
      </c>
      <c r="T15" s="0" t="n">
        <f aca="false">IF(P15&lt;=0,0,IF(P15=1,Q15-R15,MIN((Q15-R15)*(Inputs!$C$60/12)/(1-(1+Inputs!$C$60/12)^(-P15))-S15,Q15-R15)))</f>
        <v>365162.748197103</v>
      </c>
      <c r="U15" s="0" t="n">
        <f aca="false">(Q15-R15-T15)*Inputs!$B$10</f>
        <v>139147.455851141</v>
      </c>
      <c r="V15" s="0" t="n">
        <f aca="false">Q15-R15-T15-U15</f>
        <v>15778680.1130341</v>
      </c>
      <c r="W15" s="0" t="n">
        <f aca="false">Inputs!$D$61-(A15-1)</f>
        <v>51</v>
      </c>
      <c r="X15" s="0" t="n">
        <f aca="false">IF(W15&lt;=0,0,IF(A15=1,Inputs!$B$61,AC14))</f>
        <v>53194394.6032102</v>
      </c>
      <c r="Y15" s="0" t="n">
        <f aca="false">X15*Inputs!$B$9</f>
        <v>134850.37630275</v>
      </c>
      <c r="Z15" s="0" t="n">
        <f aca="false">(X15-Y15)*Inputs!$C$61/12</f>
        <v>389103.324330654</v>
      </c>
      <c r="AA15" s="0" t="n">
        <f aca="false">IF(W15&lt;=0,0,IF(W15=1,X15-Y15,MIN((X15-Y15)*(Inputs!$C$61/12)/(1-(1+Inputs!$C$61/12)^(-W15))-Z15,X15-Y15)))</f>
        <v>861696.584026595</v>
      </c>
      <c r="AB15" s="0" t="n">
        <f aca="false">(X15-Y15-AA15)*Inputs!$B$10</f>
        <v>456293.276766597</v>
      </c>
      <c r="AC15" s="0" t="n">
        <f aca="false">X15-Y15-AA15-AB15</f>
        <v>51741554.3661142</v>
      </c>
      <c r="AD15" s="0" t="n">
        <f aca="false">Inputs!$D$62-(A15-1)</f>
        <v>51</v>
      </c>
      <c r="AE15" s="0" t="n">
        <f aca="false">IF(AD15&lt;=0,0,IF(A15=1,Inputs!$B$62,AJ14))</f>
        <v>15064222.4063462</v>
      </c>
      <c r="AF15" s="0" t="n">
        <f aca="false">AE15*Inputs!$B$9</f>
        <v>38188.5361297355</v>
      </c>
      <c r="AG15" s="0" t="n">
        <f aca="false">(AE15-AF15)*Inputs!$C$62/12</f>
        <v>116451.762494178</v>
      </c>
      <c r="AH15" s="0" t="n">
        <f aca="false">IF(AD15&lt;=0,0,IF(AD15=1,AE15-AF15,MIN((AE15-AF15)*(Inputs!$C$62/12)/(1-(1+Inputs!$C$62/12)^(-AD15))-AG15,AE15-AF15)))</f>
        <v>241353.456509133</v>
      </c>
      <c r="AI15" s="0" t="n">
        <f aca="false">(AE15-AF15-AH15)*Inputs!$B$10</f>
        <v>129241.924266154</v>
      </c>
      <c r="AJ15" s="0" t="n">
        <f aca="false">AE15-AF15-AH15-AI15</f>
        <v>14655438.4894412</v>
      </c>
      <c r="AK15" s="0" t="n">
        <f aca="false">Inputs!$D$63-(A15-1)</f>
        <v>51</v>
      </c>
      <c r="AL15" s="0" t="n">
        <f aca="false">IF(AK15&lt;=0,0,IF(A15=1,Inputs!$B$63,AQ14))</f>
        <v>18012120.8122161</v>
      </c>
      <c r="AM15" s="0" t="n">
        <f aca="false">AL15*Inputs!$B$9</f>
        <v>45661.6018972673</v>
      </c>
      <c r="AN15" s="0" t="n">
        <f aca="false">(AL15-AM15)*Inputs!$C$63/12</f>
        <v>142983.071215454</v>
      </c>
      <c r="AO15" s="0" t="n">
        <f aca="false">IF(AK15&lt;=0,0,IF(AK15=1,AL15-AM15,MIN((AL15-AM15)*(Inputs!$C$63/12)/(1-(1+Inputs!$C$63/12)^(-AK15))-AN15,AL15-AM15)))</f>
        <v>286995.813507351</v>
      </c>
      <c r="AP15" s="0" t="n">
        <f aca="false">(AL15-AM15-AO15)*Inputs!$B$10</f>
        <v>154546.990902727</v>
      </c>
      <c r="AQ15" s="0" t="n">
        <f aca="false">AL15-AM15-AO15-AP15</f>
        <v>17524916.4059087</v>
      </c>
      <c r="AR15" s="0" t="n">
        <f aca="false">Inputs!$D$64-(A15-1)</f>
        <v>63</v>
      </c>
      <c r="AS15" s="0" t="n">
        <f aca="false">IF(AR15&lt;=0,0,IF(A15=1,Inputs!$B$64,AX14))</f>
        <v>28758068.95706</v>
      </c>
      <c r="AT15" s="0" t="n">
        <f aca="false">AS15*Inputs!$B$9</f>
        <v>72903.1028462147</v>
      </c>
      <c r="AU15" s="0" t="n">
        <f aca="false">(AS15-AT15)*Inputs!$C$64/12</f>
        <v>234262.187809412</v>
      </c>
      <c r="AV15" s="0" t="n">
        <f aca="false">IF(AR15&lt;=0,0,IF(AR15=1,AS15-AT15,MIN((AS15-AT15)*(Inputs!$C$64/12)/(1-(1+Inputs!$C$64/12)^(-AR15))-AU15,AS15-AT15)))</f>
        <v>350005.399792119</v>
      </c>
      <c r="AW15" s="0" t="n">
        <f aca="false">(AS15-AT15-AV15)*Inputs!$B$10</f>
        <v>247694.949031461</v>
      </c>
      <c r="AX15" s="0" t="n">
        <f aca="false">AS15-AT15-AV15-AW15</f>
        <v>28087465.5053902</v>
      </c>
      <c r="AY15" s="0" t="n">
        <f aca="false">Inputs!$D$65-(A15-1)</f>
        <v>63</v>
      </c>
      <c r="AZ15" s="0" t="n">
        <f aca="false">IF(AY15&lt;=0,0,IF(A15=1,Inputs!$B$65,BE14))</f>
        <v>29783520.6878001</v>
      </c>
      <c r="BA15" s="0" t="n">
        <f aca="false">AZ15*Inputs!$B$9</f>
        <v>75502.672834784</v>
      </c>
      <c r="BB15" s="0" t="n">
        <f aca="false">(AZ15-BA15)*Inputs!$C$65/12</f>
        <v>254993.821295119</v>
      </c>
      <c r="BC15" s="0" t="n">
        <f aca="false">IF(AY15&lt;=0,0,IF(AY15=1,AZ15-BA15,MIN((AZ15-BA15)*(Inputs!$C$65/12)/(1-(1+Inputs!$C$65/12)^(-AY15))-BB15,AZ15-BA15)))</f>
        <v>357466.526872395</v>
      </c>
      <c r="BD15" s="0" t="n">
        <f aca="false">(AZ15-BA15-BC15)*Inputs!$B$10</f>
        <v>256571.102414703</v>
      </c>
      <c r="BE15" s="0" t="n">
        <f aca="false">AZ15-BA15-BC15-BD15</f>
        <v>29093980.3856782</v>
      </c>
      <c r="BF15" s="0" t="n">
        <f aca="false">Inputs!$D$66-(A15-1)</f>
        <v>75</v>
      </c>
      <c r="BG15" s="0" t="n">
        <f aca="false">IF(BF15&lt;=0,0,IF(A15=1,Inputs!$B$66,BL14))</f>
        <v>30143132.8005218</v>
      </c>
      <c r="BH15" s="0" t="n">
        <f aca="false">BG15*Inputs!$B$9</f>
        <v>76414.3070226581</v>
      </c>
      <c r="BI15" s="0" t="n">
        <f aca="false">(BG15-BH15)*Inputs!$C$66/12</f>
        <v>264336.566755347</v>
      </c>
      <c r="BJ15" s="0" t="n">
        <f aca="false">IF(BF15&lt;=0,0,IF(BF15=1,BG15-BH15,MIN((BG15-BH15)*(Inputs!$C$66/12)/(1-(1+Inputs!$C$66/12)^(-BF15))-BI15,BG15-BH15)))</f>
        <v>284839.414915053</v>
      </c>
      <c r="BK15" s="0" t="n">
        <f aca="false">(BG15-BH15-BJ15)*Inputs!$B$10</f>
        <v>260341.600404804</v>
      </c>
      <c r="BL15" s="0" t="n">
        <f aca="false">BG15-BH15-BJ15-BK15</f>
        <v>29521537.4781793</v>
      </c>
      <c r="BM15" s="0" t="n">
        <f aca="false">Inputs!$D$67-(A15-1)</f>
        <v>75</v>
      </c>
      <c r="BN15" s="0" t="n">
        <f aca="false">IF(BM15&lt;=0,0,IF(A15=1,Inputs!$B$67,BS14))</f>
        <v>39551316.2852191</v>
      </c>
      <c r="BO15" s="0" t="n">
        <f aca="false">BN15*Inputs!$B$9</f>
        <v>100264.509524261</v>
      </c>
      <c r="BP15" s="0" t="n">
        <f aca="false">(BN15-BO15)*Inputs!$C$67/12</f>
        <v>363278.43510119</v>
      </c>
      <c r="BQ15" s="0" t="n">
        <f aca="false">IF(BM15&lt;=0,0,IF(BM15=1,BN15-BO15,MIN((BN15-BO15)*(Inputs!$C$67/12)/(1-(1+Inputs!$C$67/12)^(-BM15))-BP15,BN15-BO15)))</f>
        <v>367442.612039444</v>
      </c>
      <c r="BR15" s="0" t="n">
        <f aca="false">(BN15-BO15-BQ15)*Inputs!$B$10</f>
        <v>341653.706014095</v>
      </c>
      <c r="BS15" s="0" t="n">
        <f aca="false">BN15-BO15-BQ15-BR15</f>
        <v>38741955.4576412</v>
      </c>
      <c r="BT15" s="0" t="n">
        <f aca="false">C15+J15+Q15+X15+AE15+AL15+AS15+AZ15+BG15+BN15</f>
        <v>314919488.651252</v>
      </c>
      <c r="BU15" s="0" t="n">
        <f aca="false">D15+K15+R15+Y15+AF15+AM15+AT15+BA15+BH15+BO15</f>
        <v>798336.213175514</v>
      </c>
      <c r="BV15" s="0" t="n">
        <f aca="false">E15+L15+S15+Z15+AG15+AN15+AU15+BB15+BI15+BP15</f>
        <v>2411948.55914067</v>
      </c>
      <c r="BW15" s="0" t="n">
        <f aca="false">F15+M15+T15+AA15+AH15+AO15+AV15+BC15+BJ15+BQ15</f>
        <v>5324766.2798992</v>
      </c>
      <c r="BX15" s="0" t="n">
        <f aca="false">G15+N15+U15+AB15+AI15+AP15+AW15+BD15+BK15+BR15</f>
        <v>2699377.87201108</v>
      </c>
      <c r="BY15" s="0" t="n">
        <f aca="false">H15+O15+V15+AC15+AJ15+AQ15+AX15+BE15+BL15+BS15</f>
        <v>306097008.286166</v>
      </c>
      <c r="BZ15" s="0" t="n">
        <f aca="false">IF(A15&gt;Inputs!$B$7,(1-Inputs!$B$6)*INDEX($BU$6:$BU$125,A15-Inputs!$B$7),0)</f>
        <v>563498.596464388</v>
      </c>
      <c r="CA15" s="0" t="n">
        <f aca="false">CA14+(1-Inputs!$B$6)*BU15-BZ15</f>
        <v>3081881.07553536</v>
      </c>
      <c r="CB15" s="0" t="n">
        <f aca="false">BY15+CA15</f>
        <v>309178889.361701</v>
      </c>
      <c r="CC15" s="0" t="n">
        <f aca="false">BV15+BW15+BX15+BZ15</f>
        <v>10999591.3075153</v>
      </c>
      <c r="CD15" s="0" t="n">
        <f aca="false">CD14+BU15-BZ15</f>
        <v>6698744.31762381</v>
      </c>
    </row>
    <row r="16" customFormat="false" ht="15" hidden="false" customHeight="false" outlineLevel="0" collapsed="false">
      <c r="A16" s="0" t="n">
        <f aca="false">ROW()-5</f>
        <v>11</v>
      </c>
      <c r="B16" s="0" t="n">
        <f aca="false">Inputs!$D$58-(A16-1)</f>
        <v>26</v>
      </c>
      <c r="C16" s="0" t="n">
        <f aca="false">IF(B16&lt;=0,0,IF(A16=1,Inputs!$B$58,H15))</f>
        <v>25902280.383362</v>
      </c>
      <c r="D16" s="0" t="n">
        <f aca="false">C16*Inputs!$B$9</f>
        <v>65663.5399810511</v>
      </c>
      <c r="E16" s="0" t="n">
        <f aca="false">(C16-D16)*Inputs!$C$58/12</f>
        <v>157172.752463901</v>
      </c>
      <c r="F16" s="0" t="n">
        <f aca="false">IF(B16&lt;=0,0,IF(B16=1,C16-D16,MIN((C16-D16)*(Inputs!$C$58/12)/(1-(1+Inputs!$C$58/12)^(-B16))-E16,C16-D16)))</f>
        <v>920213.646914096</v>
      </c>
      <c r="G16" s="0" t="n">
        <f aca="false">(C16-D16-F16)*Inputs!$B$10</f>
        <v>217809.503133875</v>
      </c>
      <c r="H16" s="0" t="n">
        <f aca="false">C16-D16-F16-G16</f>
        <v>24698593.693333</v>
      </c>
      <c r="I16" s="0" t="n">
        <f aca="false">Inputs!$D$59-(A16-1)</f>
        <v>38</v>
      </c>
      <c r="J16" s="0" t="n">
        <f aca="false">IF(I16&lt;=0,0,IF(A16=1,Inputs!$B$59,O15))</f>
        <v>55049199.7014168</v>
      </c>
      <c r="K16" s="0" t="n">
        <f aca="false">J16*Inputs!$B$9</f>
        <v>139552.397395896</v>
      </c>
      <c r="L16" s="0" t="n">
        <f aca="false">(J16-K16)*Inputs!$C$59/12</f>
        <v>356912.707476136</v>
      </c>
      <c r="M16" s="0" t="n">
        <f aca="false">IF(I16&lt;=0,0,IF(I16=1,J16-K16,MIN((J16-K16)*(Inputs!$C$59/12)/(1-(1+Inputs!$C$59/12)^(-I16))-L16,J16-K16)))</f>
        <v>1278540.80668423</v>
      </c>
      <c r="N16" s="0" t="n">
        <f aca="false">(J16-K16-M16)*Inputs!$B$10</f>
        <v>468822.268069625</v>
      </c>
      <c r="O16" s="0" t="n">
        <f aca="false">J16-K16-M16-N16</f>
        <v>53162284.229267</v>
      </c>
      <c r="P16" s="0" t="n">
        <f aca="false">Inputs!$D$60-(A16-1)</f>
        <v>38</v>
      </c>
      <c r="Q16" s="0" t="n">
        <f aca="false">IF(P16&lt;=0,0,IF(A16=1,Inputs!$B$60,V15))</f>
        <v>15778680.1130341</v>
      </c>
      <c r="R16" s="0" t="n">
        <f aca="false">Q16*Inputs!$B$9</f>
        <v>39999.7211487195</v>
      </c>
      <c r="S16" s="0" t="n">
        <f aca="false">(Q16-R16)*Inputs!$C$60/12</f>
        <v>108859.206043874</v>
      </c>
      <c r="T16" s="0" t="n">
        <f aca="false">IF(P16&lt;=0,0,IF(P16=1,Q16-R16,MIN((Q16-R16)*(Inputs!$C$60/12)/(1-(1+Inputs!$C$60/12)^(-P16))-S16,Q16-R16)))</f>
        <v>363550.307772779</v>
      </c>
      <c r="U16" s="0" t="n">
        <f aca="false">(Q16-R16-T16)*Inputs!$B$10</f>
        <v>134403.405573166</v>
      </c>
      <c r="V16" s="0" t="n">
        <f aca="false">Q16-R16-T16-U16</f>
        <v>15240726.6785394</v>
      </c>
      <c r="W16" s="0" t="n">
        <f aca="false">Inputs!$D$61-(A16-1)</f>
        <v>50</v>
      </c>
      <c r="X16" s="0" t="n">
        <f aca="false">IF(W16&lt;=0,0,IF(A16=1,Inputs!$B$61,AC15))</f>
        <v>51741554.3661142</v>
      </c>
      <c r="Y16" s="0" t="n">
        <f aca="false">X16*Inputs!$B$9</f>
        <v>131167.355673573</v>
      </c>
      <c r="Z16" s="0" t="n">
        <f aca="false">(X16-Y16)*Inputs!$C$61/12</f>
        <v>378476.171409898</v>
      </c>
      <c r="AA16" s="0" t="n">
        <f aca="false">IF(W16&lt;=0,0,IF(W16=1,X16-Y16,MIN((X16-Y16)*(Inputs!$C$61/12)/(1-(1+Inputs!$C$61/12)^(-W16))-Z16,X16-Y16)))</f>
        <v>858246.610429667</v>
      </c>
      <c r="AB16" s="0" t="n">
        <f aca="false">(X16-Y16-AA16)*Inputs!$B$10</f>
        <v>443655.466495042</v>
      </c>
      <c r="AC16" s="0" t="n">
        <f aca="false">X16-Y16-AA16-AB16</f>
        <v>50308484.9335159</v>
      </c>
      <c r="AD16" s="0" t="n">
        <f aca="false">Inputs!$D$62-(A16-1)</f>
        <v>50</v>
      </c>
      <c r="AE16" s="0" t="n">
        <f aca="false">IF(AD16&lt;=0,0,IF(A16=1,Inputs!$B$62,AJ15))</f>
        <v>14655438.4894412</v>
      </c>
      <c r="AF16" s="0" t="n">
        <f aca="false">AE16*Inputs!$B$9</f>
        <v>37152.2490278267</v>
      </c>
      <c r="AG16" s="0" t="n">
        <f aca="false">(AE16-AF16)*Inputs!$C$62/12</f>
        <v>113291.718363204</v>
      </c>
      <c r="AH16" s="0" t="n">
        <f aca="false">IF(AD16&lt;=0,0,IF(AD16=1,AE16-AF16,MIN((AE16-AF16)*(Inputs!$C$62/12)/(1-(1+Inputs!$C$62/12)^(-AD16))-AG16,AE16-AF16)))</f>
        <v>240486.582103462</v>
      </c>
      <c r="AI16" s="0" t="n">
        <f aca="false">(AE16-AF16-AH16)*Inputs!$B$10</f>
        <v>125685.130997517</v>
      </c>
      <c r="AJ16" s="0" t="n">
        <f aca="false">AE16-AF16-AH16-AI16</f>
        <v>14252114.5273124</v>
      </c>
      <c r="AK16" s="0" t="n">
        <f aca="false">Inputs!$D$63-(A16-1)</f>
        <v>50</v>
      </c>
      <c r="AL16" s="0" t="n">
        <f aca="false">IF(AK16&lt;=0,0,IF(A16=1,Inputs!$B$63,AQ15))</f>
        <v>17524916.4059087</v>
      </c>
      <c r="AM16" s="0" t="n">
        <f aca="false">AL16*Inputs!$B$9</f>
        <v>44426.5150424027</v>
      </c>
      <c r="AN16" s="0" t="n">
        <f aca="false">(AL16-AM16)*Inputs!$C$63/12</f>
        <v>139115.565381478</v>
      </c>
      <c r="AO16" s="0" t="n">
        <f aca="false">IF(AK16&lt;=0,0,IF(AK16=1,AL16-AM16,MIN((AL16-AM16)*(Inputs!$C$63/12)/(1-(1+Inputs!$C$63/12)^(-AK16))-AN16,AL16-AM16)))</f>
        <v>286024.122344483</v>
      </c>
      <c r="AP16" s="0" t="n">
        <f aca="false">(AL16-AM16-AO16)*Inputs!$B$10</f>
        <v>150307.330322268</v>
      </c>
      <c r="AQ16" s="0" t="n">
        <f aca="false">AL16-AM16-AO16-AP16</f>
        <v>17044158.4381996</v>
      </c>
      <c r="AR16" s="0" t="n">
        <f aca="false">Inputs!$D$64-(A16-1)</f>
        <v>62</v>
      </c>
      <c r="AS16" s="0" t="n">
        <f aca="false">IF(AR16&lt;=0,0,IF(A16=1,Inputs!$B$64,AX15))</f>
        <v>28087465.5053902</v>
      </c>
      <c r="AT16" s="0" t="n">
        <f aca="false">AS16*Inputs!$B$9</f>
        <v>71203.0904956251</v>
      </c>
      <c r="AU16" s="0" t="n">
        <f aca="false">(AS16-AT16)*Inputs!$C$64/12</f>
        <v>228799.476388305</v>
      </c>
      <c r="AV16" s="0" t="n">
        <f aca="false">IF(AR16&lt;=0,0,IF(AR16=1,AS16-AT16,MIN((AS16-AT16)*(Inputs!$C$64/12)/(1-(1+Inputs!$C$64/12)^(-AR16))-AU16,AS16-AT16)))</f>
        <v>348892.472139466</v>
      </c>
      <c r="AW16" s="0" t="n">
        <f aca="false">(AS16-AT16-AV16)*Inputs!$B$10</f>
        <v>241857.384179235</v>
      </c>
      <c r="AX16" s="0" t="n">
        <f aca="false">AS16-AT16-AV16-AW16</f>
        <v>27425512.5585758</v>
      </c>
      <c r="AY16" s="0" t="n">
        <f aca="false">Inputs!$D$65-(A16-1)</f>
        <v>62</v>
      </c>
      <c r="AZ16" s="0" t="n">
        <f aca="false">IF(AY16&lt;=0,0,IF(A16=1,Inputs!$B$65,BE15))</f>
        <v>29093980.3856782</v>
      </c>
      <c r="BA16" s="0" t="n">
        <f aca="false">AZ16*Inputs!$B$9</f>
        <v>73754.6546477054</v>
      </c>
      <c r="BB16" s="0" t="n">
        <f aca="false">(AZ16-BA16)*Inputs!$C$65/12</f>
        <v>249090.270858012</v>
      </c>
      <c r="BC16" s="0" t="n">
        <f aca="false">IF(AY16&lt;=0,0,IF(AY16=1,AZ16-BA16,MIN((AZ16-BA16)*(Inputs!$C$65/12)/(1-(1+Inputs!$C$65/12)^(-AY16))-BB16,AZ16-BA16)))</f>
        <v>356477.14283564</v>
      </c>
      <c r="BD16" s="0" t="n">
        <f aca="false">(AZ16-BA16-BC16)*Inputs!$B$10</f>
        <v>250567.338661237</v>
      </c>
      <c r="BE16" s="0" t="n">
        <f aca="false">AZ16-BA16-BC16-BD16</f>
        <v>28413181.2495336</v>
      </c>
      <c r="BF16" s="0" t="n">
        <f aca="false">Inputs!$D$66-(A16-1)</f>
        <v>74</v>
      </c>
      <c r="BG16" s="0" t="n">
        <f aca="false">IF(BF16&lt;=0,0,IF(A16=1,Inputs!$B$66,BL15))</f>
        <v>29521537.4781793</v>
      </c>
      <c r="BH16" s="0" t="n">
        <f aca="false">BG16*Inputs!$B$9</f>
        <v>74838.5326623863</v>
      </c>
      <c r="BI16" s="0" t="n">
        <f aca="false">(BG16-BH16)*Inputs!$C$66/12</f>
        <v>258885.56156267</v>
      </c>
      <c r="BJ16" s="0" t="n">
        <f aca="false">IF(BF16&lt;=0,0,IF(BF16=1,BG16-BH16,MIN((BG16-BH16)*(Inputs!$C$66/12)/(1-(1+Inputs!$C$66/12)^(-BF16))-BI16,BG16-BH16)))</f>
        <v>284109.719483439</v>
      </c>
      <c r="BK16" s="0" t="n">
        <f aca="false">(BG16-BH16-BJ16)*Inputs!$B$10</f>
        <v>254928.009445615</v>
      </c>
      <c r="BL16" s="0" t="n">
        <f aca="false">BG16-BH16-BJ16-BK16</f>
        <v>28907661.2165879</v>
      </c>
      <c r="BM16" s="0" t="n">
        <f aca="false">Inputs!$D$67-(A16-1)</f>
        <v>74</v>
      </c>
      <c r="BN16" s="0" t="n">
        <f aca="false">IF(BM16&lt;=0,0,IF(A16=1,Inputs!$B$67,BS15))</f>
        <v>38741955.4576412</v>
      </c>
      <c r="BO16" s="0" t="n">
        <f aca="false">BN16*Inputs!$B$9</f>
        <v>98212.7404802162</v>
      </c>
      <c r="BP16" s="0" t="n">
        <f aca="false">(BN16-BO16)*Inputs!$C$67/12</f>
        <v>355844.464187191</v>
      </c>
      <c r="BQ16" s="0" t="n">
        <f aca="false">IF(BM16&lt;=0,0,IF(BM16=1,BN16-BO16,MIN((BN16-BO16)*(Inputs!$C$67/12)/(1-(1+Inputs!$C$67/12)^(-BM16))-BP16,BN16-BO16)))</f>
        <v>366652.683542349</v>
      </c>
      <c r="BR16" s="0" t="n">
        <f aca="false">(BN16-BO16-BQ16)*Inputs!$B$10</f>
        <v>334603.429551794</v>
      </c>
      <c r="BS16" s="0" t="n">
        <f aca="false">BN16-BO16-BQ16-BR16</f>
        <v>37942486.6040669</v>
      </c>
      <c r="BT16" s="0" t="n">
        <f aca="false">C16+J16+Q16+X16+AE16+AL16+AS16+AZ16+BG16+BN16</f>
        <v>306097008.286166</v>
      </c>
      <c r="BU16" s="0" t="n">
        <f aca="false">D16+K16+R16+Y16+AF16+AM16+AT16+BA16+BH16+BO16</f>
        <v>775970.796555402</v>
      </c>
      <c r="BV16" s="0" t="n">
        <f aca="false">E16+L16+S16+Z16+AG16+AN16+AU16+BB16+BI16+BP16</f>
        <v>2346447.89413467</v>
      </c>
      <c r="BW16" s="0" t="n">
        <f aca="false">F16+M16+T16+AA16+AH16+AO16+AV16+BC16+BJ16+BQ16</f>
        <v>5303194.09424961</v>
      </c>
      <c r="BX16" s="0" t="n">
        <f aca="false">G16+N16+U16+AB16+AI16+AP16+AW16+BD16+BK16+BR16</f>
        <v>2622639.26642937</v>
      </c>
      <c r="BY16" s="0" t="n">
        <f aca="false">H16+O16+V16+AC16+AJ16+AQ16+AX16+BE16+BL16+BS16</f>
        <v>297395204.128932</v>
      </c>
      <c r="BZ16" s="0" t="n">
        <f aca="false">IF(A16&gt;Inputs!$B$7,(1-Inputs!$B$6)*INDEX($BU$6:$BU$125,A16-Inputs!$B$7),0)</f>
        <v>548930.261275109</v>
      </c>
      <c r="CA16" s="0" t="n">
        <f aca="false">CA15+(1-Inputs!$B$6)*BU16-BZ16</f>
        <v>2998533.29219349</v>
      </c>
      <c r="CB16" s="0" t="n">
        <f aca="false">BY16+CA16</f>
        <v>300393737.421125</v>
      </c>
      <c r="CC16" s="0" t="n">
        <f aca="false">BV16+BW16+BX16+BZ16</f>
        <v>10821211.5160888</v>
      </c>
      <c r="CD16" s="0" t="n">
        <f aca="false">CD15+BU16-BZ16</f>
        <v>6925784.8529041</v>
      </c>
    </row>
    <row r="17" customFormat="false" ht="15" hidden="false" customHeight="false" outlineLevel="0" collapsed="false">
      <c r="A17" s="0" t="n">
        <f aca="false">ROW()-5</f>
        <v>12</v>
      </c>
      <c r="B17" s="0" t="n">
        <f aca="false">Inputs!$D$58-(A17-1)</f>
        <v>25</v>
      </c>
      <c r="C17" s="0" t="n">
        <f aca="false">IF(B17&lt;=0,0,IF(A17=1,Inputs!$B$58,H16))</f>
        <v>24698593.693333</v>
      </c>
      <c r="D17" s="0" t="n">
        <f aca="false">C17*Inputs!$B$9</f>
        <v>62612.1357059994</v>
      </c>
      <c r="E17" s="0" t="n">
        <f aca="false">(C17-D17)*Inputs!$C$58/12</f>
        <v>149868.887808898</v>
      </c>
      <c r="F17" s="0" t="n">
        <f aca="false">IF(B17&lt;=0,0,IF(B17=1,C17-D17,MIN((C17-D17)*(Inputs!$C$58/12)/(1-(1+Inputs!$C$58/12)^(-B17))-E17,C17-D17)))</f>
        <v>915392.06724252</v>
      </c>
      <c r="G17" s="0" t="n">
        <f aca="false">(C17-D17-F17)*Inputs!$B$10</f>
        <v>207356.164941009</v>
      </c>
      <c r="H17" s="0" t="n">
        <f aca="false">C17-D17-F17-G17</f>
        <v>23513233.3254435</v>
      </c>
      <c r="I17" s="0" t="n">
        <f aca="false">Inputs!$D$59-(A17-1)</f>
        <v>37</v>
      </c>
      <c r="J17" s="0" t="n">
        <f aca="false">IF(I17&lt;=0,0,IF(A17=1,Inputs!$B$59,O16))</f>
        <v>53162284.229267</v>
      </c>
      <c r="K17" s="0" t="n">
        <f aca="false">J17*Inputs!$B$9</f>
        <v>134768.974943795</v>
      </c>
      <c r="L17" s="0" t="n">
        <f aca="false">(J17-K17)*Inputs!$C$59/12</f>
        <v>344678.849153101</v>
      </c>
      <c r="M17" s="0" t="n">
        <f aca="false">IF(I17&lt;=0,0,IF(I17=1,J17-K17,MIN((J17-K17)*(Inputs!$C$59/12)/(1-(1+Inputs!$C$59/12)^(-I17))-L17,J17-K17)))</f>
        <v>1272368.45480626</v>
      </c>
      <c r="N17" s="0" t="n">
        <f aca="false">(J17-K17-M17)*Inputs!$B$10</f>
        <v>452423.358224595</v>
      </c>
      <c r="O17" s="0" t="n">
        <f aca="false">J17-K17-M17-N17</f>
        <v>51302723.4412924</v>
      </c>
      <c r="P17" s="0" t="n">
        <f aca="false">Inputs!$D$60-(A17-1)</f>
        <v>37</v>
      </c>
      <c r="Q17" s="0" t="n">
        <f aca="false">IF(P17&lt;=0,0,IF(A17=1,Inputs!$B$60,V16))</f>
        <v>15240726.6785394</v>
      </c>
      <c r="R17" s="0" t="n">
        <f aca="false">Q17*Inputs!$B$9</f>
        <v>38635.9830402952</v>
      </c>
      <c r="S17" s="0" t="n">
        <f aca="false">(Q17-R17)*Inputs!$C$60/12</f>
        <v>105147.793977202</v>
      </c>
      <c r="T17" s="0" t="n">
        <f aca="false">IF(P17&lt;=0,0,IF(P17=1,Q17-R17,MIN((Q17-R17)*(Inputs!$C$60/12)/(1-(1+Inputs!$C$60/12)^(-P17))-S17,Q17-R17)))</f>
        <v>361944.987363119</v>
      </c>
      <c r="U17" s="0" t="n">
        <f aca="false">(Q17-R17-T17)*Inputs!$B$10</f>
        <v>129726.780291537</v>
      </c>
      <c r="V17" s="0" t="n">
        <f aca="false">Q17-R17-T17-U17</f>
        <v>14710418.9278445</v>
      </c>
      <c r="W17" s="0" t="n">
        <f aca="false">Inputs!$D$61-(A17-1)</f>
        <v>49</v>
      </c>
      <c r="X17" s="0" t="n">
        <f aca="false">IF(W17&lt;=0,0,IF(A17=1,Inputs!$B$61,AC16))</f>
        <v>50308484.9335159</v>
      </c>
      <c r="Y17" s="0" t="n">
        <f aca="false">X17*Inputs!$B$9</f>
        <v>127534.454994933</v>
      </c>
      <c r="Z17" s="0" t="n">
        <f aca="false">(X17-Y17)*Inputs!$C$61/12</f>
        <v>367993.636842487</v>
      </c>
      <c r="AA17" s="0" t="n">
        <f aca="false">IF(W17&lt;=0,0,IF(W17=1,X17-Y17,MIN((X17-Y17)*(Inputs!$C$61/12)/(1-(1+Inputs!$C$61/12)^(-W17))-Z17,X17-Y17)))</f>
        <v>854810.449487959</v>
      </c>
      <c r="AB17" s="0" t="n">
        <f aca="false">(X17-Y17-AA17)*Inputs!$B$10</f>
        <v>431189.9260307</v>
      </c>
      <c r="AC17" s="0" t="n">
        <f aca="false">X17-Y17-AA17-AB17</f>
        <v>48894950.1030023</v>
      </c>
      <c r="AD17" s="0" t="n">
        <f aca="false">Inputs!$D$62-(A17-1)</f>
        <v>49</v>
      </c>
      <c r="AE17" s="0" t="n">
        <f aca="false">IF(AD17&lt;=0,0,IF(A17=1,Inputs!$B$62,AJ16))</f>
        <v>14252114.5273124</v>
      </c>
      <c r="AF17" s="0" t="n">
        <f aca="false">AE17*Inputs!$B$9</f>
        <v>36129.803176705</v>
      </c>
      <c r="AG17" s="0" t="n">
        <f aca="false">(AE17-AF17)*Inputs!$C$62/12</f>
        <v>110173.881612052</v>
      </c>
      <c r="AH17" s="0" t="n">
        <f aca="false">IF(AD17&lt;=0,0,IF(AD17=1,AE17-AF17,MIN((AE17-AF17)*(Inputs!$C$62/12)/(1-(1+Inputs!$C$62/12)^(-AD17))-AG17,AE17-AF17)))</f>
        <v>239622.821269257</v>
      </c>
      <c r="AI17" s="0" t="n">
        <f aca="false">(AE17-AF17-AH17)*Inputs!$B$10</f>
        <v>122175.918316903</v>
      </c>
      <c r="AJ17" s="0" t="n">
        <f aca="false">AE17-AF17-AH17-AI17</f>
        <v>13854185.9845495</v>
      </c>
      <c r="AK17" s="0" t="n">
        <f aca="false">Inputs!$D$63-(A17-1)</f>
        <v>49</v>
      </c>
      <c r="AL17" s="0" t="n">
        <f aca="false">IF(AK17&lt;=0,0,IF(A17=1,Inputs!$B$63,AQ16))</f>
        <v>17044158.4381996</v>
      </c>
      <c r="AM17" s="0" t="n">
        <f aca="false">AL17*Inputs!$B$9</f>
        <v>43207.7702227707</v>
      </c>
      <c r="AN17" s="0" t="n">
        <f aca="false">(AL17-AM17)*Inputs!$C$63/12</f>
        <v>135299.232399315</v>
      </c>
      <c r="AO17" s="0" t="n">
        <f aca="false">IF(AK17&lt;=0,0,IF(AK17=1,AL17-AM17,MIN((AL17-AM17)*(Inputs!$C$63/12)/(1-(1+Inputs!$C$63/12)^(-AK17))-AN17,AL17-AM17)))</f>
        <v>285055.721068336</v>
      </c>
      <c r="AP17" s="0" t="n">
        <f aca="false">(AL17-AM17-AO17)*Inputs!$B$10</f>
        <v>146123.850385455</v>
      </c>
      <c r="AQ17" s="0" t="n">
        <f aca="false">AL17-AM17-AO17-AP17</f>
        <v>16569771.096523</v>
      </c>
      <c r="AR17" s="0" t="n">
        <f aca="false">Inputs!$D$64-(A17-1)</f>
        <v>61</v>
      </c>
      <c r="AS17" s="0" t="n">
        <f aca="false">IF(AR17&lt;=0,0,IF(A17=1,Inputs!$B$64,AX16))</f>
        <v>27425512.5585758</v>
      </c>
      <c r="AT17" s="0" t="n">
        <f aca="false">AS17*Inputs!$B$9</f>
        <v>69525.0075953784</v>
      </c>
      <c r="AU17" s="0" t="n">
        <f aca="false">(AS17-AT17)*Inputs!$C$64/12</f>
        <v>223407.23166634</v>
      </c>
      <c r="AV17" s="0" t="n">
        <f aca="false">IF(AR17&lt;=0,0,IF(AR17=1,AS17-AT17,MIN((AS17-AT17)*(Inputs!$C$64/12)/(1-(1+Inputs!$C$64/12)^(-AR17))-AU17,AS17-AT17)))</f>
        <v>347783.083312102</v>
      </c>
      <c r="AW17" s="0" t="n">
        <f aca="false">(AS17-AT17-AV17)*Inputs!$B$10</f>
        <v>236095.216041259</v>
      </c>
      <c r="AX17" s="0" t="n">
        <f aca="false">AS17-AT17-AV17-AW17</f>
        <v>26772109.2516271</v>
      </c>
      <c r="AY17" s="0" t="n">
        <f aca="false">Inputs!$D$65-(A17-1)</f>
        <v>61</v>
      </c>
      <c r="AZ17" s="0" t="n">
        <f aca="false">IF(AY17&lt;=0,0,IF(A17=1,Inputs!$B$65,BE16))</f>
        <v>28413181.2495336</v>
      </c>
      <c r="BA17" s="0" t="n">
        <f aca="false">AZ17*Inputs!$B$9</f>
        <v>72028.7957413208</v>
      </c>
      <c r="BB17" s="0" t="n">
        <f aca="false">(AZ17-BA17)*Inputs!$C$65/12</f>
        <v>243261.558561717</v>
      </c>
      <c r="BC17" s="0" t="n">
        <f aca="false">IF(AY17&lt;=0,0,IF(AY17=1,AZ17-BA17,MIN((AZ17-BA17)*(Inputs!$C$65/12)/(1-(1+Inputs!$C$65/12)^(-AY17))-BB17,AZ17-BA17)))</f>
        <v>355490.497183317</v>
      </c>
      <c r="BD17" s="0" t="n">
        <f aca="false">(AZ17-BA17-BC17)*Inputs!$B$10</f>
        <v>244639.769134333</v>
      </c>
      <c r="BE17" s="0" t="n">
        <f aca="false">AZ17-BA17-BC17-BD17</f>
        <v>27741022.1874747</v>
      </c>
      <c r="BF17" s="0" t="n">
        <f aca="false">Inputs!$D$66-(A17-1)</f>
        <v>73</v>
      </c>
      <c r="BG17" s="0" t="n">
        <f aca="false">IF(BF17&lt;=0,0,IF(A17=1,Inputs!$B$66,BL16))</f>
        <v>28907661.2165879</v>
      </c>
      <c r="BH17" s="0" t="n">
        <f aca="false">BG17*Inputs!$B$9</f>
        <v>73282.3264963717</v>
      </c>
      <c r="BI17" s="0" t="n">
        <f aca="false">(BG17-BH17)*Inputs!$C$66/12</f>
        <v>253502.247742054</v>
      </c>
      <c r="BJ17" s="0" t="n">
        <f aca="false">IF(BF17&lt;=0,0,IF(BF17=1,BG17-BH17,MIN((BG17-BH17)*(Inputs!$C$66/12)/(1-(1+Inputs!$C$66/12)^(-BF17))-BI17,BG17-BH17)))</f>
        <v>283381.893369745</v>
      </c>
      <c r="BK17" s="0" t="n">
        <f aca="false">(BG17-BH17-BJ17)*Inputs!$B$10</f>
        <v>249581.708114056</v>
      </c>
      <c r="BL17" s="0" t="n">
        <f aca="false">BG17-BH17-BJ17-BK17</f>
        <v>28301415.2886077</v>
      </c>
      <c r="BM17" s="0" t="n">
        <f aca="false">Inputs!$D$67-(A17-1)</f>
        <v>73</v>
      </c>
      <c r="BN17" s="0" t="n">
        <f aca="false">IF(BM17&lt;=0,0,IF(A17=1,Inputs!$B$67,BS16))</f>
        <v>37942486.6040669</v>
      </c>
      <c r="BO17" s="0" t="n">
        <f aca="false">BN17*Inputs!$B$9</f>
        <v>96186.0480711569</v>
      </c>
      <c r="BP17" s="0" t="n">
        <f aca="false">(BN17-BO17)*Inputs!$C$67/12</f>
        <v>348501.350953127</v>
      </c>
      <c r="BQ17" s="0" t="n">
        <f aca="false">IF(BM17&lt;=0,0,IF(BM17=1,BN17-BO17,MIN((BN17-BO17)*(Inputs!$C$67/12)/(1-(1+Inputs!$C$67/12)^(-BM17))-BP17,BN17-BO17)))</f>
        <v>365864.453234333</v>
      </c>
      <c r="BR17" s="0" t="n">
        <f aca="false">(BN17-BO17-BQ17)*Inputs!$B$10</f>
        <v>327639.39082271</v>
      </c>
      <c r="BS17" s="0" t="n">
        <f aca="false">BN17-BO17-BQ17-BR17</f>
        <v>37152796.7119387</v>
      </c>
      <c r="BT17" s="0" t="n">
        <f aca="false">C17+J17+Q17+X17+AE17+AL17+AS17+AZ17+BG17+BN17</f>
        <v>297395204.128932</v>
      </c>
      <c r="BU17" s="0" t="n">
        <f aca="false">D17+K17+R17+Y17+AF17+AM17+AT17+BA17+BH17+BO17</f>
        <v>753911.299988727</v>
      </c>
      <c r="BV17" s="0" t="n">
        <f aca="false">E17+L17+S17+Z17+AG17+AN17+AU17+BB17+BI17+BP17</f>
        <v>2281834.67071629</v>
      </c>
      <c r="BW17" s="0" t="n">
        <f aca="false">F17+M17+T17+AA17+AH17+AO17+AV17+BC17+BJ17+BQ17</f>
        <v>5281714.42833694</v>
      </c>
      <c r="BX17" s="0" t="n">
        <f aca="false">G17+N17+U17+AB17+AI17+AP17+AW17+BD17+BK17+BR17</f>
        <v>2546952.08230255</v>
      </c>
      <c r="BY17" s="0" t="n">
        <f aca="false">H17+O17+V17+AC17+AJ17+AQ17+AX17+BE17+BL17+BS17</f>
        <v>288812626.318303</v>
      </c>
      <c r="BZ17" s="0" t="n">
        <f aca="false">IF(A17&gt;Inputs!$B$7,(1-Inputs!$B$6)*INDEX($BU$6:$BU$125,A17-Inputs!$B$7),0)</f>
        <v>534559.260736604</v>
      </c>
      <c r="CA17" s="0" t="n">
        <f aca="false">CA16+(1-Inputs!$B$6)*BU17-BZ17</f>
        <v>2916320.81145012</v>
      </c>
      <c r="CB17" s="0" t="n">
        <f aca="false">BY17+CA17</f>
        <v>291728947.129753</v>
      </c>
      <c r="CC17" s="0" t="n">
        <f aca="false">BV17+BW17+BX17+BZ17</f>
        <v>10645060.4420924</v>
      </c>
      <c r="CD17" s="0" t="n">
        <f aca="false">CD16+BU17-BZ17</f>
        <v>7145136.89215622</v>
      </c>
    </row>
    <row r="18" customFormat="false" ht="15" hidden="false" customHeight="false" outlineLevel="0" collapsed="false">
      <c r="A18" s="0" t="n">
        <f aca="false">ROW()-5</f>
        <v>13</v>
      </c>
      <c r="B18" s="0" t="n">
        <f aca="false">Inputs!$D$58-(A18-1)</f>
        <v>24</v>
      </c>
      <c r="C18" s="0" t="n">
        <f aca="false">IF(B18&lt;=0,0,IF(A18=1,Inputs!$B$58,H17))</f>
        <v>23513233.3254435</v>
      </c>
      <c r="D18" s="0" t="n">
        <f aca="false">C18*Inputs!$B$9</f>
        <v>59607.1895484841</v>
      </c>
      <c r="E18" s="0" t="n">
        <f aca="false">(C18-D18)*Inputs!$C$58/12</f>
        <v>142676.225660028</v>
      </c>
      <c r="F18" s="0" t="n">
        <f aca="false">IF(B18&lt;=0,0,IF(B18=1,C18-D18,MIN((C18-D18)*(Inputs!$C$58/12)/(1-(1+Inputs!$C$58/12)^(-B18))-E18,C18-D18)))</f>
        <v>910595.750867797</v>
      </c>
      <c r="G18" s="0" t="n">
        <f aca="false">(C18-D18-F18)*Inputs!$B$10</f>
        <v>197062.401365815</v>
      </c>
      <c r="H18" s="0" t="n">
        <f aca="false">C18-D18-F18-G18</f>
        <v>22345967.9836614</v>
      </c>
      <c r="I18" s="0" t="n">
        <f aca="false">Inputs!$D$59-(A18-1)</f>
        <v>36</v>
      </c>
      <c r="J18" s="0" t="n">
        <f aca="false">IF(I18&lt;=0,0,IF(A18=1,Inputs!$B$59,O17))</f>
        <v>51302723.4412924</v>
      </c>
      <c r="K18" s="0" t="n">
        <f aca="false">J18*Inputs!$B$9</f>
        <v>130054.897945895</v>
      </c>
      <c r="L18" s="0" t="n">
        <f aca="false">(J18-K18)*Inputs!$C$59/12</f>
        <v>332622.345531752</v>
      </c>
      <c r="M18" s="0" t="n">
        <f aca="false">IF(I18&lt;=0,0,IF(I18=1,J18-K18,MIN((J18-K18)*(Inputs!$C$59/12)/(1-(1+Inputs!$C$59/12)^(-I18))-L18,J18-K18)))</f>
        <v>1266225.90090384</v>
      </c>
      <c r="N18" s="0" t="n">
        <f aca="false">(J18-K18-M18)*Inputs!$B$10</f>
        <v>436262.70571312</v>
      </c>
      <c r="O18" s="0" t="n">
        <f aca="false">J18-K18-M18-N18</f>
        <v>49470179.9367295</v>
      </c>
      <c r="P18" s="0" t="n">
        <f aca="false">Inputs!$D$60-(A18-1)</f>
        <v>36</v>
      </c>
      <c r="Q18" s="0" t="n">
        <f aca="false">IF(P18&lt;=0,0,IF(A18=1,Inputs!$B$60,V17))</f>
        <v>14710418.9278445</v>
      </c>
      <c r="R18" s="0" t="n">
        <f aca="false">Q18*Inputs!$B$9</f>
        <v>37291.6271119891</v>
      </c>
      <c r="S18" s="0" t="n">
        <f aca="false">(Q18-R18)*Inputs!$C$60/12</f>
        <v>101489.130496733</v>
      </c>
      <c r="T18" s="0" t="n">
        <f aca="false">IF(P18&lt;=0,0,IF(P18=1,Q18-R18,MIN((Q18-R18)*(Inputs!$C$60/12)/(1-(1+Inputs!$C$60/12)^(-P18))-S18,Q18-R18)))</f>
        <v>360346.755528445</v>
      </c>
      <c r="U18" s="0" t="n">
        <f aca="false">(Q18-R18-T18)*Inputs!$B$10</f>
        <v>125116.759206126</v>
      </c>
      <c r="V18" s="0" t="n">
        <f aca="false">Q18-R18-T18-U18</f>
        <v>14187663.7859979</v>
      </c>
      <c r="W18" s="0" t="n">
        <f aca="false">Inputs!$D$61-(A18-1)</f>
        <v>48</v>
      </c>
      <c r="X18" s="0" t="n">
        <f aca="false">IF(W18&lt;=0,0,IF(A18=1,Inputs!$B$61,AC17))</f>
        <v>48894950.1030023</v>
      </c>
      <c r="Y18" s="0" t="n">
        <f aca="false">X18*Inputs!$B$9</f>
        <v>123951.07548223</v>
      </c>
      <c r="Z18" s="0" t="n">
        <f aca="false">(X18-Y18)*Inputs!$C$61/12</f>
        <v>357653.992868481</v>
      </c>
      <c r="AA18" s="0" t="n">
        <f aca="false">IF(W18&lt;=0,0,IF(W18=1,X18-Y18,MIN((X18-Y18)*(Inputs!$C$61/12)/(1-(1+Inputs!$C$61/12)^(-W18))-Z18,X18-Y18)))</f>
        <v>851388.04589976</v>
      </c>
      <c r="AB18" s="0" t="n">
        <f aca="false">(X18-Y18-AA18)*Inputs!$B$10</f>
        <v>418894.596301738</v>
      </c>
      <c r="AC18" s="0" t="n">
        <f aca="false">X18-Y18-AA18-AB18</f>
        <v>47500716.3853186</v>
      </c>
      <c r="AD18" s="0" t="n">
        <f aca="false">Inputs!$D$62-(A18-1)</f>
        <v>48</v>
      </c>
      <c r="AE18" s="0" t="n">
        <f aca="false">IF(AD18&lt;=0,0,IF(A18=1,Inputs!$B$62,AJ17))</f>
        <v>13854185.9845495</v>
      </c>
      <c r="AF18" s="0" t="n">
        <f aca="false">AE18*Inputs!$B$9</f>
        <v>35121.0349759679</v>
      </c>
      <c r="AG18" s="0" t="n">
        <f aca="false">(AE18-AF18)*Inputs!$C$62/12</f>
        <v>107097.753359195</v>
      </c>
      <c r="AH18" s="0" t="n">
        <f aca="false">IF(AD18&lt;=0,0,IF(AD18=1,AE18-AF18,MIN((AE18-AF18)*(Inputs!$C$62/12)/(1-(1+Inputs!$C$62/12)^(-AD18))-AG18,AE18-AF18)))</f>
        <v>238762.162823435</v>
      </c>
      <c r="AI18" s="0" t="n">
        <f aca="false">(AE18-AF18-AH18)*Inputs!$B$10</f>
        <v>118713.723608753</v>
      </c>
      <c r="AJ18" s="0" t="n">
        <f aca="false">AE18-AF18-AH18-AI18</f>
        <v>13461589.0631414</v>
      </c>
      <c r="AK18" s="0" t="n">
        <f aca="false">Inputs!$D$63-(A18-1)</f>
        <v>48</v>
      </c>
      <c r="AL18" s="0" t="n">
        <f aca="false">IF(AK18&lt;=0,0,IF(A18=1,Inputs!$B$63,AQ17))</f>
        <v>16569771.096523</v>
      </c>
      <c r="AM18" s="0" t="n">
        <f aca="false">AL18*Inputs!$B$9</f>
        <v>42005.1752498319</v>
      </c>
      <c r="AN18" s="0" t="n">
        <f aca="false">(AL18-AM18)*Inputs!$C$63/12</f>
        <v>131533.470456799</v>
      </c>
      <c r="AO18" s="0" t="n">
        <f aca="false">IF(AK18&lt;=0,0,IF(AK18=1,AL18-AM18,MIN((AL18-AM18)*(Inputs!$C$63/12)/(1-(1+Inputs!$C$63/12)^(-AK18))-AN18,AL18-AM18)))</f>
        <v>284090.598540233</v>
      </c>
      <c r="AP18" s="0" t="n">
        <f aca="false">(AL18-AM18-AO18)*Inputs!$B$10</f>
        <v>141995.890145739</v>
      </c>
      <c r="AQ18" s="0" t="n">
        <f aca="false">AL18-AM18-AO18-AP18</f>
        <v>16101679.4325872</v>
      </c>
      <c r="AR18" s="0" t="n">
        <f aca="false">Inputs!$D$64-(A18-1)</f>
        <v>60</v>
      </c>
      <c r="AS18" s="0" t="n">
        <f aca="false">IF(AR18&lt;=0,0,IF(A18=1,Inputs!$B$64,AX17))</f>
        <v>26772109.2516271</v>
      </c>
      <c r="AT18" s="0" t="n">
        <f aca="false">AS18*Inputs!$B$9</f>
        <v>67868.5984478216</v>
      </c>
      <c r="AU18" s="0" t="n">
        <f aca="false">(AS18-AT18)*Inputs!$C$64/12</f>
        <v>218084.632000964</v>
      </c>
      <c r="AV18" s="0" t="n">
        <f aca="false">IF(AR18&lt;=0,0,IF(AR18=1,AS18-AT18,MIN((AS18-AT18)*(Inputs!$C$64/12)/(1-(1+Inputs!$C$64/12)^(-AR18))-AU18,AS18-AT18)))</f>
        <v>346677.222057467</v>
      </c>
      <c r="AW18" s="0" t="n">
        <f aca="false">(AS18-AT18-AV18)*Inputs!$B$10</f>
        <v>230407.565228608</v>
      </c>
      <c r="AX18" s="0" t="n">
        <f aca="false">AS18-AT18-AV18-AW18</f>
        <v>26127155.8658932</v>
      </c>
      <c r="AY18" s="0" t="n">
        <f aca="false">Inputs!$D$65-(A18-1)</f>
        <v>60</v>
      </c>
      <c r="AZ18" s="0" t="n">
        <f aca="false">IF(AY18&lt;=0,0,IF(A18=1,Inputs!$B$65,BE17))</f>
        <v>27741022.1874747</v>
      </c>
      <c r="BA18" s="0" t="n">
        <f aca="false">AZ18*Inputs!$B$9</f>
        <v>70324.8398427705</v>
      </c>
      <c r="BB18" s="0" t="n">
        <f aca="false">(AZ18-BA18)*Inputs!$C$65/12</f>
        <v>237506.818900507</v>
      </c>
      <c r="BC18" s="0" t="n">
        <f aca="false">IF(AY18&lt;=0,0,IF(AY18=1,AZ18-BA18,MIN((AZ18-BA18)*(Inputs!$C$65/12)/(1-(1+Inputs!$C$65/12)^(-AY18))-BB18,AZ18-BA18)))</f>
        <v>354506.582336216</v>
      </c>
      <c r="BD18" s="0" t="n">
        <f aca="false">(AZ18-BA18-BC18)*Inputs!$B$10</f>
        <v>238787.512434494</v>
      </c>
      <c r="BE18" s="0" t="n">
        <f aca="false">AZ18-BA18-BC18-BD18</f>
        <v>27077403.2528612</v>
      </c>
      <c r="BF18" s="0" t="n">
        <f aca="false">Inputs!$D$66-(A18-1)</f>
        <v>72</v>
      </c>
      <c r="BG18" s="0" t="n">
        <f aca="false">IF(BF18&lt;=0,0,IF(A18=1,Inputs!$B$66,BL17))</f>
        <v>28301415.2886077</v>
      </c>
      <c r="BH18" s="0" t="n">
        <f aca="false">BG18*Inputs!$B$9</f>
        <v>71745.4635970014</v>
      </c>
      <c r="BI18" s="0" t="n">
        <f aca="false">(BG18-BH18)*Inputs!$C$66/12</f>
        <v>248185.847211552</v>
      </c>
      <c r="BJ18" s="0" t="n">
        <f aca="false">IF(BF18&lt;=0,0,IF(BF18=1,BG18-BH18,MIN((BG18-BH18)*(Inputs!$C$66/12)/(1-(1+Inputs!$C$66/12)^(-BF18))-BI18,BG18-BH18)))</f>
        <v>282655.931785195</v>
      </c>
      <c r="BK18" s="0" t="n">
        <f aca="false">(BG18-BH18-BJ18)*Inputs!$B$10</f>
        <v>244301.922800082</v>
      </c>
      <c r="BL18" s="0" t="n">
        <f aca="false">BG18-BH18-BJ18-BK18</f>
        <v>27702711.9704254</v>
      </c>
      <c r="BM18" s="0" t="n">
        <f aca="false">Inputs!$D$67-(A18-1)</f>
        <v>72</v>
      </c>
      <c r="BN18" s="0" t="n">
        <f aca="false">IF(BM18&lt;=0,0,IF(A18=1,Inputs!$B$67,BS17))</f>
        <v>37152796.7119387</v>
      </c>
      <c r="BO18" s="0" t="n">
        <f aca="false">BN18*Inputs!$B$9</f>
        <v>94184.1458047564</v>
      </c>
      <c r="BP18" s="0" t="n">
        <f aca="false">(BN18-BO18)*Inputs!$C$67/12</f>
        <v>341248.057379817</v>
      </c>
      <c r="BQ18" s="0" t="n">
        <f aca="false">IF(BM18&lt;=0,0,IF(BM18=1,BN18-BO18,MIN((BN18-BO18)*(Inputs!$C$67/12)/(1-(1+Inputs!$C$67/12)^(-BM18))-BP18,BN18-BO18)))</f>
        <v>365077.917464626</v>
      </c>
      <c r="BR18" s="0" t="n">
        <f aca="false">(BN18-BO18-BQ18)*Inputs!$B$10</f>
        <v>320760.604451351</v>
      </c>
      <c r="BS18" s="0" t="n">
        <f aca="false">BN18-BO18-BQ18-BR18</f>
        <v>36372774.044218</v>
      </c>
      <c r="BT18" s="0" t="n">
        <f aca="false">C18+J18+Q18+X18+AE18+AL18+AS18+AZ18+BG18+BN18</f>
        <v>288812626.318303</v>
      </c>
      <c r="BU18" s="0" t="n">
        <f aca="false">D18+K18+R18+Y18+AF18+AM18+AT18+BA18+BH18+BO18</f>
        <v>732154.048006748</v>
      </c>
      <c r="BV18" s="0" t="n">
        <f aca="false">E18+L18+S18+Z18+AG18+AN18+AU18+BB18+BI18+BP18</f>
        <v>2218098.27386583</v>
      </c>
      <c r="BW18" s="0" t="n">
        <f aca="false">F18+M18+T18+AA18+AH18+AO18+AV18+BC18+BJ18+BQ18</f>
        <v>5260326.86820701</v>
      </c>
      <c r="BX18" s="0" t="n">
        <f aca="false">G18+N18+U18+AB18+AI18+AP18+AW18+BD18+BK18+BR18</f>
        <v>2472303.68125583</v>
      </c>
      <c r="BY18" s="0" t="n">
        <f aca="false">H18+O18+V18+AC18+AJ18+AQ18+AX18+BE18+BL18+BS18</f>
        <v>280347841.720834</v>
      </c>
      <c r="BZ18" s="0" t="n">
        <f aca="false">IF(A18&gt;Inputs!$B$7,(1-Inputs!$B$6)*INDEX($BU$6:$BU$125,A18-Inputs!$B$7),0)</f>
        <v>520383.230645118</v>
      </c>
      <c r="CA18" s="0" t="n">
        <f aca="false">CA17+(1-Inputs!$B$6)*BU18-BZ18</f>
        <v>2835230.00960905</v>
      </c>
      <c r="CB18" s="0" t="n">
        <f aca="false">BY18+CA18</f>
        <v>283183071.730443</v>
      </c>
      <c r="CC18" s="0" t="n">
        <f aca="false">BV18+BW18+BX18+BZ18</f>
        <v>10471112.0539738</v>
      </c>
      <c r="CD18" s="0" t="n">
        <f aca="false">CD17+BU18-BZ18</f>
        <v>7356907.70951785</v>
      </c>
    </row>
    <row r="19" customFormat="false" ht="15" hidden="false" customHeight="false" outlineLevel="0" collapsed="false">
      <c r="A19" s="0" t="n">
        <f aca="false">ROW()-5</f>
        <v>14</v>
      </c>
      <c r="B19" s="0" t="n">
        <f aca="false">Inputs!$D$58-(A19-1)</f>
        <v>23</v>
      </c>
      <c r="C19" s="0" t="n">
        <f aca="false">IF(B19&lt;=0,0,IF(A19=1,Inputs!$B$58,H18))</f>
        <v>22345967.9836614</v>
      </c>
      <c r="D19" s="0" t="n">
        <f aca="false">C19*Inputs!$B$9</f>
        <v>56648.1151618198</v>
      </c>
      <c r="E19" s="0" t="n">
        <f aca="false">(C19-D19)*Inputs!$C$58/12</f>
        <v>135593.362533372</v>
      </c>
      <c r="F19" s="0" t="n">
        <f aca="false">IF(B19&lt;=0,0,IF(B19=1,C19-D19,MIN((C19-D19)*(Inputs!$C$58/12)/(1-(1+Inputs!$C$58/12)^(-B19))-E19,C19-D19)))</f>
        <v>905824.56541958</v>
      </c>
      <c r="G19" s="0" t="n">
        <f aca="false">(C19-D19-F19)*Inputs!$B$10</f>
        <v>186926.19679111</v>
      </c>
      <c r="H19" s="0" t="n">
        <f aca="false">C19-D19-F19-G19</f>
        <v>21196569.1062889</v>
      </c>
      <c r="I19" s="0" t="n">
        <f aca="false">Inputs!$D$59-(A19-1)</f>
        <v>35</v>
      </c>
      <c r="J19" s="0" t="n">
        <f aca="false">IF(I19&lt;=0,0,IF(A19=1,Inputs!$B$59,O18))</f>
        <v>49470179.9367295</v>
      </c>
      <c r="K19" s="0" t="n">
        <f aca="false">J19*Inputs!$B$9</f>
        <v>125409.311074858</v>
      </c>
      <c r="L19" s="0" t="n">
        <f aca="false">(J19-K19)*Inputs!$C$59/12</f>
        <v>320741.009066755</v>
      </c>
      <c r="M19" s="0" t="n">
        <f aca="false">IF(I19&lt;=0,0,IF(I19=1,J19-K19,MIN((J19-K19)*(Inputs!$C$59/12)/(1-(1+Inputs!$C$59/12)^(-I19))-L19,J19-K19)))</f>
        <v>1260113.00112268</v>
      </c>
      <c r="N19" s="0" t="n">
        <f aca="false">(J19-K19-M19)*Inputs!$B$10</f>
        <v>420337.36984345</v>
      </c>
      <c r="O19" s="0" t="n">
        <f aca="false">J19-K19-M19-N19</f>
        <v>47664320.2546885</v>
      </c>
      <c r="P19" s="0" t="n">
        <f aca="false">Inputs!$D$60-(A19-1)</f>
        <v>35</v>
      </c>
      <c r="Q19" s="0" t="n">
        <f aca="false">IF(P19&lt;=0,0,IF(A19=1,Inputs!$B$60,V18))</f>
        <v>14187663.7859979</v>
      </c>
      <c r="R19" s="0" t="n">
        <f aca="false">Q19*Inputs!$B$9</f>
        <v>35966.417414275</v>
      </c>
      <c r="S19" s="0" t="n">
        <f aca="false">(Q19-R19)*Inputs!$C$60/12</f>
        <v>97882.5734660368</v>
      </c>
      <c r="T19" s="0" t="n">
        <f aca="false">IF(P19&lt;=0,0,IF(P19=1,Q19-R19,MIN((Q19-R19)*(Inputs!$C$60/12)/(1-(1+Inputs!$C$60/12)^(-P19))-S19,Q19-R19)))</f>
        <v>358755.580967906</v>
      </c>
      <c r="U19" s="0" t="n">
        <f aca="false">(Q19-R19-T19)*Inputs!$B$10</f>
        <v>120572.531028116</v>
      </c>
      <c r="V19" s="0" t="n">
        <f aca="false">Q19-R19-T19-U19</f>
        <v>13672369.2565876</v>
      </c>
      <c r="W19" s="0" t="n">
        <f aca="false">Inputs!$D$61-(A19-1)</f>
        <v>47</v>
      </c>
      <c r="X19" s="0" t="n">
        <f aca="false">IF(W19&lt;=0,0,IF(A19=1,Inputs!$B$61,AC18))</f>
        <v>47500716.3853186</v>
      </c>
      <c r="Y19" s="0" t="n">
        <f aca="false">X19*Inputs!$B$9</f>
        <v>120416.625228852</v>
      </c>
      <c r="Z19" s="0" t="n">
        <f aca="false">(X19-Y19)*Inputs!$C$61/12</f>
        <v>347455.531573992</v>
      </c>
      <c r="AA19" s="0" t="n">
        <f aca="false">IF(W19&lt;=0,0,IF(W19=1,X19-Y19,MIN((X19-Y19)*(Inputs!$C$61/12)/(1-(1+Inputs!$C$61/12)^(-W19))-Z19,X19-Y19)))</f>
        <v>847979.344584769</v>
      </c>
      <c r="AB19" s="0" t="n">
        <f aca="false">(X19-Y19-AA19)*Inputs!$B$10</f>
        <v>406767.441891636</v>
      </c>
      <c r="AC19" s="0" t="n">
        <f aca="false">X19-Y19-AA19-AB19</f>
        <v>46125552.9736134</v>
      </c>
      <c r="AD19" s="0" t="n">
        <f aca="false">Inputs!$D$62-(A19-1)</f>
        <v>47</v>
      </c>
      <c r="AE19" s="0" t="n">
        <f aca="false">IF(AD19&lt;=0,0,IF(A19=1,Inputs!$B$62,AJ18))</f>
        <v>13461589.0631414</v>
      </c>
      <c r="AF19" s="0" t="n">
        <f aca="false">AE19*Inputs!$B$9</f>
        <v>34125.7826945556</v>
      </c>
      <c r="AG19" s="0" t="n">
        <f aca="false">(AE19-AF19)*Inputs!$C$62/12</f>
        <v>104062.840423463</v>
      </c>
      <c r="AH19" s="0" t="n">
        <f aca="false">IF(AD19&lt;=0,0,IF(AD19=1,AE19-AF19,MIN((AE19-AF19)*(Inputs!$C$62/12)/(1-(1+Inputs!$C$62/12)^(-AD19))-AG19,AE19-AF19)))</f>
        <v>237904.595623081</v>
      </c>
      <c r="AI19" s="0" t="n">
        <f aca="false">(AE19-AF19-AH19)*Inputs!$B$10</f>
        <v>115297.99068687</v>
      </c>
      <c r="AJ19" s="0" t="n">
        <f aca="false">AE19-AF19-AH19-AI19</f>
        <v>13074260.6941369</v>
      </c>
      <c r="AK19" s="0" t="n">
        <f aca="false">Inputs!$D$63-(A19-1)</f>
        <v>47</v>
      </c>
      <c r="AL19" s="0" t="n">
        <f aca="false">IF(AK19&lt;=0,0,IF(A19=1,Inputs!$B$63,AQ18))</f>
        <v>16101679.4325872</v>
      </c>
      <c r="AM19" s="0" t="n">
        <f aca="false">AL19*Inputs!$B$9</f>
        <v>40818.5401260229</v>
      </c>
      <c r="AN19" s="0" t="n">
        <f aca="false">(AL19-AM19)*Inputs!$C$63/12</f>
        <v>127817.684602504</v>
      </c>
      <c r="AO19" s="0" t="n">
        <f aca="false">IF(AK19&lt;=0,0,IF(AK19=1,AL19-AM19,MIN((AL19-AM19)*(Inputs!$C$63/12)/(1-(1+Inputs!$C$63/12)^(-AK19))-AN19,AL19-AM19)))</f>
        <v>283128.743659208</v>
      </c>
      <c r="AP19" s="0" t="n">
        <f aca="false">(AL19-AM19-AO19)*Inputs!$B$10</f>
        <v>137922.796192238</v>
      </c>
      <c r="AQ19" s="0" t="n">
        <f aca="false">AL19-AM19-AO19-AP19</f>
        <v>15639809.3526097</v>
      </c>
      <c r="AR19" s="0" t="n">
        <f aca="false">Inputs!$D$64-(A19-1)</f>
        <v>59</v>
      </c>
      <c r="AS19" s="0" t="n">
        <f aca="false">IF(AR19&lt;=0,0,IF(A19=1,Inputs!$B$64,AX18))</f>
        <v>26127155.8658932</v>
      </c>
      <c r="AT19" s="0" t="n">
        <f aca="false">AS19*Inputs!$B$9</f>
        <v>66233.6102613277</v>
      </c>
      <c r="AU19" s="0" t="n">
        <f aca="false">(AS19-AT19)*Inputs!$C$64/12</f>
        <v>212830.86508766</v>
      </c>
      <c r="AV19" s="0" t="n">
        <f aca="false">IF(AR19&lt;=0,0,IF(AR19=1,AS19-AT19,MIN((AS19-AT19)*(Inputs!$C$64/12)/(1-(1+Inputs!$C$64/12)^(-AR19))-AU19,AS19-AT19)))</f>
        <v>345574.877158784</v>
      </c>
      <c r="AW19" s="0" t="n">
        <f aca="false">(AS19-AT19-AV19)*Inputs!$B$10</f>
        <v>224793.562347492</v>
      </c>
      <c r="AX19" s="0" t="n">
        <f aca="false">AS19-AT19-AV19-AW19</f>
        <v>25490553.8161256</v>
      </c>
      <c r="AY19" s="0" t="n">
        <f aca="false">Inputs!$D$65-(A19-1)</f>
        <v>59</v>
      </c>
      <c r="AZ19" s="0" t="n">
        <f aca="false">IF(AY19&lt;=0,0,IF(A19=1,Inputs!$B$65,BE18))</f>
        <v>27077403.2528612</v>
      </c>
      <c r="BA19" s="0" t="n">
        <f aca="false">AZ19*Inputs!$B$9</f>
        <v>68642.5335824628</v>
      </c>
      <c r="BB19" s="0" t="n">
        <f aca="false">(AZ19-BA19)*Inputs!$C$65/12</f>
        <v>231825.196173809</v>
      </c>
      <c r="BC19" s="0" t="n">
        <f aca="false">IF(AY19&lt;=0,0,IF(AY19=1,AZ19-BA19,MIN((AZ19-BA19)*(Inputs!$C$65/12)/(1-(1+Inputs!$C$65/12)^(-AY19))-BB19,AZ19-BA19)))</f>
        <v>353525.390736106</v>
      </c>
      <c r="BD19" s="0" t="n">
        <f aca="false">(AZ19-BA19-BC19)*Inputs!$B$10</f>
        <v>233009.697148007</v>
      </c>
      <c r="BE19" s="0" t="n">
        <f aca="false">AZ19-BA19-BC19-BD19</f>
        <v>26422225.6313946</v>
      </c>
      <c r="BF19" s="0" t="n">
        <f aca="false">Inputs!$D$66-(A19-1)</f>
        <v>71</v>
      </c>
      <c r="BG19" s="0" t="n">
        <f aca="false">IF(BF19&lt;=0,0,IF(A19=1,Inputs!$B$66,BL18))</f>
        <v>27702711.9704254</v>
      </c>
      <c r="BH19" s="0" t="n">
        <f aca="false">BG19*Inputs!$B$9</f>
        <v>70227.721580144</v>
      </c>
      <c r="BI19" s="0" t="n">
        <f aca="false">(BG19-BH19)*Inputs!$C$66/12</f>
        <v>242935.590687765</v>
      </c>
      <c r="BJ19" s="0" t="n">
        <f aca="false">IF(BF19&lt;=0,0,IF(BF19=1,BG19-BH19,MIN((BG19-BH19)*(Inputs!$C$66/12)/(1-(1+Inputs!$C$66/12)^(-BF19))-BI19,BG19-BH19)))</f>
        <v>281931.829953277</v>
      </c>
      <c r="BK19" s="0" t="n">
        <f aca="false">(BG19-BH19-BJ19)*Inputs!$B$10</f>
        <v>239087.888641993</v>
      </c>
      <c r="BL19" s="0" t="n">
        <f aca="false">BG19-BH19-BJ19-BK19</f>
        <v>27111464.53025</v>
      </c>
      <c r="BM19" s="0" t="n">
        <f aca="false">Inputs!$D$67-(A19-1)</f>
        <v>71</v>
      </c>
      <c r="BN19" s="0" t="n">
        <f aca="false">IF(BM19&lt;=0,0,IF(A19=1,Inputs!$B$67,BS18))</f>
        <v>36372774.044218</v>
      </c>
      <c r="BO19" s="0" t="n">
        <f aca="false">BN19*Inputs!$B$9</f>
        <v>92206.7504221898</v>
      </c>
      <c r="BP19" s="0" t="n">
        <f aca="false">(BN19-BO19)*Inputs!$C$67/12</f>
        <v>334083.557163703</v>
      </c>
      <c r="BQ19" s="0" t="n">
        <f aca="false">IF(BM19&lt;=0,0,IF(BM19=1,BN19-BO19,MIN((BN19-BO19)*(Inputs!$C$67/12)/(1-(1+Inputs!$C$67/12)^(-BM19))-BP19,BN19-BO19)))</f>
        <v>364293.072590308</v>
      </c>
      <c r="BR19" s="0" t="n">
        <f aca="false">(BN19-BO19-BQ19)*Inputs!$B$10</f>
        <v>313966.096183981</v>
      </c>
      <c r="BS19" s="0" t="n">
        <f aca="false">BN19-BO19-BQ19-BR19</f>
        <v>35602308.1250215</v>
      </c>
      <c r="BT19" s="0" t="n">
        <f aca="false">C19+J19+Q19+X19+AE19+AL19+AS19+AZ19+BG19+BN19</f>
        <v>280347841.720834</v>
      </c>
      <c r="BU19" s="0" t="n">
        <f aca="false">D19+K19+R19+Y19+AF19+AM19+AT19+BA19+BH19+BO19</f>
        <v>710695.407546507</v>
      </c>
      <c r="BV19" s="0" t="n">
        <f aca="false">E19+L19+S19+Z19+AG19+AN19+AU19+BB19+BI19+BP19</f>
        <v>2155228.21077906</v>
      </c>
      <c r="BW19" s="0" t="n">
        <f aca="false">F19+M19+T19+AA19+AH19+AO19+AV19+BC19+BJ19+BQ19</f>
        <v>5239031.00181569</v>
      </c>
      <c r="BX19" s="0" t="n">
        <f aca="false">G19+N19+U19+AB19+AI19+AP19+AW19+BD19+BK19+BR19</f>
        <v>2398681.57075489</v>
      </c>
      <c r="BY19" s="0" t="n">
        <f aca="false">H19+O19+V19+AC19+AJ19+AQ19+AX19+BE19+BL19+BS19</f>
        <v>271999433.740717</v>
      </c>
      <c r="BZ19" s="0" t="n">
        <f aca="false">IF(A19&gt;Inputs!$B$7,(1-Inputs!$B$6)*INDEX($BU$6:$BU$125,A19-Inputs!$B$7),0)</f>
        <v>506399.834046527</v>
      </c>
      <c r="CA19" s="0" t="n">
        <f aca="false">CA18+(1-Inputs!$B$6)*BU19-BZ19</f>
        <v>2755247.42009043</v>
      </c>
      <c r="CB19" s="0" t="n">
        <f aca="false">BY19+CA19</f>
        <v>274754681.160807</v>
      </c>
      <c r="CC19" s="0" t="n">
        <f aca="false">BV19+BW19+BX19+BZ19</f>
        <v>10299340.6173962</v>
      </c>
      <c r="CD19" s="0" t="n">
        <f aca="false">CD18+BU19-BZ19</f>
        <v>7561203.28301783</v>
      </c>
    </row>
    <row r="20" customFormat="false" ht="15" hidden="false" customHeight="false" outlineLevel="0" collapsed="false">
      <c r="A20" s="0" t="n">
        <f aca="false">ROW()-5</f>
        <v>15</v>
      </c>
      <c r="B20" s="0" t="n">
        <f aca="false">Inputs!$D$58-(A20-1)</f>
        <v>22</v>
      </c>
      <c r="C20" s="0" t="n">
        <f aca="false">IF(B20&lt;=0,0,IF(A20=1,Inputs!$B$58,H19))</f>
        <v>21196569.1062889</v>
      </c>
      <c r="D20" s="0" t="n">
        <f aca="false">C20*Inputs!$B$9</f>
        <v>53734.3331309912</v>
      </c>
      <c r="E20" s="0" t="n">
        <f aca="false">(C20-D20)*Inputs!$C$58/12</f>
        <v>128618.91153671</v>
      </c>
      <c r="F20" s="0" t="n">
        <f aca="false">IF(B20&lt;=0,0,IF(B20=1,C20-D20,MIN((C20-D20)*(Inputs!$C$58/12)/(1-(1+Inputs!$C$58/12)^(-B20))-E20,C20-D20)))</f>
        <v>901078.379221095</v>
      </c>
      <c r="G20" s="0" t="n">
        <f aca="false">(C20-D20-F20)*Inputs!$B$10</f>
        <v>176945.55943554</v>
      </c>
      <c r="H20" s="0" t="n">
        <f aca="false">C20-D20-F20-G20</f>
        <v>20064810.8345012</v>
      </c>
      <c r="I20" s="0" t="n">
        <f aca="false">Inputs!$D$59-(A20-1)</f>
        <v>34</v>
      </c>
      <c r="J20" s="0" t="n">
        <f aca="false">IF(I20&lt;=0,0,IF(A20=1,Inputs!$B$59,O19))</f>
        <v>47664320.2546885</v>
      </c>
      <c r="K20" s="0" t="n">
        <f aca="false">J20*Inputs!$B$9</f>
        <v>120831.368991116</v>
      </c>
      <c r="L20" s="0" t="n">
        <f aca="false">(J20-K20)*Inputs!$C$59/12</f>
        <v>309032.677757033</v>
      </c>
      <c r="M20" s="0" t="n">
        <f aca="false">IF(I20&lt;=0,0,IF(I20=1,J20-K20,MIN((J20-K20)*(Inputs!$C$59/12)/(1-(1+Inputs!$C$59/12)^(-I20))-L20,J20-K20)))</f>
        <v>1254029.61230296</v>
      </c>
      <c r="N20" s="0" t="n">
        <f aca="false">(J20-K20-M20)*Inputs!$B$10</f>
        <v>404644.444271293</v>
      </c>
      <c r="O20" s="0" t="n">
        <f aca="false">J20-K20-M20-N20</f>
        <v>45884814.8291232</v>
      </c>
      <c r="P20" s="0" t="n">
        <f aca="false">Inputs!$D$60-(A20-1)</f>
        <v>34</v>
      </c>
      <c r="Q20" s="0" t="n">
        <f aca="false">IF(P20&lt;=0,0,IF(A20=1,Inputs!$B$60,V19))</f>
        <v>13672369.2565876</v>
      </c>
      <c r="R20" s="0" t="n">
        <f aca="false">Q20*Inputs!$B$9</f>
        <v>34660.1207317758</v>
      </c>
      <c r="S20" s="0" t="n">
        <f aca="false">(Q20-R20)*Inputs!$C$60/12</f>
        <v>94327.4881896695</v>
      </c>
      <c r="T20" s="0" t="n">
        <f aca="false">IF(P20&lt;=0,0,IF(P20=1,Q20-R20,MIN((Q20-R20)*(Inputs!$C$60/12)/(1-(1+Inputs!$C$60/12)^(-P20))-S20,Q20-R20)))</f>
        <v>357171.432518864</v>
      </c>
      <c r="U20" s="0" t="n">
        <f aca="false">(Q20-R20-T20)*Inputs!$B$10</f>
        <v>116093.293871753</v>
      </c>
      <c r="V20" s="0" t="n">
        <f aca="false">Q20-R20-T20-U20</f>
        <v>13164444.4094652</v>
      </c>
      <c r="W20" s="0" t="n">
        <f aca="false">Inputs!$D$61-(A20-1)</f>
        <v>46</v>
      </c>
      <c r="X20" s="0" t="n">
        <f aca="false">IF(W20&lt;=0,0,IF(A20=1,Inputs!$B$61,AC19))</f>
        <v>46125552.9736134</v>
      </c>
      <c r="Y20" s="0" t="n">
        <f aca="false">X20*Inputs!$B$9</f>
        <v>116930.519128209</v>
      </c>
      <c r="Z20" s="0" t="n">
        <f aca="false">(X20-Y20)*Inputs!$C$61/12</f>
        <v>337396.564666224</v>
      </c>
      <c r="AA20" s="0" t="n">
        <f aca="false">IF(W20&lt;=0,0,IF(W20=1,X20-Y20,MIN((X20-Y20)*(Inputs!$C$61/12)/(1-(1+Inputs!$C$61/12)^(-W20))-Z20,X20-Y20)))</f>
        <v>844584.290683212</v>
      </c>
      <c r="AB20" s="0" t="n">
        <f aca="false">(X20-Y20-AA20)*Inputs!$B$10</f>
        <v>394806.450771032</v>
      </c>
      <c r="AC20" s="0" t="n">
        <f aca="false">X20-Y20-AA20-AB20</f>
        <v>44769231.7130309</v>
      </c>
      <c r="AD20" s="0" t="n">
        <f aca="false">Inputs!$D$62-(A20-1)</f>
        <v>46</v>
      </c>
      <c r="AE20" s="0" t="n">
        <f aca="false">IF(AD20&lt;=0,0,IF(A20=1,Inputs!$B$62,AJ19))</f>
        <v>13074260.6941369</v>
      </c>
      <c r="AF20" s="0" t="n">
        <f aca="false">AE20*Inputs!$B$9</f>
        <v>33143.8864496111</v>
      </c>
      <c r="AG20" s="0" t="n">
        <f aca="false">(AE20-AF20)*Inputs!$C$62/12</f>
        <v>101068.655259576</v>
      </c>
      <c r="AH20" s="0" t="n">
        <f aca="false">IF(AD20&lt;=0,0,IF(AD20=1,AE20-AF20,MIN((AE20-AF20)*(Inputs!$C$62/12)/(1-(1+Inputs!$C$62/12)^(-AD20))-AG20,AE20-AF20)))</f>
        <v>237050.108565303</v>
      </c>
      <c r="AI20" s="0" t="n">
        <f aca="false">(AE20-AF20-AH20)*Inputs!$B$10</f>
        <v>111928.169721712</v>
      </c>
      <c r="AJ20" s="0" t="n">
        <f aca="false">AE20-AF20-AH20-AI20</f>
        <v>12692138.5294002</v>
      </c>
      <c r="AK20" s="0" t="n">
        <f aca="false">Inputs!$D$63-(A20-1)</f>
        <v>46</v>
      </c>
      <c r="AL20" s="0" t="n">
        <f aca="false">IF(AK20&lt;=0,0,IF(A20=1,Inputs!$B$63,AQ19))</f>
        <v>15639809.3526097</v>
      </c>
      <c r="AM20" s="0" t="n">
        <f aca="false">AL20*Inputs!$B$9</f>
        <v>39647.6770200034</v>
      </c>
      <c r="AN20" s="0" t="n">
        <f aca="false">(AL20-AM20)*Inputs!$C$63/12</f>
        <v>124151.286668235</v>
      </c>
      <c r="AO20" s="0" t="n">
        <f aca="false">IF(AK20&lt;=0,0,IF(AK20=1,AL20-AM20,MIN((AL20-AM20)*(Inputs!$C$63/12)/(1-(1+Inputs!$C$63/12)^(-AK20))-AN20,AL20-AM20)))</f>
        <v>282170.145361882</v>
      </c>
      <c r="AP20" s="0" t="n">
        <f aca="false">(AL20-AM20-AO20)*Inputs!$B$10</f>
        <v>133903.922564591</v>
      </c>
      <c r="AQ20" s="0" t="n">
        <f aca="false">AL20-AM20-AO20-AP20</f>
        <v>15184087.6076633</v>
      </c>
      <c r="AR20" s="0" t="n">
        <f aca="false">Inputs!$D$64-(A20-1)</f>
        <v>58</v>
      </c>
      <c r="AS20" s="0" t="n">
        <f aca="false">IF(AR20&lt;=0,0,IF(A20=1,Inputs!$B$64,AX19))</f>
        <v>25490553.8161256</v>
      </c>
      <c r="AT20" s="0" t="n">
        <f aca="false">AS20*Inputs!$B$9</f>
        <v>64619.7931174987</v>
      </c>
      <c r="AU20" s="0" t="n">
        <f aca="false">(AS20-AT20)*Inputs!$C$64/12</f>
        <v>207645.127854566</v>
      </c>
      <c r="AV20" s="0" t="n">
        <f aca="false">IF(AR20&lt;=0,0,IF(AR20=1,AS20-AT20,MIN((AS20-AT20)*(Inputs!$C$64/12)/(1-(1+Inputs!$C$64/12)^(-AR20))-AU20,AS20-AT20)))</f>
        <v>344476.037434938</v>
      </c>
      <c r="AW20" s="0" t="n">
        <f aca="false">(AS20-AT20-AV20)*Inputs!$B$10</f>
        <v>219252.347886452</v>
      </c>
      <c r="AX20" s="0" t="n">
        <f aca="false">AS20-AT20-AV20-AW20</f>
        <v>24862205.6376867</v>
      </c>
      <c r="AY20" s="0" t="n">
        <f aca="false">Inputs!$D$65-(A20-1)</f>
        <v>58</v>
      </c>
      <c r="AZ20" s="0" t="n">
        <f aca="false">IF(AY20&lt;=0,0,IF(A20=1,Inputs!$B$65,BE19))</f>
        <v>26422225.6313946</v>
      </c>
      <c r="BA20" s="0" t="n">
        <f aca="false">AZ20*Inputs!$B$9</f>
        <v>66981.6264613471</v>
      </c>
      <c r="BB20" s="0" t="n">
        <f aca="false">(AZ20-BA20)*Inputs!$C$65/12</f>
        <v>226215.844375677</v>
      </c>
      <c r="BC20" s="0" t="n">
        <f aca="false">IF(AY20&lt;=0,0,IF(AY20=1,AZ20-BA20,MIN((AZ20-BA20)*(Inputs!$C$65/12)/(1-(1+Inputs!$C$65/12)^(-AY20))-BB20,AZ20-BA20)))</f>
        <v>352546.914845671</v>
      </c>
      <c r="BD20" s="0" t="n">
        <f aca="false">(AZ20-BA20-BC20)*Inputs!$B$10</f>
        <v>227305.46173437</v>
      </c>
      <c r="BE20" s="0" t="n">
        <f aca="false">AZ20-BA20-BC20-BD20</f>
        <v>25775391.6283532</v>
      </c>
      <c r="BF20" s="0" t="n">
        <f aca="false">Inputs!$D$66-(A20-1)</f>
        <v>70</v>
      </c>
      <c r="BG20" s="0" t="n">
        <f aca="false">IF(BF20&lt;=0,0,IF(A20=1,Inputs!$B$66,BL19))</f>
        <v>27111464.53025</v>
      </c>
      <c r="BH20" s="0" t="n">
        <f aca="false">BG20*Inputs!$B$9</f>
        <v>68728.8805764928</v>
      </c>
      <c r="BI20" s="0" t="n">
        <f aca="false">(BG20-BH20)*Inputs!$C$66/12</f>
        <v>237750.717586713</v>
      </c>
      <c r="BJ20" s="0" t="n">
        <f aca="false">IF(BF20&lt;=0,0,IF(BF20=1,BG20-BH20,MIN((BG20-BH20)*(Inputs!$C$66/12)/(1-(1+Inputs!$C$66/12)^(-BF20))-BI20,BG20-BH20)))</f>
        <v>281209.583109718</v>
      </c>
      <c r="BK20" s="0" t="n">
        <f aca="false">(BG20-BH20-BJ20)*Inputs!$B$10</f>
        <v>233938.849427876</v>
      </c>
      <c r="BL20" s="0" t="n">
        <f aca="false">BG20-BH20-BJ20-BK20</f>
        <v>26527587.2171359</v>
      </c>
      <c r="BM20" s="0" t="n">
        <f aca="false">Inputs!$D$67-(A20-1)</f>
        <v>70</v>
      </c>
      <c r="BN20" s="0" t="n">
        <f aca="false">IF(BM20&lt;=0,0,IF(A20=1,Inputs!$B$67,BS19))</f>
        <v>35602308.1250215</v>
      </c>
      <c r="BO20" s="0" t="n">
        <f aca="false">BN20*Inputs!$B$9</f>
        <v>90253.5818617224</v>
      </c>
      <c r="BP20" s="0" t="n">
        <f aca="false">(BN20-BO20)*Inputs!$C$67/12</f>
        <v>327006.83558493</v>
      </c>
      <c r="BQ20" s="0" t="n">
        <f aca="false">IF(BM20&lt;=0,0,IF(BM20=1,BN20-BO20,MIN((BN20-BO20)*(Inputs!$C$67/12)/(1-(1+Inputs!$C$67/12)^(-BM20))-BP20,BN20-BO20)))</f>
        <v>363509.914976291</v>
      </c>
      <c r="BR20" s="0" t="n">
        <f aca="false">(BN20-BO20-BQ20)*Inputs!$B$10</f>
        <v>307254.902763375</v>
      </c>
      <c r="BS20" s="0" t="n">
        <f aca="false">BN20-BO20-BQ20-BR20</f>
        <v>34841289.7254201</v>
      </c>
      <c r="BT20" s="0" t="n">
        <f aca="false">C20+J20+Q20+X20+AE20+AL20+AS20+AZ20+BG20+BN20</f>
        <v>271999433.740717</v>
      </c>
      <c r="BU20" s="0" t="n">
        <f aca="false">D20+K20+R20+Y20+AF20+AM20+AT20+BA20+BH20+BO20</f>
        <v>689531.787468768</v>
      </c>
      <c r="BV20" s="0" t="n">
        <f aca="false">E20+L20+S20+Z20+AG20+AN20+AU20+BB20+BI20+BP20</f>
        <v>2093214.10947933</v>
      </c>
      <c r="BW20" s="0" t="n">
        <f aca="false">F20+M20+T20+AA20+AH20+AO20+AV20+BC20+BJ20+BQ20</f>
        <v>5217826.41901993</v>
      </c>
      <c r="BX20" s="0" t="n">
        <f aca="false">G20+N20+U20+AB20+AI20+AP20+AW20+BD20+BK20+BR20</f>
        <v>2326073.40244799</v>
      </c>
      <c r="BY20" s="0" t="n">
        <f aca="false">H20+O20+V20+AC20+AJ20+AQ20+AX20+BE20+BL20+BS20</f>
        <v>263766002.13178</v>
      </c>
      <c r="BZ20" s="0" t="n">
        <f aca="false">IF(A20&gt;Inputs!$B$7,(1-Inputs!$B$6)*INDEX($BU$6:$BU$125,A20-Inputs!$B$7),0)</f>
        <v>492606.76092669</v>
      </c>
      <c r="CA20" s="0" t="n">
        <f aca="false">CA19+(1-Inputs!$B$6)*BU20-BZ20</f>
        <v>2676359.731645</v>
      </c>
      <c r="CB20" s="0" t="n">
        <f aca="false">BY20+CA20</f>
        <v>266442361.863425</v>
      </c>
      <c r="CC20" s="0" t="n">
        <f aca="false">BV20+BW20+BX20+BZ20</f>
        <v>10129720.6918739</v>
      </c>
      <c r="CD20" s="0" t="n">
        <f aca="false">CD19+BU20-BZ20</f>
        <v>7758128.30955991</v>
      </c>
    </row>
    <row r="21" customFormat="false" ht="15" hidden="false" customHeight="false" outlineLevel="0" collapsed="false">
      <c r="A21" s="0" t="n">
        <f aca="false">ROW()-5</f>
        <v>16</v>
      </c>
      <c r="B21" s="0" t="n">
        <f aca="false">Inputs!$D$58-(A21-1)</f>
        <v>21</v>
      </c>
      <c r="C21" s="0" t="n">
        <f aca="false">IF(B21&lt;=0,0,IF(A21=1,Inputs!$B$58,H20))</f>
        <v>20064810.8345012</v>
      </c>
      <c r="D21" s="0" t="n">
        <f aca="false">C21*Inputs!$B$9</f>
        <v>50865.2708928977</v>
      </c>
      <c r="E21" s="0" t="n">
        <f aca="false">(C21-D21)*Inputs!$C$58/12</f>
        <v>121751.502178617</v>
      </c>
      <c r="F21" s="0" t="n">
        <f aca="false">IF(B21&lt;=0,0,IF(B21=1,C21-D21,MIN((C21-D21)*(Inputs!$C$58/12)/(1-(1+Inputs!$C$58/12)^(-B21))-E21,C21-D21)))</f>
        <v>896357.061285507</v>
      </c>
      <c r="G21" s="0" t="n">
        <f aca="false">(C21-D21-F21)*Inputs!$B$10</f>
        <v>167118.521079289</v>
      </c>
      <c r="H21" s="0" t="n">
        <f aca="false">C21-D21-F21-G21</f>
        <v>18950469.9812435</v>
      </c>
      <c r="I21" s="0" t="n">
        <f aca="false">Inputs!$D$59-(A21-1)</f>
        <v>33</v>
      </c>
      <c r="J21" s="0" t="n">
        <f aca="false">IF(I21&lt;=0,0,IF(A21=1,Inputs!$B$59,O20))</f>
        <v>45884814.8291232</v>
      </c>
      <c r="K21" s="0" t="n">
        <f aca="false">J21*Inputs!$B$9</f>
        <v>116320.236228722</v>
      </c>
      <c r="L21" s="0" t="n">
        <f aca="false">(J21-K21)*Inputs!$C$59/12</f>
        <v>297495.214853814</v>
      </c>
      <c r="M21" s="0" t="n">
        <f aca="false">IF(I21&lt;=0,0,IF(I21=1,J21-K21,MIN((J21-K21)*(Inputs!$C$59/12)/(1-(1+Inputs!$C$59/12)^(-I21))-L21,J21-K21)))</f>
        <v>1247975.59197598</v>
      </c>
      <c r="N21" s="0" t="n">
        <f aca="false">(J21-K21-M21)*Inputs!$B$10</f>
        <v>389181.056607212</v>
      </c>
      <c r="O21" s="0" t="n">
        <f aca="false">J21-K21-M21-N21</f>
        <v>44131337.9443113</v>
      </c>
      <c r="P21" s="0" t="n">
        <f aca="false">Inputs!$D$60-(A21-1)</f>
        <v>33</v>
      </c>
      <c r="Q21" s="0" t="n">
        <f aca="false">IF(P21&lt;=0,0,IF(A21=1,Inputs!$B$60,V20))</f>
        <v>13164444.4094652</v>
      </c>
      <c r="R21" s="0" t="n">
        <f aca="false">Q21*Inputs!$B$9</f>
        <v>33372.5065521449</v>
      </c>
      <c r="S21" s="0" t="n">
        <f aca="false">(Q21-R21)*Inputs!$C$60/12</f>
        <v>90823.2473284821</v>
      </c>
      <c r="T21" s="0" t="n">
        <f aca="false">IF(P21&lt;=0,0,IF(P21=1,Q21-R21,MIN((Q21-R21)*(Inputs!$C$60/12)/(1-(1+Inputs!$C$60/12)^(-P21))-S21,Q21-R21)))</f>
        <v>355594.279156286</v>
      </c>
      <c r="U21" s="0" t="n">
        <f aca="false">(Q21-R21-T21)*Inputs!$B$10</f>
        <v>111678.255147315</v>
      </c>
      <c r="V21" s="0" t="n">
        <f aca="false">Q21-R21-T21-U21</f>
        <v>12663799.3686095</v>
      </c>
      <c r="W21" s="0" t="n">
        <f aca="false">Inputs!$D$61-(A21-1)</f>
        <v>45</v>
      </c>
      <c r="X21" s="0" t="n">
        <f aca="false">IF(W21&lt;=0,0,IF(A21=1,Inputs!$B$61,AC20))</f>
        <v>44769231.7130309</v>
      </c>
      <c r="Y21" s="0" t="n">
        <f aca="false">X21*Inputs!$B$9</f>
        <v>113492.178796652</v>
      </c>
      <c r="Z21" s="0" t="n">
        <f aca="false">(X21-Y21)*Inputs!$C$61/12</f>
        <v>327475.423251051</v>
      </c>
      <c r="AA21" s="0" t="n">
        <f aca="false">IF(W21&lt;=0,0,IF(W21=1,X21-Y21,MIN((X21-Y21)*(Inputs!$C$61/12)/(1-(1+Inputs!$C$61/12)^(-W21))-Z21,X21-Y21)))</f>
        <v>841202.829554956</v>
      </c>
      <c r="AB21" s="0" t="n">
        <f aca="false">(X21-Y21-AA21)*Inputs!$B$10</f>
        <v>383009.634032586</v>
      </c>
      <c r="AC21" s="0" t="n">
        <f aca="false">X21-Y21-AA21-AB21</f>
        <v>43431527.0706467</v>
      </c>
      <c r="AD21" s="0" t="n">
        <f aca="false">Inputs!$D$62-(A21-1)</f>
        <v>45</v>
      </c>
      <c r="AE21" s="0" t="n">
        <f aca="false">IF(AD21&lt;=0,0,IF(A21=1,Inputs!$B$62,AJ20))</f>
        <v>12692138.5294002</v>
      </c>
      <c r="AF21" s="0" t="n">
        <f aca="false">AE21*Inputs!$B$9</f>
        <v>32175.1881855793</v>
      </c>
      <c r="AG21" s="0" t="n">
        <f aca="false">(AE21-AF21)*Inputs!$C$62/12</f>
        <v>98114.7158944135</v>
      </c>
      <c r="AH21" s="0" t="n">
        <f aca="false">IF(AD21&lt;=0,0,IF(AD21=1,AE21-AF21,MIN((AE21-AF21)*(Inputs!$C$62/12)/(1-(1+Inputs!$C$62/12)^(-AD21))-AG21,AE21-AF21)))</f>
        <v>236198.690587086</v>
      </c>
      <c r="AI21" s="0" t="n">
        <f aca="false">(AE21-AF21-AH21)*Inputs!$B$10</f>
        <v>108603.7171685</v>
      </c>
      <c r="AJ21" s="0" t="n">
        <f aca="false">AE21-AF21-AH21-AI21</f>
        <v>12315160.9334591</v>
      </c>
      <c r="AK21" s="0" t="n">
        <f aca="false">Inputs!$D$63-(A21-1)</f>
        <v>45</v>
      </c>
      <c r="AL21" s="0" t="n">
        <f aca="false">IF(AK21&lt;=0,0,IF(A21=1,Inputs!$B$63,AQ20))</f>
        <v>15184087.6076633</v>
      </c>
      <c r="AM21" s="0" t="n">
        <f aca="false">AL21*Inputs!$B$9</f>
        <v>38492.4002421816</v>
      </c>
      <c r="AN21" s="0" t="n">
        <f aca="false">(AL21-AM21)*Inputs!$C$63/12</f>
        <v>120533.695192393</v>
      </c>
      <c r="AO21" s="0" t="n">
        <f aca="false">IF(AK21&lt;=0,0,IF(AK21=1,AL21-AM21,MIN((AL21-AM21)*(Inputs!$C$63/12)/(1-(1+Inputs!$C$63/12)^(-AK21))-AN21,AL21-AM21)))</f>
        <v>281214.792622333</v>
      </c>
      <c r="AP21" s="0" t="n">
        <f aca="false">(AL21-AM21-AO21)*Inputs!$B$10</f>
        <v>129938.630668784</v>
      </c>
      <c r="AQ21" s="0" t="n">
        <f aca="false">AL21-AM21-AO21-AP21</f>
        <v>14734441.78413</v>
      </c>
      <c r="AR21" s="0" t="n">
        <f aca="false">Inputs!$D$64-(A21-1)</f>
        <v>57</v>
      </c>
      <c r="AS21" s="0" t="n">
        <f aca="false">IF(AR21&lt;=0,0,IF(A21=1,Inputs!$B$64,AX20))</f>
        <v>24862205.6376867</v>
      </c>
      <c r="AT21" s="0" t="n">
        <f aca="false">AS21*Inputs!$B$9</f>
        <v>63026.8999387404</v>
      </c>
      <c r="AU21" s="0" t="n">
        <f aca="false">(AS21-AT21)*Inputs!$C$64/12</f>
        <v>202526.626358275</v>
      </c>
      <c r="AV21" s="0" t="n">
        <f aca="false">IF(AR21&lt;=0,0,IF(AR21=1,AS21-AT21,MIN((AS21-AT21)*(Inputs!$C$64/12)/(1-(1+Inputs!$C$64/12)^(-AR21))-AU21,AS21-AT21)))</f>
        <v>343380.69174037</v>
      </c>
      <c r="AW21" s="0" t="n">
        <f aca="false">(AS21-AT21-AV21)*Inputs!$B$10</f>
        <v>213783.072104831</v>
      </c>
      <c r="AX21" s="0" t="n">
        <f aca="false">AS21-AT21-AV21-AW21</f>
        <v>24242014.9739028</v>
      </c>
      <c r="AY21" s="0" t="n">
        <f aca="false">Inputs!$D$65-(A21-1)</f>
        <v>57</v>
      </c>
      <c r="AZ21" s="0" t="n">
        <f aca="false">IF(AY21&lt;=0,0,IF(A21=1,Inputs!$B$65,BE20))</f>
        <v>25775391.6283532</v>
      </c>
      <c r="BA21" s="0" t="n">
        <f aca="false">AZ21*Inputs!$B$9</f>
        <v>65341.8708185546</v>
      </c>
      <c r="BB21" s="0" t="n">
        <f aca="false">(AZ21-BA21)*Inputs!$C$65/12</f>
        <v>220677.927085506</v>
      </c>
      <c r="BC21" s="0" t="n">
        <f aca="false">IF(AY21&lt;=0,0,IF(AY21=1,AZ21-BA21,MIN((AZ21-BA21)*(Inputs!$C$65/12)/(1-(1+Inputs!$C$65/12)^(-AY21))-BB21,AZ21-BA21)))</f>
        <v>351571.147148463</v>
      </c>
      <c r="BD21" s="0" t="n">
        <f aca="false">(AZ21-BA21-BC21)*Inputs!$B$10</f>
        <v>221673.954414995</v>
      </c>
      <c r="BE21" s="0" t="n">
        <f aca="false">AZ21-BA21-BC21-BD21</f>
        <v>25136804.6559712</v>
      </c>
      <c r="BF21" s="0" t="n">
        <f aca="false">Inputs!$D$66-(A21-1)</f>
        <v>69</v>
      </c>
      <c r="BG21" s="0" t="n">
        <f aca="false">IF(BF21&lt;=0,0,IF(A21=1,Inputs!$B$66,BL20))</f>
        <v>26527587.2171359</v>
      </c>
      <c r="BH21" s="0" t="n">
        <f aca="false">BG21*Inputs!$B$9</f>
        <v>67248.7232032323</v>
      </c>
      <c r="BI21" s="0" t="n">
        <f aca="false">(BG21-BH21)*Inputs!$C$66/12</f>
        <v>232630.475925825</v>
      </c>
      <c r="BJ21" s="0" t="n">
        <f aca="false">IF(BF21&lt;=0,0,IF(BF21=1,BG21-BH21,MIN((BG21-BH21)*(Inputs!$C$66/12)/(1-(1+Inputs!$C$66/12)^(-BF21))-BI21,BG21-BH21)))</f>
        <v>280489.186502448</v>
      </c>
      <c r="BK21" s="0" t="n">
        <f aca="false">(BG21-BH21-BJ21)*Inputs!$B$10</f>
        <v>228854.057498142</v>
      </c>
      <c r="BL21" s="0" t="n">
        <f aca="false">BG21-BH21-BJ21-BK21</f>
        <v>25950995.2499321</v>
      </c>
      <c r="BM21" s="0" t="n">
        <f aca="false">Inputs!$D$67-(A21-1)</f>
        <v>69</v>
      </c>
      <c r="BN21" s="0" t="n">
        <f aca="false">IF(BM21&lt;=0,0,IF(A21=1,Inputs!$B$67,BS20))</f>
        <v>34841289.7254201</v>
      </c>
      <c r="BO21" s="0" t="n">
        <f aca="false">BN21*Inputs!$B$9</f>
        <v>88324.3632227087</v>
      </c>
      <c r="BP21" s="0" t="n">
        <f aca="false">(BN21-BO21)*Inputs!$C$67/12</f>
        <v>320016.889376901</v>
      </c>
      <c r="BQ21" s="0" t="n">
        <f aca="false">IF(BM21&lt;=0,0,IF(BM21=1,BN21-BO21,MIN((BN21-BO21)*(Inputs!$C$67/12)/(1-(1+Inputs!$C$67/12)^(-BM21))-BP21,BN21-BO21)))</f>
        <v>362728.440995301</v>
      </c>
      <c r="BR21" s="0" t="n">
        <f aca="false">(BN21-BO21-BQ21)*Inputs!$B$10</f>
        <v>300626.071804996</v>
      </c>
      <c r="BS21" s="0" t="n">
        <f aca="false">BN21-BO21-BQ21-BR21</f>
        <v>34089610.8493971</v>
      </c>
      <c r="BT21" s="0" t="n">
        <f aca="false">C21+J21+Q21+X21+AE21+AL21+AS21+AZ21+BG21+BN21</f>
        <v>263766002.13178</v>
      </c>
      <c r="BU21" s="0" t="n">
        <f aca="false">D21+K21+R21+Y21+AF21+AM21+AT21+BA21+BH21+BO21</f>
        <v>668659.638081414</v>
      </c>
      <c r="BV21" s="0" t="n">
        <f aca="false">E21+L21+S21+Z21+AG21+AN21+AU21+BB21+BI21+BP21</f>
        <v>2032045.71744528</v>
      </c>
      <c r="BW21" s="0" t="n">
        <f aca="false">F21+M21+T21+AA21+AH21+AO21+AV21+BC21+BJ21+BQ21</f>
        <v>5196712.71156873</v>
      </c>
      <c r="BX21" s="0" t="n">
        <f aca="false">G21+N21+U21+AB21+AI21+AP21+AW21+BD21+BK21+BR21</f>
        <v>2254466.97052665</v>
      </c>
      <c r="BY21" s="0" t="n">
        <f aca="false">H21+O21+V21+AC21+AJ21+AQ21+AX21+BE21+BL21+BS21</f>
        <v>255646162.811603</v>
      </c>
      <c r="BZ21" s="0" t="n">
        <f aca="false">IF(A21&gt;Inputs!$B$7,(1-Inputs!$B$6)*INDEX($BU$6:$BU$125,A21-Inputs!$B$7),0)</f>
        <v>479001.727905309</v>
      </c>
      <c r="CA21" s="0" t="n">
        <f aca="false">CA20+(1-Inputs!$B$6)*BU21-BZ21</f>
        <v>2598553.78658854</v>
      </c>
      <c r="CB21" s="0" t="n">
        <f aca="false">BY21+CA21</f>
        <v>258244716.598192</v>
      </c>
      <c r="CC21" s="0" t="n">
        <f aca="false">BV21+BW21+BX21+BZ21</f>
        <v>9962227.12744596</v>
      </c>
      <c r="CD21" s="0" t="n">
        <f aca="false">CD20+BU21-BZ21</f>
        <v>7947786.21973602</v>
      </c>
    </row>
    <row r="22" customFormat="false" ht="15" hidden="false" customHeight="false" outlineLevel="0" collapsed="false">
      <c r="A22" s="0" t="n">
        <f aca="false">ROW()-5</f>
        <v>17</v>
      </c>
      <c r="B22" s="0" t="n">
        <f aca="false">Inputs!$D$58-(A22-1)</f>
        <v>20</v>
      </c>
      <c r="C22" s="0" t="n">
        <f aca="false">IF(B22&lt;=0,0,IF(A22=1,Inputs!$B$58,H21))</f>
        <v>18950469.9812435</v>
      </c>
      <c r="D22" s="0" t="n">
        <f aca="false">C22*Inputs!$B$9</f>
        <v>48040.3626575052</v>
      </c>
      <c r="E22" s="0" t="n">
        <f aca="false">(C22-D22)*Inputs!$C$58/12</f>
        <v>114989.780179732</v>
      </c>
      <c r="F22" s="0" t="n">
        <f aca="false">IF(B22&lt;=0,0,IF(B22=1,C22-D22,MIN((C22-D22)*(Inputs!$C$58/12)/(1-(1+Inputs!$C$58/12)^(-B22))-E22,C22-D22)))</f>
        <v>891660.4813123</v>
      </c>
      <c r="G22" s="0" t="n">
        <f aca="false">(C22-D22-F22)*Inputs!$B$10</f>
        <v>157443.136792906</v>
      </c>
      <c r="H22" s="0" t="n">
        <f aca="false">C22-D22-F22-G22</f>
        <v>17853326.0004808</v>
      </c>
      <c r="I22" s="0" t="n">
        <f aca="false">Inputs!$D$59-(A22-1)</f>
        <v>32</v>
      </c>
      <c r="J22" s="0" t="n">
        <f aca="false">IF(I22&lt;=0,0,IF(A22=1,Inputs!$B$59,O21))</f>
        <v>44131337.9443113</v>
      </c>
      <c r="K22" s="0" t="n">
        <f aca="false">J22*Inputs!$B$9</f>
        <v>111875.087082485</v>
      </c>
      <c r="L22" s="0" t="n">
        <f aca="false">(J22-K22)*Inputs!$C$59/12</f>
        <v>286126.508571987</v>
      </c>
      <c r="M22" s="0" t="n">
        <f aca="false">IF(I22&lt;=0,0,IF(I22=1,J22-K22,MIN((J22-K22)*(Inputs!$C$59/12)/(1-(1+Inputs!$C$59/12)^(-I22))-L22,J22-K22)))</f>
        <v>1241950.79836084</v>
      </c>
      <c r="N22" s="0" t="n">
        <f aca="false">(J22-K22-M22)*Inputs!$B$10</f>
        <v>373944.368028471</v>
      </c>
      <c r="O22" s="0" t="n">
        <f aca="false">J22-K22-M22-N22</f>
        <v>42403567.6908395</v>
      </c>
      <c r="P22" s="0" t="n">
        <f aca="false">Inputs!$D$60-(A22-1)</f>
        <v>32</v>
      </c>
      <c r="Q22" s="0" t="n">
        <f aca="false">IF(P22&lt;=0,0,IF(A22=1,Inputs!$B$60,V21))</f>
        <v>12663799.3686095</v>
      </c>
      <c r="R22" s="0" t="n">
        <f aca="false">Q22*Inputs!$B$9</f>
        <v>32103.3470352994</v>
      </c>
      <c r="S22" s="0" t="n">
        <f aca="false">(Q22-R22)*Inputs!$C$60/12</f>
        <v>87369.230815888</v>
      </c>
      <c r="T22" s="0" t="n">
        <f aca="false">IF(P22&lt;=0,0,IF(P22=1,Q22-R22,MIN((Q22-R22)*(Inputs!$C$60/12)/(1-(1+Inputs!$C$60/12)^(-P22))-S22,Q22-R22)))</f>
        <v>354024.089992138</v>
      </c>
      <c r="U22" s="0" t="n">
        <f aca="false">(Q22-R22-T22)*Inputs!$B$10</f>
        <v>107326.63145529</v>
      </c>
      <c r="V22" s="0" t="n">
        <f aca="false">Q22-R22-T22-U22</f>
        <v>12170345.3001267</v>
      </c>
      <c r="W22" s="0" t="n">
        <f aca="false">Inputs!$D$61-(A22-1)</f>
        <v>44</v>
      </c>
      <c r="X22" s="0" t="n">
        <f aca="false">IF(W22&lt;=0,0,IF(A22=1,Inputs!$B$61,AC21))</f>
        <v>43431527.0706467</v>
      </c>
      <c r="Y22" s="0" t="n">
        <f aca="false">X22*Inputs!$B$9</f>
        <v>110101.032497254</v>
      </c>
      <c r="Z22" s="0" t="n">
        <f aca="false">(X22-Y22)*Inputs!$C$61/12</f>
        <v>317690.457613096</v>
      </c>
      <c r="AA22" s="0" t="n">
        <f aca="false">IF(W22&lt;=0,0,IF(W22=1,X22-Y22,MIN((X22-Y22)*(Inputs!$C$61/12)/(1-(1+Inputs!$C$61/12)^(-W22))-Z22,X22-Y22)))</f>
        <v>837834.906778629</v>
      </c>
      <c r="AB22" s="0" t="n">
        <f aca="false">(X22-Y22-AA22)*Inputs!$B$10</f>
        <v>371375.025628848</v>
      </c>
      <c r="AC22" s="0" t="n">
        <f aca="false">X22-Y22-AA22-AB22</f>
        <v>42112216.105742</v>
      </c>
      <c r="AD22" s="0" t="n">
        <f aca="false">Inputs!$D$62-(A22-1)</f>
        <v>44</v>
      </c>
      <c r="AE22" s="0" t="n">
        <f aca="false">IF(AD22&lt;=0,0,IF(A22=1,Inputs!$B$62,AJ21))</f>
        <v>12315160.9334591</v>
      </c>
      <c r="AF22" s="0" t="n">
        <f aca="false">AE22*Inputs!$B$9</f>
        <v>31219.5316535411</v>
      </c>
      <c r="AG22" s="0" t="n">
        <f aca="false">(AE22-AF22)*Inputs!$C$62/12</f>
        <v>95200.5458639928</v>
      </c>
      <c r="AH22" s="0" t="n">
        <f aca="false">IF(AD22&lt;=0,0,IF(AD22=1,AE22-AF22,MIN((AE22-AF22)*(Inputs!$C$62/12)/(1-(1+Inputs!$C$62/12)^(-AD22))-AG22,AE22-AF22)))</f>
        <v>235350.33066515</v>
      </c>
      <c r="AI22" s="0" t="n">
        <f aca="false">(AE22-AF22-AH22)*Inputs!$B$10</f>
        <v>105324.095696142</v>
      </c>
      <c r="AJ22" s="0" t="n">
        <f aca="false">AE22-AF22-AH22-AI22</f>
        <v>11943266.9754442</v>
      </c>
      <c r="AK22" s="0" t="n">
        <f aca="false">Inputs!$D$63-(A22-1)</f>
        <v>44</v>
      </c>
      <c r="AL22" s="0" t="n">
        <f aca="false">IF(AK22&lt;=0,0,IF(A22=1,Inputs!$B$63,AQ21))</f>
        <v>14734441.78413</v>
      </c>
      <c r="AM22" s="0" t="n">
        <f aca="false">AL22*Inputs!$B$9</f>
        <v>37352.526220516</v>
      </c>
      <c r="AN22" s="0" t="n">
        <f aca="false">(AL22-AM22)*Inputs!$C$63/12</f>
        <v>116964.335344196</v>
      </c>
      <c r="AO22" s="0" t="n">
        <f aca="false">IF(AK22&lt;=0,0,IF(AK22=1,AL22-AM22,MIN((AL22-AM22)*(Inputs!$C$63/12)/(1-(1+Inputs!$C$63/12)^(-AK22))-AN22,AL22-AM22)))</f>
        <v>280262.674451968</v>
      </c>
      <c r="AP22" s="0" t="n">
        <f aca="false">(AL22-AM22-AO22)*Inputs!$B$10</f>
        <v>126026.289193915</v>
      </c>
      <c r="AQ22" s="0" t="n">
        <f aca="false">AL22-AM22-AO22-AP22</f>
        <v>14290800.2942636</v>
      </c>
      <c r="AR22" s="0" t="n">
        <f aca="false">Inputs!$D$64-(A22-1)</f>
        <v>56</v>
      </c>
      <c r="AS22" s="0" t="n">
        <f aca="false">IF(AR22&lt;=0,0,IF(A22=1,Inputs!$B$64,AX21))</f>
        <v>24242014.9739028</v>
      </c>
      <c r="AT22" s="0" t="n">
        <f aca="false">AS22*Inputs!$B$9</f>
        <v>61454.6864562005</v>
      </c>
      <c r="AU22" s="0" t="n">
        <f aca="false">(AS22-AT22)*Inputs!$C$64/12</f>
        <v>197474.575680814</v>
      </c>
      <c r="AV22" s="0" t="n">
        <f aca="false">IF(AR22&lt;=0,0,IF(AR22=1,AS22-AT22,MIN((AS22-AT22)*(Inputs!$C$64/12)/(1-(1+Inputs!$C$64/12)^(-AR22))-AU22,AS22-AT22)))</f>
        <v>342288.828964962</v>
      </c>
      <c r="AW22" s="0" t="n">
        <f aca="false">(AS22-AT22-AV22)*Inputs!$B$10</f>
        <v>208384.894922497</v>
      </c>
      <c r="AX22" s="0" t="n">
        <f aca="false">AS22-AT22-AV22-AW22</f>
        <v>23629886.5635591</v>
      </c>
      <c r="AY22" s="0" t="n">
        <f aca="false">Inputs!$D$65-(A22-1)</f>
        <v>56</v>
      </c>
      <c r="AZ22" s="0" t="n">
        <f aca="false">IF(AY22&lt;=0,0,IF(A22=1,Inputs!$B$65,BE21))</f>
        <v>25136804.6559712</v>
      </c>
      <c r="BA22" s="0" t="n">
        <f aca="false">AZ22*Inputs!$B$9</f>
        <v>63723.0217994035</v>
      </c>
      <c r="BB22" s="0" t="n">
        <f aca="false">(AZ22-BA22)*Inputs!$C$65/12</f>
        <v>215210.617359975</v>
      </c>
      <c r="BC22" s="0" t="n">
        <f aca="false">IF(AY22&lt;=0,0,IF(AY22=1,AZ22-BA22,MIN((AZ22-BA22)*(Inputs!$C$65/12)/(1-(1+Inputs!$C$65/12)^(-AY22))-BB22,AZ22-BA22)))</f>
        <v>350598.080148831</v>
      </c>
      <c r="BD22" s="0" t="n">
        <f aca="false">(AZ22-BA22-BC22)*Inputs!$B$10</f>
        <v>216114.333063157</v>
      </c>
      <c r="BE22" s="0" t="n">
        <f aca="false">AZ22-BA22-BC22-BD22</f>
        <v>24506369.2209598</v>
      </c>
      <c r="BF22" s="0" t="n">
        <f aca="false">Inputs!$D$66-(A22-1)</f>
        <v>68</v>
      </c>
      <c r="BG22" s="0" t="n">
        <f aca="false">IF(BF22&lt;=0,0,IF(A22=1,Inputs!$B$66,BL21))</f>
        <v>25950995.2499321</v>
      </c>
      <c r="BH22" s="0" t="n">
        <f aca="false">BG22*Inputs!$B$9</f>
        <v>65787.0345360228</v>
      </c>
      <c r="BI22" s="0" t="n">
        <f aca="false">(BG22-BH22)*Inputs!$C$66/12</f>
        <v>227574.122227024</v>
      </c>
      <c r="BJ22" s="0" t="n">
        <f aca="false">IF(BF22&lt;=0,0,IF(BF22=1,BG22-BH22,MIN((BG22-BH22)*(Inputs!$C$66/12)/(1-(1+Inputs!$C$66/12)^(-BF22))-BI22,BG22-BH22)))</f>
        <v>279770.635391573</v>
      </c>
      <c r="BK22" s="0" t="n">
        <f aca="false">(BG22-BH22-BJ22)*Inputs!$B$10</f>
        <v>223832.77364917</v>
      </c>
      <c r="BL22" s="0" t="n">
        <f aca="false">BG22-BH22-BJ22-BK22</f>
        <v>25381604.8063553</v>
      </c>
      <c r="BM22" s="0" t="n">
        <f aca="false">Inputs!$D$67-(A22-1)</f>
        <v>68</v>
      </c>
      <c r="BN22" s="0" t="n">
        <f aca="false">IF(BM22&lt;=0,0,IF(A22=1,Inputs!$B$67,BS21))</f>
        <v>34089610.8493971</v>
      </c>
      <c r="BO22" s="0" t="n">
        <f aca="false">BN22*Inputs!$B$9</f>
        <v>86418.8207299962</v>
      </c>
      <c r="BP22" s="0" t="n">
        <f aca="false">(BN22-BO22)*Inputs!$C$67/12</f>
        <v>313112.72659731</v>
      </c>
      <c r="BQ22" s="0" t="n">
        <f aca="false">IF(BM22&lt;=0,0,IF(BM22=1,BN22-BO22,MIN((BN22-BO22)*(Inputs!$C$67/12)/(1-(1+Inputs!$C$67/12)^(-BM22))-BP22,BN22-BO22)))</f>
        <v>361948.647027861</v>
      </c>
      <c r="BR22" s="0" t="n">
        <f aca="false">(BN22-BO22-BQ22)*Inputs!$B$10</f>
        <v>294078.661674556</v>
      </c>
      <c r="BS22" s="0" t="n">
        <f aca="false">BN22-BO22-BQ22-BR22</f>
        <v>33347164.7199647</v>
      </c>
      <c r="BT22" s="0" t="n">
        <f aca="false">C22+J22+Q22+X22+AE22+AL22+AS22+AZ22+BG22+BN22</f>
        <v>255646162.811603</v>
      </c>
      <c r="BU22" s="0" t="n">
        <f aca="false">D22+K22+R22+Y22+AF22+AM22+AT22+BA22+BH22+BO22</f>
        <v>648075.450668223</v>
      </c>
      <c r="BV22" s="0" t="n">
        <f aca="false">E22+L22+S22+Z22+AG22+AN22+AU22+BB22+BI22+BP22</f>
        <v>1971712.90025401</v>
      </c>
      <c r="BW22" s="0" t="n">
        <f aca="false">F22+M22+T22+AA22+AH22+AO22+AV22+BC22+BJ22+BQ22</f>
        <v>5175689.47309426</v>
      </c>
      <c r="BX22" s="0" t="n">
        <f aca="false">G22+N22+U22+AB22+AI22+AP22+AW22+BD22+BK22+BR22</f>
        <v>2183850.21010495</v>
      </c>
      <c r="BY22" s="0" t="n">
        <f aca="false">H22+O22+V22+AC22+AJ22+AQ22+AX22+BE22+BL22+BS22</f>
        <v>247638547.677736</v>
      </c>
      <c r="BZ22" s="0" t="n">
        <f aca="false">IF(A22&gt;Inputs!$B$7,(1-Inputs!$B$6)*INDEX($BU$6:$BU$125,A22-Inputs!$B$7),0)</f>
        <v>465582.477933241</v>
      </c>
      <c r="CA22" s="0" t="n">
        <f aca="false">CA21+(1-Inputs!$B$6)*BU22-BZ22</f>
        <v>2521816.57905623</v>
      </c>
      <c r="CB22" s="0" t="n">
        <f aca="false">BY22+CA22</f>
        <v>250160364.256792</v>
      </c>
      <c r="CC22" s="0" t="n">
        <f aca="false">BV22+BW22+BX22+BZ22</f>
        <v>9796835.06138646</v>
      </c>
      <c r="CD22" s="0" t="n">
        <f aca="false">CD21+BU22-BZ22</f>
        <v>8130279.192471</v>
      </c>
    </row>
    <row r="23" customFormat="false" ht="15" hidden="false" customHeight="false" outlineLevel="0" collapsed="false">
      <c r="A23" s="0" t="n">
        <f aca="false">ROW()-5</f>
        <v>18</v>
      </c>
      <c r="B23" s="0" t="n">
        <f aca="false">Inputs!$D$58-(A23-1)</f>
        <v>19</v>
      </c>
      <c r="C23" s="0" t="n">
        <f aca="false">IF(B23&lt;=0,0,IF(A23=1,Inputs!$B$58,H22))</f>
        <v>17853326.0004808</v>
      </c>
      <c r="D23" s="0" t="n">
        <f aca="false">C23*Inputs!$B$9</f>
        <v>45259.0493298934</v>
      </c>
      <c r="E23" s="0" t="n">
        <f aca="false">(C23-D23)*Inputs!$C$58/12</f>
        <v>108332.407286168</v>
      </c>
      <c r="F23" s="0" t="n">
        <f aca="false">IF(B23&lt;=0,0,IF(B23=1,C23-D23,MIN((C23-D23)*(Inputs!$C$58/12)/(1-(1+Inputs!$C$58/12)^(-B23))-E23,C23-D23)))</f>
        <v>886988.509683691</v>
      </c>
      <c r="G23" s="0" t="n">
        <f aca="false">(C23-D23-F23)*Inputs!$B$10</f>
        <v>147917.484669213</v>
      </c>
      <c r="H23" s="0" t="n">
        <f aca="false">C23-D23-F23-G23</f>
        <v>16773160.956798</v>
      </c>
      <c r="I23" s="0" t="n">
        <f aca="false">Inputs!$D$59-(A23-1)</f>
        <v>31</v>
      </c>
      <c r="J23" s="0" t="n">
        <f aca="false">IF(I23&lt;=0,0,IF(A23=1,Inputs!$B$59,O22))</f>
        <v>42403567.6908395</v>
      </c>
      <c r="K23" s="0" t="n">
        <f aca="false">J23*Inputs!$B$9</f>
        <v>107495.105496393</v>
      </c>
      <c r="L23" s="0" t="n">
        <f aca="false">(J23-K23)*Inputs!$C$59/12</f>
        <v>274924.47180473</v>
      </c>
      <c r="M23" s="0" t="n">
        <f aca="false">IF(I23&lt;=0,0,IF(I23=1,J23-K23,MIN((J23-K23)*(Inputs!$C$59/12)/(1-(1+Inputs!$C$59/12)^(-I23))-L23,J23-K23)))</f>
        <v>1235955.09036112</v>
      </c>
      <c r="N23" s="0" t="n">
        <f aca="false">(J23-K23-M23)*Inputs!$B$10</f>
        <v>358931.572895269</v>
      </c>
      <c r="O23" s="0" t="n">
        <f aca="false">J23-K23-M23-N23</f>
        <v>40701185.9220867</v>
      </c>
      <c r="P23" s="0" t="n">
        <f aca="false">Inputs!$D$60-(A23-1)</f>
        <v>31</v>
      </c>
      <c r="Q23" s="0" t="n">
        <f aca="false">IF(P23&lt;=0,0,IF(A23=1,Inputs!$B$60,V22))</f>
        <v>12170345.3001267</v>
      </c>
      <c r="R23" s="0" t="n">
        <f aca="false">Q23*Inputs!$B$9</f>
        <v>30852.4169830001</v>
      </c>
      <c r="S23" s="0" t="n">
        <f aca="false">(Q23-R23)*Inputs!$C$60/12</f>
        <v>83964.8257750775</v>
      </c>
      <c r="T23" s="0" t="n">
        <f aca="false">IF(P23&lt;=0,0,IF(P23=1,Q23-R23,MIN((Q23-R23)*(Inputs!$C$60/12)/(1-(1+Inputs!$C$60/12)^(-P23))-S23,Q23-R23)))</f>
        <v>352460.834274773</v>
      </c>
      <c r="U23" s="0" t="n">
        <f aca="false">(Q23-R23-T23)*Inputs!$B$10</f>
        <v>103037.648481754</v>
      </c>
      <c r="V23" s="0" t="n">
        <f aca="false">Q23-R23-T23-U23</f>
        <v>11683994.4003872</v>
      </c>
      <c r="W23" s="0" t="n">
        <f aca="false">Inputs!$D$61-(A23-1)</f>
        <v>43</v>
      </c>
      <c r="X23" s="0" t="n">
        <f aca="false">IF(W23&lt;=0,0,IF(A23=1,Inputs!$B$61,AC22))</f>
        <v>42112216.105742</v>
      </c>
      <c r="Y23" s="0" t="n">
        <f aca="false">X23*Inputs!$B$9</f>
        <v>106756.515064452</v>
      </c>
      <c r="Z23" s="0" t="n">
        <f aca="false">(X23-Y23)*Inputs!$C$61/12</f>
        <v>308040.036998302</v>
      </c>
      <c r="AA23" s="0" t="n">
        <f aca="false">IF(W23&lt;=0,0,IF(W23=1,X23-Y23,MIN((X23-Y23)*(Inputs!$C$61/12)/(1-(1+Inputs!$C$61/12)^(-W23))-Z23,X23-Y23)))</f>
        <v>834480.468150749</v>
      </c>
      <c r="AB23" s="0" t="n">
        <f aca="false">(X23-Y23-AA23)*Inputs!$B$10</f>
        <v>359900.68211307</v>
      </c>
      <c r="AC23" s="0" t="n">
        <f aca="false">X23-Y23-AA23-AB23</f>
        <v>40811078.4404137</v>
      </c>
      <c r="AD23" s="0" t="n">
        <f aca="false">Inputs!$D$62-(A23-1)</f>
        <v>43</v>
      </c>
      <c r="AE23" s="0" t="n">
        <f aca="false">IF(AD23&lt;=0,0,IF(A23=1,Inputs!$B$62,AJ22))</f>
        <v>11943266.9754442</v>
      </c>
      <c r="AF23" s="0" t="n">
        <f aca="false">AE23*Inputs!$B$9</f>
        <v>30276.7623907814</v>
      </c>
      <c r="AG23" s="0" t="n">
        <f aca="false">(AE23-AF23)*Inputs!$C$62/12</f>
        <v>92325.6741511642</v>
      </c>
      <c r="AH23" s="0" t="n">
        <f aca="false">IF(AD23&lt;=0,0,IF(AD23=1,AE23-AF23,MIN((AE23-AF23)*(Inputs!$C$62/12)/(1-(1+Inputs!$C$62/12)^(-AD23))-AG23,AE23-AF23)))</f>
        <v>234505.01781581</v>
      </c>
      <c r="AI23" s="0" t="n">
        <f aca="false">(AE23-AF23-AH23)*Inputs!$B$10</f>
        <v>102088.774116953</v>
      </c>
      <c r="AJ23" s="0" t="n">
        <f aca="false">AE23-AF23-AH23-AI23</f>
        <v>11576396.4211207</v>
      </c>
      <c r="AK23" s="0" t="n">
        <f aca="false">Inputs!$D$63-(A23-1)</f>
        <v>43</v>
      </c>
      <c r="AL23" s="0" t="n">
        <f aca="false">IF(AK23&lt;=0,0,IF(A23=1,Inputs!$B$63,AQ22))</f>
        <v>14290800.2942636</v>
      </c>
      <c r="AM23" s="0" t="n">
        <f aca="false">AL23*Inputs!$B$9</f>
        <v>36227.8734765898</v>
      </c>
      <c r="AN23" s="0" t="n">
        <f aca="false">(AL23-AM23)*Inputs!$C$63/12</f>
        <v>113442.638848763</v>
      </c>
      <c r="AO23" s="0" t="n">
        <f aca="false">IF(AK23&lt;=0,0,IF(AK23=1,AL23-AM23,MIN((AL23-AM23)*(Inputs!$C$63/12)/(1-(1+Inputs!$C$63/12)^(-AK23))-AN23,AL23-AM23)))</f>
        <v>279313.7798994</v>
      </c>
      <c r="AP23" s="0" t="n">
        <f aca="false">(AL23-AM23-AO23)*Inputs!$B$10</f>
        <v>122166.274029903</v>
      </c>
      <c r="AQ23" s="0" t="n">
        <f aca="false">AL23-AM23-AO23-AP23</f>
        <v>13853092.3668577</v>
      </c>
      <c r="AR23" s="0" t="n">
        <f aca="false">Inputs!$D$64-(A23-1)</f>
        <v>55</v>
      </c>
      <c r="AS23" s="0" t="n">
        <f aca="false">IF(AR23&lt;=0,0,IF(A23=1,Inputs!$B$64,AX22))</f>
        <v>23629886.5635591</v>
      </c>
      <c r="AT23" s="0" t="n">
        <f aca="false">AS23*Inputs!$B$9</f>
        <v>59902.9111780687</v>
      </c>
      <c r="AU23" s="0" t="n">
        <f aca="false">(AS23-AT23)*Inputs!$C$64/12</f>
        <v>192488.199827779</v>
      </c>
      <c r="AV23" s="0" t="n">
        <f aca="false">IF(AR23&lt;=0,0,IF(AR23=1,AS23-AT23,MIN((AS23-AT23)*(Inputs!$C$64/12)/(1-(1+Inputs!$C$64/12)^(-AR23))-AU23,AS23-AT23)))</f>
        <v>341200.43803392</v>
      </c>
      <c r="AW23" s="0" t="n">
        <f aca="false">(AS23-AT23-AV23)*Inputs!$B$10</f>
        <v>203056.985810812</v>
      </c>
      <c r="AX23" s="0" t="n">
        <f aca="false">AS23-AT23-AV23-AW23</f>
        <v>23025726.2285363</v>
      </c>
      <c r="AY23" s="0" t="n">
        <f aca="false">Inputs!$D$65-(A23-1)</f>
        <v>55</v>
      </c>
      <c r="AZ23" s="0" t="n">
        <f aca="false">IF(AY23&lt;=0,0,IF(A23=1,Inputs!$B$65,BE22))</f>
        <v>24506369.2209598</v>
      </c>
      <c r="BA23" s="0" t="n">
        <f aca="false">AZ23*Inputs!$B$9</f>
        <v>62124.8373237643</v>
      </c>
      <c r="BB23" s="0" t="n">
        <f aca="false">(AZ23-BA23)*Inputs!$C$65/12</f>
        <v>209813.09762621</v>
      </c>
      <c r="BC23" s="0" t="n">
        <f aca="false">IF(AY23&lt;=0,0,IF(AY23=1,AZ23-BA23,MIN((AZ23-BA23)*(Inputs!$C$65/12)/(1-(1+Inputs!$C$65/12)^(-AY23))-BB23,AZ23-BA23)))</f>
        <v>349627.706371876</v>
      </c>
      <c r="BD23" s="0" t="n">
        <f aca="false">(AZ23-BA23-BC23)*Inputs!$B$10</f>
        <v>210625.765095191</v>
      </c>
      <c r="BE23" s="0" t="n">
        <f aca="false">AZ23-BA23-BC23-BD23</f>
        <v>23883990.912169</v>
      </c>
      <c r="BF23" s="0" t="n">
        <f aca="false">Inputs!$D$66-(A23-1)</f>
        <v>67</v>
      </c>
      <c r="BG23" s="0" t="n">
        <f aca="false">IF(BF23&lt;=0,0,IF(A23=1,Inputs!$B$66,BL22))</f>
        <v>25381604.8063553</v>
      </c>
      <c r="BH23" s="0" t="n">
        <f aca="false">BG23*Inputs!$B$9</f>
        <v>64343.6020813017</v>
      </c>
      <c r="BI23" s="0" t="n">
        <f aca="false">(BG23-BH23)*Inputs!$C$66/12</f>
        <v>222580.921420909</v>
      </c>
      <c r="BJ23" s="0" t="n">
        <f aca="false">IF(BF23&lt;=0,0,IF(BF23=1,BG23-BH23,MIN((BG23-BH23)*(Inputs!$C$66/12)/(1-(1+Inputs!$C$66/12)^(-BF23))-BI23,BG23-BH23)))</f>
        <v>279053.925049341</v>
      </c>
      <c r="BK23" s="0" t="n">
        <f aca="false">(BG23-BH23-BJ23)*Inputs!$B$10</f>
        <v>218874.267038038</v>
      </c>
      <c r="BL23" s="0" t="n">
        <f aca="false">BG23-BH23-BJ23-BK23</f>
        <v>24819333.0121866</v>
      </c>
      <c r="BM23" s="0" t="n">
        <f aca="false">Inputs!$D$67-(A23-1)</f>
        <v>67</v>
      </c>
      <c r="BN23" s="0" t="n">
        <f aca="false">IF(BM23&lt;=0,0,IF(A23=1,Inputs!$B$67,BS22))</f>
        <v>33347164.7199647</v>
      </c>
      <c r="BO23" s="0" t="n">
        <f aca="false">BN23*Inputs!$B$9</f>
        <v>84536.6836987302</v>
      </c>
      <c r="BP23" s="0" t="n">
        <f aca="false">(BN23-BO23)*Inputs!$C$67/12</f>
        <v>306293.366500616</v>
      </c>
      <c r="BQ23" s="0" t="n">
        <f aca="false">IF(BM23&lt;=0,0,IF(BM23=1,BN23-BO23,MIN((BN23-BO23)*(Inputs!$C$67/12)/(1-(1+Inputs!$C$67/12)^(-BM23))-BP23,BN23-BO23)))</f>
        <v>361170.529462277</v>
      </c>
      <c r="BR23" s="0" t="n">
        <f aca="false">(BN23-BO23-BQ23)*Inputs!$B$10</f>
        <v>287611.741366964</v>
      </c>
      <c r="BS23" s="0" t="n">
        <f aca="false">BN23-BO23-BQ23-BR23</f>
        <v>32613845.7654367</v>
      </c>
      <c r="BT23" s="0" t="n">
        <f aca="false">C23+J23+Q23+X23+AE23+AL23+AS23+AZ23+BG23+BN23</f>
        <v>247638547.677736</v>
      </c>
      <c r="BU23" s="0" t="n">
        <f aca="false">D23+K23+R23+Y23+AF23+AM23+AT23+BA23+BH23+BO23</f>
        <v>627775.757022975</v>
      </c>
      <c r="BV23" s="0" t="n">
        <f aca="false">E23+L23+S23+Z23+AG23+AN23+AU23+BB23+BI23+BP23</f>
        <v>1912205.64023972</v>
      </c>
      <c r="BW23" s="0" t="n">
        <f aca="false">F23+M23+T23+AA23+AH23+AO23+AV23+BC23+BJ23+BQ23</f>
        <v>5154756.29910295</v>
      </c>
      <c r="BX23" s="0" t="n">
        <f aca="false">G23+N23+U23+AB23+AI23+AP23+AW23+BD23+BK23+BR23</f>
        <v>2114211.19561717</v>
      </c>
      <c r="BY23" s="0" t="n">
        <f aca="false">H23+O23+V23+AC23+AJ23+AQ23+AX23+BE23+BL23+BS23</f>
        <v>239741804.425993</v>
      </c>
      <c r="BZ23" s="0" t="n">
        <f aca="false">IF(A23&gt;Inputs!$B$7,(1-Inputs!$B$6)*INDEX($BU$6:$BU$125,A23-Inputs!$B$7),0)</f>
        <v>452346.779993236</v>
      </c>
      <c r="CA23" s="0" t="n">
        <f aca="false">CA22+(1-Inputs!$B$6)*BU23-BZ23</f>
        <v>2446135.25327678</v>
      </c>
      <c r="CB23" s="0" t="n">
        <f aca="false">BY23+CA23</f>
        <v>242187939.679269</v>
      </c>
      <c r="CC23" s="0" t="n">
        <f aca="false">BV23+BW23+BX23+BZ23</f>
        <v>9633519.91495307</v>
      </c>
      <c r="CD23" s="0" t="n">
        <f aca="false">CD22+BU23-BZ23</f>
        <v>8305708.16950074</v>
      </c>
    </row>
    <row r="24" customFormat="false" ht="15" hidden="false" customHeight="false" outlineLevel="0" collapsed="false">
      <c r="A24" s="0" t="n">
        <f aca="false">ROW()-5</f>
        <v>19</v>
      </c>
      <c r="B24" s="0" t="n">
        <f aca="false">Inputs!$D$58-(A24-1)</f>
        <v>18</v>
      </c>
      <c r="C24" s="0" t="n">
        <f aca="false">IF(B24&lt;=0,0,IF(A24=1,Inputs!$B$58,H23))</f>
        <v>16773160.956798</v>
      </c>
      <c r="D24" s="0" t="n">
        <f aca="false">C24*Inputs!$B$9</f>
        <v>42520.7784331905</v>
      </c>
      <c r="E24" s="0" t="n">
        <f aca="false">(C24-D24)*Inputs!$C$58/12</f>
        <v>101778.061085053</v>
      </c>
      <c r="F24" s="0" t="n">
        <f aca="false">IF(B24&lt;=0,0,IF(B24=1,C24-D24,MIN((C24-D24)*(Inputs!$C$58/12)/(1-(1+Inputs!$C$58/12)^(-B24))-E24,C24-D24)))</f>
        <v>882341.017461039</v>
      </c>
      <c r="G24" s="0" t="n">
        <f aca="false">(C24-D24-F24)*Inputs!$B$10</f>
        <v>138539.665558268</v>
      </c>
      <c r="H24" s="0" t="n">
        <f aca="false">C24-D24-F24-G24</f>
        <v>15709759.4953455</v>
      </c>
      <c r="I24" s="0" t="n">
        <f aca="false">Inputs!$D$59-(A24-1)</f>
        <v>30</v>
      </c>
      <c r="J24" s="0" t="n">
        <f aca="false">IF(I24&lt;=0,0,IF(A24=1,Inputs!$B$59,O23))</f>
        <v>40701185.9220867</v>
      </c>
      <c r="K24" s="0" t="n">
        <f aca="false">J24*Inputs!$B$9</f>
        <v>103179.484953295</v>
      </c>
      <c r="L24" s="0" t="n">
        <f aca="false">(J24-K24)*Inputs!$C$59/12</f>
        <v>263887.041841367</v>
      </c>
      <c r="M24" s="0" t="n">
        <f aca="false">IF(I24&lt;=0,0,IF(I24=1,J24-K24,MIN((J24-K24)*(Inputs!$C$59/12)/(1-(1+Inputs!$C$59/12)^(-I24))-L24,J24-K24)))</f>
        <v>1229988.32756152</v>
      </c>
      <c r="N24" s="0" t="n">
        <f aca="false">(J24-K24-M24)*Inputs!$B$10</f>
        <v>344139.898371332</v>
      </c>
      <c r="O24" s="0" t="n">
        <f aca="false">J24-K24-M24-N24</f>
        <v>39023878.2112005</v>
      </c>
      <c r="P24" s="0" t="n">
        <f aca="false">Inputs!$D$60-(A24-1)</f>
        <v>30</v>
      </c>
      <c r="Q24" s="0" t="n">
        <f aca="false">IF(P24&lt;=0,0,IF(A24=1,Inputs!$B$60,V23))</f>
        <v>11683994.4003872</v>
      </c>
      <c r="R24" s="0" t="n">
        <f aca="false">Q24*Inputs!$B$9</f>
        <v>29619.4938087772</v>
      </c>
      <c r="S24" s="0" t="n">
        <f aca="false">(Q24-R24)*Inputs!$C$60/12</f>
        <v>80609.4264371675</v>
      </c>
      <c r="T24" s="0" t="n">
        <f aca="false">IF(P24&lt;=0,0,IF(P24=1,Q24-R24,MIN((Q24-R24)*(Inputs!$C$60/12)/(1-(1+Inputs!$C$60/12)^(-P24))-S24,Q24-R24)))</f>
        <v>350904.481388336</v>
      </c>
      <c r="U24" s="0" t="n">
        <f aca="false">(Q24-R24-T24)*Inputs!$B$10</f>
        <v>98810.5408949322</v>
      </c>
      <c r="V24" s="0" t="n">
        <f aca="false">Q24-R24-T24-U24</f>
        <v>11204659.8842952</v>
      </c>
      <c r="W24" s="0" t="n">
        <f aca="false">Inputs!$D$61-(A24-1)</f>
        <v>42</v>
      </c>
      <c r="X24" s="0" t="n">
        <f aca="false">IF(W24&lt;=0,0,IF(A24=1,Inputs!$B$61,AC23))</f>
        <v>40811078.4404137</v>
      </c>
      <c r="Y24" s="0" t="n">
        <f aca="false">X24*Inputs!$B$9</f>
        <v>103458.067829551</v>
      </c>
      <c r="Z24" s="0" t="n">
        <f aca="false">(X24-Y24)*Inputs!$C$61/12</f>
        <v>298522.54939895</v>
      </c>
      <c r="AA24" s="0" t="n">
        <f aca="false">IF(W24&lt;=0,0,IF(W24=1,X24-Y24,MIN((X24-Y24)*(Inputs!$C$61/12)/(1-(1+Inputs!$C$61/12)^(-W24))-Z24,X24-Y24)))</f>
        <v>831139.459684847</v>
      </c>
      <c r="AB24" s="0" t="n">
        <f aca="false">(X24-Y24-AA24)*Inputs!$B$10</f>
        <v>348584.682382955</v>
      </c>
      <c r="AC24" s="0" t="n">
        <f aca="false">X24-Y24-AA24-AB24</f>
        <v>39527896.2305163</v>
      </c>
      <c r="AD24" s="0" t="n">
        <f aca="false">Inputs!$D$62-(A24-1)</f>
        <v>42</v>
      </c>
      <c r="AE24" s="0" t="n">
        <f aca="false">IF(AD24&lt;=0,0,IF(A24=1,Inputs!$B$62,AJ23))</f>
        <v>11576396.4211207</v>
      </c>
      <c r="AF24" s="0" t="n">
        <f aca="false">AE24*Inputs!$B$9</f>
        <v>29346.727700586</v>
      </c>
      <c r="AG24" s="0" t="n">
        <f aca="false">(AE24-AF24)*Inputs!$C$62/12</f>
        <v>89489.6351240058</v>
      </c>
      <c r="AH24" s="0" t="n">
        <f aca="false">IF(AD24&lt;=0,0,IF(AD24=1,AE24-AF24,MIN((AE24-AF24)*(Inputs!$C$62/12)/(1-(1+Inputs!$C$62/12)^(-AD24))-AG24,AE24-AF24)))</f>
        <v>233662.74109483</v>
      </c>
      <c r="AI24" s="0" t="n">
        <f aca="false">(AE24-AF24-AH24)*Inputs!$B$10</f>
        <v>98897.2273171696</v>
      </c>
      <c r="AJ24" s="0" t="n">
        <f aca="false">AE24-AF24-AH24-AI24</f>
        <v>11214489.7250081</v>
      </c>
      <c r="AK24" s="0" t="n">
        <f aca="false">Inputs!$D$63-(A24-1)</f>
        <v>42</v>
      </c>
      <c r="AL24" s="0" t="n">
        <f aca="false">IF(AK24&lt;=0,0,IF(A24=1,Inputs!$B$63,AQ23))</f>
        <v>13853092.3668577</v>
      </c>
      <c r="AM24" s="0" t="n">
        <f aca="false">AL24*Inputs!$B$9</f>
        <v>35118.2626019541</v>
      </c>
      <c r="AN24" s="0" t="n">
        <f aca="false">(AL24-AM24)*Inputs!$C$63/12</f>
        <v>109968.043913035</v>
      </c>
      <c r="AO24" s="0" t="n">
        <f aca="false">IF(AK24&lt;=0,0,IF(AK24=1,AL24-AM24,MIN((AL24-AM24)*(Inputs!$C$63/12)/(1-(1+Inputs!$C$63/12)^(-AK24))-AN24,AL24-AM24)))</f>
        <v>278368.098050321</v>
      </c>
      <c r="AP24" s="0" t="n">
        <f aca="false">(AL24-AM24-AO24)*Inputs!$B$10</f>
        <v>118357.968186123</v>
      </c>
      <c r="AQ24" s="0" t="n">
        <f aca="false">AL24-AM24-AO24-AP24</f>
        <v>13421248.0380193</v>
      </c>
      <c r="AR24" s="0" t="n">
        <f aca="false">Inputs!$D$64-(A24-1)</f>
        <v>54</v>
      </c>
      <c r="AS24" s="0" t="n">
        <f aca="false">IF(AR24&lt;=0,0,IF(A24=1,Inputs!$B$64,AX23))</f>
        <v>23025726.2285363</v>
      </c>
      <c r="AT24" s="0" t="n">
        <f aca="false">AS24*Inputs!$B$9</f>
        <v>58371.335358234</v>
      </c>
      <c r="AU24" s="0" t="n">
        <f aca="false">(AS24-AT24)*Inputs!$C$64/12</f>
        <v>187566.731627621</v>
      </c>
      <c r="AV24" s="0" t="n">
        <f aca="false">IF(AR24&lt;=0,0,IF(AR24=1,AS24-AT24,MIN((AS24-AT24)*(Inputs!$C$64/12)/(1-(1+Inputs!$C$64/12)^(-AR24))-AU24,AS24-AT24)))</f>
        <v>340115.507907669</v>
      </c>
      <c r="AW24" s="0" t="n">
        <f aca="false">(AS24-AT24-AV24)*Inputs!$B$10</f>
        <v>197798.523684825</v>
      </c>
      <c r="AX24" s="0" t="n">
        <f aca="false">AS24-AT24-AV24-AW24</f>
        <v>22429440.8615856</v>
      </c>
      <c r="AY24" s="0" t="n">
        <f aca="false">Inputs!$D$65-(A24-1)</f>
        <v>54</v>
      </c>
      <c r="AZ24" s="0" t="n">
        <f aca="false">IF(AY24&lt;=0,0,IF(A24=1,Inputs!$B$65,BE23))</f>
        <v>23883990.912169</v>
      </c>
      <c r="BA24" s="0" t="n">
        <f aca="false">AZ24*Inputs!$B$9</f>
        <v>60547.0780547821</v>
      </c>
      <c r="BB24" s="0" t="n">
        <f aca="false">(AZ24-BA24)*Inputs!$C$65/12</f>
        <v>204484.559576147</v>
      </c>
      <c r="BC24" s="0" t="n">
        <f aca="false">IF(AY24&lt;=0,0,IF(AY24=1,AZ24-BA24,MIN((AZ24-BA24)*(Inputs!$C$65/12)/(1-(1+Inputs!$C$65/12)^(-AY24))-BB24,AZ24-BA24)))</f>
        <v>348660.018363385</v>
      </c>
      <c r="BD24" s="0" t="n">
        <f aca="false">(AZ24-BA24-BC24)*Inputs!$B$10</f>
        <v>205207.427362905</v>
      </c>
      <c r="BE24" s="0" t="n">
        <f aca="false">AZ24-BA24-BC24-BD24</f>
        <v>23269576.3883879</v>
      </c>
      <c r="BF24" s="0" t="n">
        <f aca="false">Inputs!$D$66-(A24-1)</f>
        <v>66</v>
      </c>
      <c r="BG24" s="0" t="n">
        <f aca="false">IF(BF24&lt;=0,0,IF(A24=1,Inputs!$B$66,BL23))</f>
        <v>24819333.0121866</v>
      </c>
      <c r="BH24" s="0" t="n">
        <f aca="false">BG24*Inputs!$B$9</f>
        <v>62918.2157488949</v>
      </c>
      <c r="BI24" s="0" t="n">
        <f aca="false">(BG24-BH24)*Inputs!$C$66/12</f>
        <v>217650.146752015</v>
      </c>
      <c r="BJ24" s="0" t="n">
        <f aca="false">IF(BF24&lt;=0,0,IF(BF24=1,BG24-BH24,MIN((BG24-BH24)*(Inputs!$C$66/12)/(1-(1+Inputs!$C$66/12)^(-BF24))-BI24,BG24-BH24)))</f>
        <v>278339.050760109</v>
      </c>
      <c r="BK24" s="0" t="n">
        <f aca="false">(BG24-BH24-BJ24)*Inputs!$B$10</f>
        <v>213977.815088312</v>
      </c>
      <c r="BL24" s="0" t="n">
        <f aca="false">BG24-BH24-BJ24-BK24</f>
        <v>24264097.9305893</v>
      </c>
      <c r="BM24" s="0" t="n">
        <f aca="false">Inputs!$D$67-(A24-1)</f>
        <v>66</v>
      </c>
      <c r="BN24" s="0" t="n">
        <f aca="false">IF(BM24&lt;=0,0,IF(A24=1,Inputs!$B$67,BS23))</f>
        <v>32613845.7654367</v>
      </c>
      <c r="BO24" s="0" t="n">
        <f aca="false">BN24*Inputs!$B$9</f>
        <v>82677.6844995539</v>
      </c>
      <c r="BP24" s="0" t="n">
        <f aca="false">(BN24-BO24)*Inputs!$C$67/12</f>
        <v>299557.839411963</v>
      </c>
      <c r="BQ24" s="0" t="n">
        <f aca="false">IF(BM24&lt;=0,0,IF(BM24=1,BN24-BO24,MIN((BN24-BO24)*(Inputs!$C$67/12)/(1-(1+Inputs!$C$67/12)^(-BM24))-BP24,BN24-BO24)))</f>
        <v>360394.084694618</v>
      </c>
      <c r="BR24" s="0" t="n">
        <f aca="false">(BN24-BO24-BQ24)*Inputs!$B$10</f>
        <v>281224.390386626</v>
      </c>
      <c r="BS24" s="0" t="n">
        <f aca="false">BN24-BO24-BQ24-BR24</f>
        <v>31889549.6058559</v>
      </c>
      <c r="BT24" s="0" t="n">
        <f aca="false">C24+J24+Q24+X24+AE24+AL24+AS24+AZ24+BG24+BN24</f>
        <v>239741804.425993</v>
      </c>
      <c r="BU24" s="0" t="n">
        <f aca="false">D24+K24+R24+Y24+AF24+AM24+AT24+BA24+BH24+BO24</f>
        <v>607757.128988819</v>
      </c>
      <c r="BV24" s="0" t="n">
        <f aca="false">E24+L24+S24+Z24+AG24+AN24+AU24+BB24+BI24+BP24</f>
        <v>1853514.03516732</v>
      </c>
      <c r="BW24" s="0" t="n">
        <f aca="false">F24+M24+T24+AA24+AH24+AO24+AV24+BC24+BJ24+BQ24</f>
        <v>5133912.78696668</v>
      </c>
      <c r="BX24" s="0" t="n">
        <f aca="false">G24+N24+U24+AB24+AI24+AP24+AW24+BD24+BK24+BR24</f>
        <v>2045538.13923345</v>
      </c>
      <c r="BY24" s="0" t="n">
        <f aca="false">H24+O24+V24+AC24+AJ24+AQ24+AX24+BE24+BL24+BS24</f>
        <v>231954596.370804</v>
      </c>
      <c r="BZ24" s="0" t="n">
        <f aca="false">IF(A24&gt;Inputs!$B$7,(1-Inputs!$B$6)*INDEX($BU$6:$BU$125,A24-Inputs!$B$7),0)</f>
        <v>439292.428804049</v>
      </c>
      <c r="CA24" s="0" t="n">
        <f aca="false">CA23+(1-Inputs!$B$6)*BU24-BZ24</f>
        <v>2371497.10186602</v>
      </c>
      <c r="CB24" s="0" t="n">
        <f aca="false">BY24+CA24</f>
        <v>234326093.47267</v>
      </c>
      <c r="CC24" s="0" t="n">
        <f aca="false">BV24+BW24+BX24+BZ24</f>
        <v>9472257.3901715</v>
      </c>
      <c r="CD24" s="0" t="n">
        <f aca="false">CD23+BU24-BZ24</f>
        <v>8474172.86968551</v>
      </c>
    </row>
    <row r="25" customFormat="false" ht="15" hidden="false" customHeight="false" outlineLevel="0" collapsed="false">
      <c r="A25" s="0" t="n">
        <f aca="false">ROW()-5</f>
        <v>20</v>
      </c>
      <c r="B25" s="0" t="n">
        <f aca="false">Inputs!$D$58-(A25-1)</f>
        <v>17</v>
      </c>
      <c r="C25" s="0" t="n">
        <f aca="false">IF(B25&lt;=0,0,IF(A25=1,Inputs!$B$58,H24))</f>
        <v>15709759.4953455</v>
      </c>
      <c r="D25" s="0" t="n">
        <f aca="false">C25*Inputs!$B$9</f>
        <v>39825.0040323835</v>
      </c>
      <c r="E25" s="0" t="n">
        <f aca="false">(C25-D25)*Inputs!$C$58/12</f>
        <v>95325.4348221551</v>
      </c>
      <c r="F25" s="0" t="n">
        <f aca="false">IF(B25&lt;=0,0,IF(B25=1,C25-D25,MIN((C25-D25)*(Inputs!$C$58/12)/(1-(1+Inputs!$C$58/12)^(-B25))-E25,C25-D25)))</f>
        <v>877717.876381298</v>
      </c>
      <c r="G25" s="0" t="n">
        <f aca="false">(C25-D25-F25)*Inputs!$B$10</f>
        <v>129307.802805335</v>
      </c>
      <c r="H25" s="0" t="n">
        <f aca="false">C25-D25-F25-G25</f>
        <v>14662908.8121265</v>
      </c>
      <c r="I25" s="0" t="n">
        <f aca="false">Inputs!$D$59-(A25-1)</f>
        <v>29</v>
      </c>
      <c r="J25" s="0" t="n">
        <f aca="false">IF(I25&lt;=0,0,IF(A25=1,Inputs!$B$59,O24))</f>
        <v>39023878.2112005</v>
      </c>
      <c r="K25" s="0" t="n">
        <f aca="false">J25*Inputs!$B$9</f>
        <v>98927.4283658356</v>
      </c>
      <c r="L25" s="0" t="n">
        <f aca="false">(J25-K25)*Inputs!$C$59/12</f>
        <v>253012.180088426</v>
      </c>
      <c r="M25" s="0" t="n">
        <f aca="false">IF(I25&lt;=0,0,IF(I25=1,J25-K25,MIN((J25-K25)*(Inputs!$C$59/12)/(1-(1+Inputs!$C$59/12)^(-I25))-L25,J25-K25)))</f>
        <v>1224050.37022468</v>
      </c>
      <c r="N25" s="0" t="n">
        <f aca="false">(J25-K25-M25)*Inputs!$B$10</f>
        <v>329566.604048802</v>
      </c>
      <c r="O25" s="0" t="n">
        <f aca="false">J25-K25-M25-N25</f>
        <v>37371333.8085612</v>
      </c>
      <c r="P25" s="0" t="n">
        <f aca="false">Inputs!$D$60-(A25-1)</f>
        <v>29</v>
      </c>
      <c r="Q25" s="0" t="n">
        <f aca="false">IF(P25&lt;=0,0,IF(A25=1,Inputs!$B$60,V24))</f>
        <v>11204659.8842952</v>
      </c>
      <c r="R25" s="0" t="n">
        <f aca="false">Q25*Inputs!$B$9</f>
        <v>28404.357508194</v>
      </c>
      <c r="S25" s="0" t="n">
        <f aca="false">(Q25-R25)*Inputs!$C$60/12</f>
        <v>77302.4340602765</v>
      </c>
      <c r="T25" s="0" t="n">
        <f aca="false">IF(P25&lt;=0,0,IF(P25=1,Q25-R25,MIN((Q25-R25)*(Inputs!$C$60/12)/(1-(1+Inputs!$C$60/12)^(-P25))-S25,Q25-R25)))</f>
        <v>349355.000852163</v>
      </c>
      <c r="U25" s="0" t="n">
        <f aca="false">(Q25-R25-T25)*Inputs!$B$10</f>
        <v>94644.5522429234</v>
      </c>
      <c r="V25" s="0" t="n">
        <f aca="false">Q25-R25-T25-U25</f>
        <v>10732255.9736919</v>
      </c>
      <c r="W25" s="0" t="n">
        <f aca="false">Inputs!$D$61-(A25-1)</f>
        <v>41</v>
      </c>
      <c r="X25" s="0" t="n">
        <f aca="false">IF(W25&lt;=0,0,IF(A25=1,Inputs!$B$61,AC24))</f>
        <v>39527896.2305163</v>
      </c>
      <c r="Y25" s="0" t="n">
        <f aca="false">X25*Inputs!$B$9</f>
        <v>100205.138547051</v>
      </c>
      <c r="Z25" s="0" t="n">
        <f aca="false">(X25-Y25)*Inputs!$C$61/12</f>
        <v>289136.401341108</v>
      </c>
      <c r="AA25" s="0" t="n">
        <f aca="false">IF(W25&lt;=0,0,IF(W25=1,X25-Y25,MIN((X25-Y25)*(Inputs!$C$61/12)/(1-(1+Inputs!$C$61/12)^(-W25))-Z25,X25-Y25)))</f>
        <v>827811.827610598</v>
      </c>
      <c r="AB25" s="0" t="n">
        <f aca="false">(X25-Y25-AA25)*Inputs!$B$10</f>
        <v>337425.127427289</v>
      </c>
      <c r="AC25" s="0" t="n">
        <f aca="false">X25-Y25-AA25-AB25</f>
        <v>38262454.1369314</v>
      </c>
      <c r="AD25" s="0" t="n">
        <f aca="false">Inputs!$D$62-(A25-1)</f>
        <v>41</v>
      </c>
      <c r="AE25" s="0" t="n">
        <f aca="false">IF(AD25&lt;=0,0,IF(A25=1,Inputs!$B$62,AJ24))</f>
        <v>11214489.7250081</v>
      </c>
      <c r="AF25" s="0" t="n">
        <f aca="false">AE25*Inputs!$B$9</f>
        <v>28429.2766322676</v>
      </c>
      <c r="AG25" s="0" t="n">
        <f aca="false">(AE25-AF25)*Inputs!$C$62/12</f>
        <v>86691.9684749127</v>
      </c>
      <c r="AH25" s="0" t="n">
        <f aca="false">IF(AD25&lt;=0,0,IF(AD25=1,AE25-AF25,MIN((AE25-AF25)*(Inputs!$C$62/12)/(1-(1+Inputs!$C$62/12)^(-AD25))-AG25,AE25-AF25)))</f>
        <v>232823.48959728</v>
      </c>
      <c r="AI25" s="0" t="n">
        <f aca="false">(AE25-AF25-AH25)*Inputs!$B$10</f>
        <v>95748.9361882476</v>
      </c>
      <c r="AJ25" s="0" t="n">
        <f aca="false">AE25-AF25-AH25-AI25</f>
        <v>10857488.0225903</v>
      </c>
      <c r="AK25" s="0" t="n">
        <f aca="false">Inputs!$D$63-(A25-1)</f>
        <v>41</v>
      </c>
      <c r="AL25" s="0" t="n">
        <f aca="false">IF(AK25&lt;=0,0,IF(A25=1,Inputs!$B$63,AQ24))</f>
        <v>13421248.0380193</v>
      </c>
      <c r="AM25" s="0" t="n">
        <f aca="false">AL25*Inputs!$B$9</f>
        <v>34023.5162347391</v>
      </c>
      <c r="AN25" s="0" t="n">
        <f aca="false">(AL25-AM25)*Inputs!$C$63/12</f>
        <v>106539.995152535</v>
      </c>
      <c r="AO25" s="0" t="n">
        <f aca="false">IF(AK25&lt;=0,0,IF(AK25=1,AL25-AM25,MIN((AL25-AM25)*(Inputs!$C$63/12)/(1-(1+Inputs!$C$63/12)^(-AK25))-AN25,AL25-AM25)))</f>
        <v>277425.618027374</v>
      </c>
      <c r="AP25" s="0" t="n">
        <f aca="false">(AL25-AM25-AO25)*Inputs!$B$10</f>
        <v>114600.761710955</v>
      </c>
      <c r="AQ25" s="0" t="n">
        <f aca="false">AL25-AM25-AO25-AP25</f>
        <v>12995198.1420462</v>
      </c>
      <c r="AR25" s="0" t="n">
        <f aca="false">Inputs!$D$64-(A25-1)</f>
        <v>53</v>
      </c>
      <c r="AS25" s="0" t="n">
        <f aca="false">IF(AR25&lt;=0,0,IF(A25=1,Inputs!$B$64,AX24))</f>
        <v>22429440.8615856</v>
      </c>
      <c r="AT25" s="0" t="n">
        <f aca="false">AS25*Inputs!$B$9</f>
        <v>56859.7229652945</v>
      </c>
      <c r="AU25" s="0" t="n">
        <f aca="false">(AS25-AT25)*Inputs!$C$64/12</f>
        <v>182709.412632066</v>
      </c>
      <c r="AV25" s="0" t="n">
        <f aca="false">IF(AR25&lt;=0,0,IF(AR25=1,AS25-AT25,MIN((AS25-AT25)*(Inputs!$C$64/12)/(1-(1+Inputs!$C$64/12)^(-AR25))-AU25,AS25-AT25)))</f>
        <v>339034.027581732</v>
      </c>
      <c r="AW25" s="0" t="n">
        <f aca="false">(AS25-AT25-AV25)*Inputs!$B$10</f>
        <v>192608.696796681</v>
      </c>
      <c r="AX25" s="0" t="n">
        <f aca="false">AS25-AT25-AV25-AW25</f>
        <v>21840938.4142419</v>
      </c>
      <c r="AY25" s="0" t="n">
        <f aca="false">Inputs!$D$65-(A25-1)</f>
        <v>53</v>
      </c>
      <c r="AZ25" s="0" t="n">
        <f aca="false">IF(AY25&lt;=0,0,IF(A25=1,Inputs!$B$65,BE24))</f>
        <v>23269576.3883879</v>
      </c>
      <c r="BA25" s="0" t="n">
        <f aca="false">AZ25*Inputs!$B$9</f>
        <v>58989.5073679498</v>
      </c>
      <c r="BB25" s="0" t="n">
        <f aca="false">(AZ25-BA25)*Inputs!$C$65/12</f>
        <v>199224.204062088</v>
      </c>
      <c r="BC25" s="0" t="n">
        <f aca="false">IF(AY25&lt;=0,0,IF(AY25=1,AZ25-BA25,MIN((AZ25-BA25)*(Inputs!$C$65/12)/(1-(1+Inputs!$C$65/12)^(-AY25))-BB25,AZ25-BA25)))</f>
        <v>347695.008689775</v>
      </c>
      <c r="BD25" s="0" t="n">
        <f aca="false">(AZ25-BA25-BC25)*Inputs!$B$10</f>
        <v>199858.506047208</v>
      </c>
      <c r="BE25" s="0" t="n">
        <f aca="false">AZ25-BA25-BC25-BD25</f>
        <v>22663033.366283</v>
      </c>
      <c r="BF25" s="0" t="n">
        <f aca="false">Inputs!$D$66-(A25-1)</f>
        <v>65</v>
      </c>
      <c r="BG25" s="0" t="n">
        <f aca="false">IF(BF25&lt;=0,0,IF(A25=1,Inputs!$B$66,BL24))</f>
        <v>24264097.9305893</v>
      </c>
      <c r="BH25" s="0" t="n">
        <f aca="false">BG25*Inputs!$B$9</f>
        <v>61510.6678249381</v>
      </c>
      <c r="BI25" s="0" t="n">
        <f aca="false">(BG25-BH25)*Inputs!$C$66/12</f>
        <v>212781.079685137</v>
      </c>
      <c r="BJ25" s="0" t="n">
        <f aca="false">IF(BF25&lt;=0,0,IF(BF25=1,BG25-BH25,MIN((BG25-BH25)*(Inputs!$C$66/12)/(1-(1+Inputs!$C$66/12)^(-BF25))-BI25,BG25-BH25)))</f>
        <v>277626.007820317</v>
      </c>
      <c r="BK25" s="0" t="n">
        <f aca="false">(BG25-BH25-BJ25)*Inputs!$B$10</f>
        <v>209142.703396914</v>
      </c>
      <c r="BL25" s="0" t="n">
        <f aca="false">BG25-BH25-BJ25-BK25</f>
        <v>23715818.5515472</v>
      </c>
      <c r="BM25" s="0" t="n">
        <f aca="false">Inputs!$D$67-(A25-1)</f>
        <v>65</v>
      </c>
      <c r="BN25" s="0" t="n">
        <f aca="false">IF(BM25&lt;=0,0,IF(A25=1,Inputs!$B$67,BS24))</f>
        <v>31889549.6058559</v>
      </c>
      <c r="BO25" s="0" t="n">
        <f aca="false">BN25*Inputs!$B$9</f>
        <v>80841.5585242014</v>
      </c>
      <c r="BP25" s="0" t="n">
        <f aca="false">(BN25-BO25)*Inputs!$C$67/12</f>
        <v>292905.186602513</v>
      </c>
      <c r="BQ25" s="0" t="n">
        <f aca="false">IF(BM25&lt;=0,0,IF(BM25=1,BN25-BO25,MIN((BN25-BO25)*(Inputs!$C$67/12)/(1-(1+Inputs!$C$67/12)^(-BM25))-BP25,BN25-BO25)))</f>
        <v>359619.309128702</v>
      </c>
      <c r="BR25" s="0" t="n">
        <f aca="false">(BN25-BO25-BQ25)*Inputs!$B$10</f>
        <v>274915.698629105</v>
      </c>
      <c r="BS25" s="0" t="n">
        <f aca="false">BN25-BO25-BQ25-BR25</f>
        <v>31174173.0395739</v>
      </c>
      <c r="BT25" s="0" t="n">
        <f aca="false">C25+J25+Q25+X25+AE25+AL25+AS25+AZ25+BG25+BN25</f>
        <v>231954596.370804</v>
      </c>
      <c r="BU25" s="0" t="n">
        <f aca="false">D25+K25+R25+Y25+AF25+AM25+AT25+BA25+BH25+BO25</f>
        <v>588016.178002855</v>
      </c>
      <c r="BV25" s="0" t="n">
        <f aca="false">E25+L25+S25+Z25+AG25+AN25+AU25+BB25+BI25+BP25</f>
        <v>1795628.29692122</v>
      </c>
      <c r="BW25" s="0" t="n">
        <f aca="false">F25+M25+T25+AA25+AH25+AO25+AV25+BC25+BJ25+BQ25</f>
        <v>5113158.53591391</v>
      </c>
      <c r="BX25" s="0" t="n">
        <f aca="false">G25+N25+U25+AB25+AI25+AP25+AW25+BD25+BK25+BR25</f>
        <v>1977819.38929346</v>
      </c>
      <c r="BY25" s="0" t="n">
        <f aca="false">H25+O25+V25+AC25+AJ25+AQ25+AX25+BE25+BL25+BS25</f>
        <v>224275602.267593</v>
      </c>
      <c r="BZ25" s="0" t="n">
        <f aca="false">IF(A25&gt;Inputs!$B$7,(1-Inputs!$B$6)*INDEX($BU$6:$BU$125,A25-Inputs!$B$7),0)</f>
        <v>426417.244527904</v>
      </c>
      <c r="CA25" s="0" t="n">
        <f aca="false">CA24+(1-Inputs!$B$6)*BU25-BZ25</f>
        <v>2297889.56413983</v>
      </c>
      <c r="CB25" s="0" t="n">
        <f aca="false">BY25+CA25</f>
        <v>226573491.831733</v>
      </c>
      <c r="CC25" s="0" t="n">
        <f aca="false">BV25+BW25+BX25+BZ25</f>
        <v>9313023.4666565</v>
      </c>
      <c r="CD25" s="0" t="n">
        <f aca="false">CD24+BU25-BZ25</f>
        <v>8635771.80316046</v>
      </c>
    </row>
    <row r="26" customFormat="false" ht="15" hidden="false" customHeight="false" outlineLevel="0" collapsed="false">
      <c r="A26" s="0" t="n">
        <f aca="false">ROW()-5</f>
        <v>21</v>
      </c>
      <c r="B26" s="0" t="n">
        <f aca="false">Inputs!$D$58-(A26-1)</f>
        <v>16</v>
      </c>
      <c r="C26" s="0" t="n">
        <f aca="false">IF(B26&lt;=0,0,IF(A26=1,Inputs!$B$58,H25))</f>
        <v>14662908.8121265</v>
      </c>
      <c r="D26" s="0" t="n">
        <f aca="false">C26*Inputs!$B$9</f>
        <v>37171.1866589951</v>
      </c>
      <c r="E26" s="0" t="n">
        <f aca="false">(C26-D26)*Inputs!$C$58/12</f>
        <v>88973.2372215942</v>
      </c>
      <c r="F26" s="0" t="n">
        <f aca="false">IF(B26&lt;=0,0,IF(B26=1,C26-D26,MIN((C26-D26)*(Inputs!$C$58/12)/(1-(1+Inputs!$C$58/12)^(-B26))-E26,C26-D26)))</f>
        <v>873118.958853471</v>
      </c>
      <c r="G26" s="0" t="n">
        <f aca="false">(C26-D26-F26)*Inputs!$B$10</f>
        <v>120220.04199184</v>
      </c>
      <c r="H26" s="0" t="n">
        <f aca="false">C26-D26-F26-G26</f>
        <v>13632398.6246222</v>
      </c>
      <c r="I26" s="0" t="n">
        <f aca="false">Inputs!$D$59-(A26-1)</f>
        <v>28</v>
      </c>
      <c r="J26" s="0" t="n">
        <f aca="false">IF(I26&lt;=0,0,IF(A26=1,Inputs!$B$59,O25))</f>
        <v>37371333.8085612</v>
      </c>
      <c r="K26" s="0" t="n">
        <f aca="false">J26*Inputs!$B$9</f>
        <v>94738.1479686213</v>
      </c>
      <c r="L26" s="0" t="n">
        <f aca="false">(J26-K26)*Inputs!$C$59/12</f>
        <v>242297.871793852</v>
      </c>
      <c r="M26" s="0" t="n">
        <f aca="false">IF(I26&lt;=0,0,IF(I26=1,J26-K26,MIN((J26-K26)*(Inputs!$C$59/12)/(1-(1+Inputs!$C$59/12)^(-I26))-L26,J26-K26)))</f>
        <v>1218141.07928778</v>
      </c>
      <c r="N26" s="0" t="n">
        <f aca="false">(J26-K26-M26)*Inputs!$B$10</f>
        <v>315208.981577368</v>
      </c>
      <c r="O26" s="0" t="n">
        <f aca="false">J26-K26-M26-N26</f>
        <v>35743245.5997275</v>
      </c>
      <c r="P26" s="0" t="n">
        <f aca="false">Inputs!$D$60-(A26-1)</f>
        <v>28</v>
      </c>
      <c r="Q26" s="0" t="n">
        <f aca="false">IF(P26&lt;=0,0,IF(A26=1,Inputs!$B$60,V25))</f>
        <v>10732255.9736919</v>
      </c>
      <c r="R26" s="0" t="n">
        <f aca="false">Q26*Inputs!$B$9</f>
        <v>27206.7906294481</v>
      </c>
      <c r="S26" s="0" t="n">
        <f aca="false">(Q26-R26)*Inputs!$C$60/12</f>
        <v>74043.2568495152</v>
      </c>
      <c r="T26" s="0" t="n">
        <f aca="false">IF(P26&lt;=0,0,IF(P26=1,Q26-R26,MIN((Q26-R26)*(Inputs!$C$60/12)/(1-(1+Inputs!$C$60/12)^(-P26))-S26,Q26-R26)))</f>
        <v>347812.36232018</v>
      </c>
      <c r="U26" s="0" t="n">
        <f aca="false">(Q26-R26-T26)*Inputs!$B$10</f>
        <v>90538.9348525887</v>
      </c>
      <c r="V26" s="0" t="n">
        <f aca="false">Q26-R26-T26-U26</f>
        <v>10266697.8858897</v>
      </c>
      <c r="W26" s="0" t="n">
        <f aca="false">Inputs!$D$61-(A26-1)</f>
        <v>40</v>
      </c>
      <c r="X26" s="0" t="n">
        <f aca="false">IF(W26&lt;=0,0,IF(A26=1,Inputs!$B$61,AC25))</f>
        <v>38262454.1369314</v>
      </c>
      <c r="Y26" s="0" t="n">
        <f aca="false">X26*Inputs!$B$9</f>
        <v>96997.1813218178</v>
      </c>
      <c r="Z26" s="0" t="n">
        <f aca="false">(X26-Y26)*Inputs!$C$61/12</f>
        <v>279880.01767447</v>
      </c>
      <c r="AA26" s="0" t="n">
        <f aca="false">IF(W26&lt;=0,0,IF(W26=1,X26-Y26,MIN((X26-Y26)*(Inputs!$C$61/12)/(1-(1+Inputs!$C$61/12)^(-W26))-Z26,X26-Y26)))</f>
        <v>824497.518372959</v>
      </c>
      <c r="AB26" s="0" t="n">
        <f aca="false">(X26-Y26-AA26)*Inputs!$B$10</f>
        <v>326420.140075434</v>
      </c>
      <c r="AC26" s="0" t="n">
        <f aca="false">X26-Y26-AA26-AB26</f>
        <v>37014539.2971612</v>
      </c>
      <c r="AD26" s="0" t="n">
        <f aca="false">Inputs!$D$62-(A26-1)</f>
        <v>40</v>
      </c>
      <c r="AE26" s="0" t="n">
        <f aca="false">IF(AD26&lt;=0,0,IF(A26=1,Inputs!$B$62,AJ25))</f>
        <v>10857488.0225903</v>
      </c>
      <c r="AF26" s="0" t="n">
        <f aca="false">AE26*Inputs!$B$9</f>
        <v>27524.259961416</v>
      </c>
      <c r="AG26" s="0" t="n">
        <f aca="false">(AE26-AF26)*Inputs!$C$62/12</f>
        <v>83932.2191603739</v>
      </c>
      <c r="AH26" s="0" t="n">
        <f aca="false">IF(AD26&lt;=0,0,IF(AD26=1,AE26-AF26,MIN((AE26-AF26)*(Inputs!$C$62/12)/(1-(1+Inputs!$C$62/12)^(-AD26))-AG26,AE26-AF26)))</f>
        <v>231987.252457403</v>
      </c>
      <c r="AI26" s="0" t="n">
        <f aca="false">(AE26-AF26-AH26)*Inputs!$B$10</f>
        <v>92643.3875589336</v>
      </c>
      <c r="AJ26" s="0" t="n">
        <f aca="false">AE26-AF26-AH26-AI26</f>
        <v>10505333.1226126</v>
      </c>
      <c r="AK26" s="0" t="n">
        <f aca="false">Inputs!$D$63-(A26-1)</f>
        <v>40</v>
      </c>
      <c r="AL26" s="0" t="n">
        <f aca="false">IF(AK26&lt;=0,0,IF(A26=1,Inputs!$B$63,AQ25))</f>
        <v>12995198.1420462</v>
      </c>
      <c r="AM26" s="0" t="n">
        <f aca="false">AL26*Inputs!$B$9</f>
        <v>32943.4590365273</v>
      </c>
      <c r="AN26" s="0" t="n">
        <f aca="false">(AL26-AM26)*Inputs!$C$63/12</f>
        <v>103157.943518952</v>
      </c>
      <c r="AO26" s="0" t="n">
        <f aca="false">IF(AK26&lt;=0,0,IF(AK26=1,AL26-AM26,MIN((AL26-AM26)*(Inputs!$C$63/12)/(1-(1+Inputs!$C$63/12)^(-AK26))-AN26,AL26-AM26)))</f>
        <v>276486.328990032</v>
      </c>
      <c r="AP26" s="0" t="n">
        <f aca="false">(AL26-AM26-AO26)*Inputs!$B$10</f>
        <v>110894.051612243</v>
      </c>
      <c r="AQ26" s="0" t="n">
        <f aca="false">AL26-AM26-AO26-AP26</f>
        <v>12574874.3024074</v>
      </c>
      <c r="AR26" s="0" t="n">
        <f aca="false">Inputs!$D$64-(A26-1)</f>
        <v>52</v>
      </c>
      <c r="AS26" s="0" t="n">
        <f aca="false">IF(AR26&lt;=0,0,IF(A26=1,Inputs!$B$64,AX25))</f>
        <v>21840938.4142419</v>
      </c>
      <c r="AT26" s="0" t="n">
        <f aca="false">AS26*Inputs!$B$9</f>
        <v>55367.8406519163</v>
      </c>
      <c r="AU26" s="0" t="n">
        <f aca="false">(AS26-AT26)*Inputs!$C$64/12</f>
        <v>177915.493017651</v>
      </c>
      <c r="AV26" s="0" t="n">
        <f aca="false">IF(AR26&lt;=0,0,IF(AR26=1,AS26-AT26,MIN((AS26-AT26)*(Inputs!$C$64/12)/(1-(1+Inputs!$C$64/12)^(-AR26))-AU26,AS26-AT26)))</f>
        <v>337955.986086629</v>
      </c>
      <c r="AW26" s="0" t="n">
        <f aca="false">(AS26-AT26-AV26)*Inputs!$B$10</f>
        <v>187486.702630232</v>
      </c>
      <c r="AX26" s="0" t="n">
        <f aca="false">AS26-AT26-AV26-AW26</f>
        <v>21260127.8848731</v>
      </c>
      <c r="AY26" s="0" t="n">
        <f aca="false">Inputs!$D$65-(A26-1)</f>
        <v>52</v>
      </c>
      <c r="AZ26" s="0" t="n">
        <f aca="false">IF(AY26&lt;=0,0,IF(A26=1,Inputs!$B$65,BE25))</f>
        <v>22663033.366283</v>
      </c>
      <c r="BA26" s="0" t="n">
        <f aca="false">AZ26*Inputs!$B$9</f>
        <v>57451.8913205303</v>
      </c>
      <c r="BB26" s="0" t="n">
        <f aca="false">(AZ26-BA26)*Inputs!$C$65/12</f>
        <v>194031.240993428</v>
      </c>
      <c r="BC26" s="0" t="n">
        <f aca="false">IF(AY26&lt;=0,0,IF(AY26=1,AZ26-BA26,MIN((AZ26-BA26)*(Inputs!$C$65/12)/(1-(1+Inputs!$C$65/12)^(-AY26))-BB26,AZ26-BA26)))</f>
        <v>346732.669938041</v>
      </c>
      <c r="BD26" s="0" t="n">
        <f aca="false">(AZ26-BA26-BC26)*Inputs!$B$10</f>
        <v>194578.19655294</v>
      </c>
      <c r="BE26" s="0" t="n">
        <f aca="false">AZ26-BA26-BC26-BD26</f>
        <v>22064270.6084715</v>
      </c>
      <c r="BF26" s="0" t="n">
        <f aca="false">Inputs!$D$66-(A26-1)</f>
        <v>64</v>
      </c>
      <c r="BG26" s="0" t="n">
        <f aca="false">IF(BF26&lt;=0,0,IF(A26=1,Inputs!$B$66,BL25))</f>
        <v>23715818.5515472</v>
      </c>
      <c r="BH26" s="0" t="n">
        <f aca="false">BG26*Inputs!$B$9</f>
        <v>60120.752945102</v>
      </c>
      <c r="BI26" s="0" t="n">
        <f aca="false">(BG26-BH26)*Inputs!$C$66/12</f>
        <v>207973.00981271</v>
      </c>
      <c r="BJ26" s="0" t="n">
        <f aca="false">IF(BF26&lt;=0,0,IF(BF26=1,BG26-BH26,MIN((BG26-BH26)*(Inputs!$C$66/12)/(1-(1+Inputs!$C$66/12)^(-BF26))-BI26,BG26-BH26)))</f>
        <v>276914.791538454</v>
      </c>
      <c r="BK26" s="0" t="n">
        <f aca="false">(BG26-BH26-BJ26)*Inputs!$B$10</f>
        <v>204368.225642025</v>
      </c>
      <c r="BL26" s="0" t="n">
        <f aca="false">BG26-BH26-BJ26-BK26</f>
        <v>23174414.7814216</v>
      </c>
      <c r="BM26" s="0" t="n">
        <f aca="false">Inputs!$D$67-(A26-1)</f>
        <v>64</v>
      </c>
      <c r="BN26" s="0" t="n">
        <f aca="false">IF(BM26&lt;=0,0,IF(A26=1,Inputs!$B$67,BS25))</f>
        <v>31174173.0395739</v>
      </c>
      <c r="BO26" s="0" t="n">
        <f aca="false">BN26*Inputs!$B$9</f>
        <v>79028.0441514769</v>
      </c>
      <c r="BP26" s="0" t="n">
        <f aca="false">(BN26-BO26)*Inputs!$C$67/12</f>
        <v>286334.460166182</v>
      </c>
      <c r="BQ26" s="0" t="n">
        <f aca="false">IF(BM26&lt;=0,0,IF(BM26=1,BN26-BO26,MIN((BN26-BO26)*(Inputs!$C$67/12)/(1-(1+Inputs!$C$67/12)^(-BM26))-BP26,BN26-BO26)))</f>
        <v>358846.199176078</v>
      </c>
      <c r="BR26" s="0" t="n">
        <f aca="false">(BN26-BO26-BQ26)*Inputs!$B$10</f>
        <v>268684.766264099</v>
      </c>
      <c r="BS26" s="0" t="n">
        <f aca="false">BN26-BO26-BQ26-BR26</f>
        <v>30467614.0299823</v>
      </c>
      <c r="BT26" s="0" t="n">
        <f aca="false">C26+J26+Q26+X26+AE26+AL26+AS26+AZ26+BG26+BN26</f>
        <v>224275602.267593</v>
      </c>
      <c r="BU26" s="0" t="n">
        <f aca="false">D26+K26+R26+Y26+AF26+AM26+AT26+BA26+BH26+BO26</f>
        <v>568549.554645851</v>
      </c>
      <c r="BV26" s="0" t="n">
        <f aca="false">E26+L26+S26+Z26+AG26+AN26+AU26+BB26+BI26+BP26</f>
        <v>1738538.75020873</v>
      </c>
      <c r="BW26" s="0" t="n">
        <f aca="false">F26+M26+T26+AA26+AH26+AO26+AV26+BC26+BJ26+BQ26</f>
        <v>5092493.14702102</v>
      </c>
      <c r="BX26" s="0" t="n">
        <f aca="false">G26+N26+U26+AB26+AI26+AP26+AW26+BD26+BK26+BR26</f>
        <v>1911043.4287577</v>
      </c>
      <c r="BY26" s="0" t="n">
        <f aca="false">H26+O26+V26+AC26+AJ26+AQ26+AX26+BE26+BL26+BS26</f>
        <v>216703516.137169</v>
      </c>
      <c r="BZ26" s="0" t="n">
        <f aca="false">IF(A26&gt;Inputs!$B$7,(1-Inputs!$B$6)*INDEX($BU$6:$BU$125,A26-Inputs!$B$7),0)</f>
        <v>413719.072481261</v>
      </c>
      <c r="CA26" s="0" t="n">
        <f aca="false">CA25+(1-Inputs!$B$6)*BU26-BZ26</f>
        <v>2225300.22444608</v>
      </c>
      <c r="CB26" s="0" t="n">
        <f aca="false">BY26+CA26</f>
        <v>218928816.361615</v>
      </c>
      <c r="CC26" s="0" t="n">
        <f aca="false">BV26+BW26+BX26+BZ26</f>
        <v>9155794.39846871</v>
      </c>
      <c r="CD26" s="0" t="n">
        <f aca="false">CD25+BU26-BZ26</f>
        <v>8790602.28532505</v>
      </c>
    </row>
    <row r="27" customFormat="false" ht="15" hidden="false" customHeight="false" outlineLevel="0" collapsed="false">
      <c r="A27" s="0" t="n">
        <f aca="false">ROW()-5</f>
        <v>22</v>
      </c>
      <c r="B27" s="0" t="n">
        <f aca="false">Inputs!$D$58-(A27-1)</f>
        <v>15</v>
      </c>
      <c r="C27" s="0" t="n">
        <f aca="false">IF(B27&lt;=0,0,IF(A27=1,Inputs!$B$58,H26))</f>
        <v>13632398.6246222</v>
      </c>
      <c r="D27" s="0" t="n">
        <f aca="false">C27*Inputs!$B$9</f>
        <v>34558.7932366177</v>
      </c>
      <c r="E27" s="0" t="n">
        <f aca="false">(C27-D27)*Inputs!$C$58/12</f>
        <v>82720.1923075958</v>
      </c>
      <c r="F27" s="0" t="n">
        <f aca="false">IF(B27&lt;=0,0,IF(B27=1,C27-D27,MIN((C27-D27)*(Inputs!$C$58/12)/(1-(1+Inputs!$C$58/12)^(-B27))-E27,C27-D27)))</f>
        <v>868544.137955093</v>
      </c>
      <c r="G27" s="0" t="n">
        <f aca="false">(C27-D27-F27)*Inputs!$B$10</f>
        <v>111274.550679266</v>
      </c>
      <c r="H27" s="0" t="n">
        <f aca="false">C27-D27-F27-G27</f>
        <v>12618021.1427512</v>
      </c>
      <c r="I27" s="0" t="n">
        <f aca="false">Inputs!$D$59-(A27-1)</f>
        <v>27</v>
      </c>
      <c r="J27" s="0" t="n">
        <f aca="false">IF(I27&lt;=0,0,IF(A27=1,Inputs!$B$59,O26))</f>
        <v>35743245.5997275</v>
      </c>
      <c r="K27" s="0" t="n">
        <f aca="false">J27*Inputs!$B$9</f>
        <v>90610.8652116134</v>
      </c>
      <c r="L27" s="0" t="n">
        <f aca="false">(J27-K27)*Inputs!$C$59/12</f>
        <v>231742.125774353</v>
      </c>
      <c r="M27" s="0" t="n">
        <f aca="false">IF(I27&lt;=0,0,IF(I27=1,J27-K27,MIN((J27-K27)*(Inputs!$C$59/12)/(1-(1+Inputs!$C$59/12)^(-I27))-L27,J27-K27)))</f>
        <v>1212260.31635939</v>
      </c>
      <c r="N27" s="0" t="n">
        <f aca="false">(J27-K27-M27)*Inputs!$B$10</f>
        <v>301064.354297613</v>
      </c>
      <c r="O27" s="0" t="n">
        <f aca="false">J27-K27-M27-N27</f>
        <v>34139310.0638588</v>
      </c>
      <c r="P27" s="0" t="n">
        <f aca="false">Inputs!$D$60-(A27-1)</f>
        <v>27</v>
      </c>
      <c r="Q27" s="0" t="n">
        <f aca="false">IF(P27&lt;=0,0,IF(A27=1,Inputs!$B$60,V26))</f>
        <v>10266697.8858897</v>
      </c>
      <c r="R27" s="0" t="n">
        <f aca="false">Q27*Inputs!$B$9</f>
        <v>26026.5782443047</v>
      </c>
      <c r="S27" s="0" t="n">
        <f aca="false">(Q27-R27)*Inputs!$C$60/12</f>
        <v>70831.3098778804</v>
      </c>
      <c r="T27" s="0" t="n">
        <f aca="false">IF(P27&lt;=0,0,IF(P27=1,Q27-R27,MIN((Q27-R27)*(Inputs!$C$60/12)/(1-(1+Inputs!$C$60/12)^(-P27))-S27,Q27-R27)))</f>
        <v>346276.535580313</v>
      </c>
      <c r="U27" s="0" t="n">
        <f aca="false">(Q27-R27-T27)*Inputs!$B$10</f>
        <v>86492.9497295778</v>
      </c>
      <c r="V27" s="0" t="n">
        <f aca="false">Q27-R27-T27-U27</f>
        <v>9807901.82233547</v>
      </c>
      <c r="W27" s="0" t="n">
        <f aca="false">Inputs!$D$61-(A27-1)</f>
        <v>39</v>
      </c>
      <c r="X27" s="0" t="n">
        <f aca="false">IF(W27&lt;=0,0,IF(A27=1,Inputs!$B$61,AC26))</f>
        <v>37014539.2971612</v>
      </c>
      <c r="Y27" s="0" t="n">
        <f aca="false">X27*Inputs!$B$9</f>
        <v>93833.6565370721</v>
      </c>
      <c r="Z27" s="0" t="n">
        <f aca="false">(X27-Y27)*Inputs!$C$61/12</f>
        <v>270751.841364577</v>
      </c>
      <c r="AA27" s="0" t="n">
        <f aca="false">IF(W27&lt;=0,0,IF(W27=1,X27-Y27,MIN((X27-Y27)*(Inputs!$C$61/12)/(1-(1+Inputs!$C$61/12)^(-W27))-Z27,X27-Y27)))</f>
        <v>821196.478631305</v>
      </c>
      <c r="AB27" s="0" t="n">
        <f aca="false">(X27-Y27-AA27)*Inputs!$B$10</f>
        <v>315567.864749651</v>
      </c>
      <c r="AC27" s="0" t="n">
        <f aca="false">X27-Y27-AA27-AB27</f>
        <v>35783941.2972432</v>
      </c>
      <c r="AD27" s="0" t="n">
        <f aca="false">Inputs!$D$62-(A27-1)</f>
        <v>39</v>
      </c>
      <c r="AE27" s="0" t="n">
        <f aca="false">IF(AD27&lt;=0,0,IF(A27=1,Inputs!$B$62,AJ26))</f>
        <v>10505333.1226126</v>
      </c>
      <c r="AF27" s="0" t="n">
        <f aca="false">AE27*Inputs!$B$9</f>
        <v>26631.5301703716</v>
      </c>
      <c r="AG27" s="0" t="n">
        <f aca="false">(AE27-AF27)*Inputs!$C$62/12</f>
        <v>81209.937341427</v>
      </c>
      <c r="AH27" s="0" t="n">
        <f aca="false">IF(AD27&lt;=0,0,IF(AD27=1,AE27-AF27,MIN((AE27-AF27)*(Inputs!$C$62/12)/(1-(1+Inputs!$C$62/12)^(-AD27))-AG27,AE27-AF27)))</f>
        <v>231154.018848463</v>
      </c>
      <c r="AI27" s="0" t="n">
        <f aca="false">(AE27-AF27-AH27)*Inputs!$B$10</f>
        <v>89580.0741281027</v>
      </c>
      <c r="AJ27" s="0" t="n">
        <f aca="false">AE27-AF27-AH27-AI27</f>
        <v>10157967.4994656</v>
      </c>
      <c r="AK27" s="0" t="n">
        <f aca="false">Inputs!$D$63-(A27-1)</f>
        <v>39</v>
      </c>
      <c r="AL27" s="0" t="n">
        <f aca="false">IF(AK27&lt;=0,0,IF(A27=1,Inputs!$B$63,AQ26))</f>
        <v>12574874.3024074</v>
      </c>
      <c r="AM27" s="0" t="n">
        <f aca="false">AL27*Inputs!$B$9</f>
        <v>31877.9176694885</v>
      </c>
      <c r="AN27" s="0" t="n">
        <f aca="false">(AL27-AM27)*Inputs!$C$63/12</f>
        <v>99821.3462285392</v>
      </c>
      <c r="AO27" s="0" t="n">
        <f aca="false">IF(AK27&lt;=0,0,IF(AK27=1,AL27-AM27,MIN((AL27-AM27)*(Inputs!$C$63/12)/(1-(1+Inputs!$C$63/12)^(-AK27))-AN27,AL27-AM27)))</f>
        <v>275550.220134469</v>
      </c>
      <c r="AP27" s="0" t="n">
        <f aca="false">(AL27-AM27-AO27)*Inputs!$B$10</f>
        <v>107237.24177865</v>
      </c>
      <c r="AQ27" s="0" t="n">
        <f aca="false">AL27-AM27-AO27-AP27</f>
        <v>12160208.9228248</v>
      </c>
      <c r="AR27" s="0" t="n">
        <f aca="false">Inputs!$D$64-(A27-1)</f>
        <v>51</v>
      </c>
      <c r="AS27" s="0" t="n">
        <f aca="false">IF(AR27&lt;=0,0,IF(A27=1,Inputs!$B$64,AX26))</f>
        <v>21260127.8848731</v>
      </c>
      <c r="AT27" s="0" t="n">
        <f aca="false">AS27*Inputs!$B$9</f>
        <v>53895.4577245383</v>
      </c>
      <c r="AU27" s="0" t="n">
        <f aca="false">(AS27-AT27)*Inputs!$C$64/12</f>
        <v>173184.23148838</v>
      </c>
      <c r="AV27" s="0" t="n">
        <f aca="false">IF(AR27&lt;=0,0,IF(AR27=1,AS27-AT27,MIN((AS27-AT27)*(Inputs!$C$64/12)/(1-(1+Inputs!$C$64/12)^(-AR27))-AU27,AS27-AT27)))</f>
        <v>336881.372487757</v>
      </c>
      <c r="AW27" s="0" t="n">
        <f aca="false">(AS27-AT27-AV27)*Inputs!$B$10</f>
        <v>182431.747796834</v>
      </c>
      <c r="AX27" s="0" t="n">
        <f aca="false">AS27-AT27-AV27-AW27</f>
        <v>20686919.306864</v>
      </c>
      <c r="AY27" s="0" t="n">
        <f aca="false">Inputs!$D$65-(A27-1)</f>
        <v>51</v>
      </c>
      <c r="AZ27" s="0" t="n">
        <f aca="false">IF(AY27&lt;=0,0,IF(A27=1,Inputs!$B$65,BE26))</f>
        <v>22064270.6084715</v>
      </c>
      <c r="BA27" s="0" t="n">
        <f aca="false">AZ27*Inputs!$B$9</f>
        <v>55933.9986213232</v>
      </c>
      <c r="BB27" s="0" t="n">
        <f aca="false">(AZ27-BA27)*Inputs!$C$65/12</f>
        <v>188904.889234547</v>
      </c>
      <c r="BC27" s="0" t="n">
        <f aca="false">IF(AY27&lt;=0,0,IF(AY27=1,AZ27-BA27,MIN((AZ27-BA27)*(Inputs!$C$65/12)/(1-(1+Inputs!$C$65/12)^(-AY27))-BB27,AZ27-BA27)))</f>
        <v>345772.994715693</v>
      </c>
      <c r="BD27" s="0" t="n">
        <f aca="false">(AZ27-BA27-BC27)*Inputs!$B$10</f>
        <v>189365.703404874</v>
      </c>
      <c r="BE27" s="0" t="n">
        <f aca="false">AZ27-BA27-BC27-BD27</f>
        <v>21473197.9117296</v>
      </c>
      <c r="BF27" s="0" t="n">
        <f aca="false">Inputs!$D$66-(A27-1)</f>
        <v>63</v>
      </c>
      <c r="BG27" s="0" t="n">
        <f aca="false">IF(BF27&lt;=0,0,IF(A27=1,Inputs!$B$66,BL26))</f>
        <v>23174414.7814216</v>
      </c>
      <c r="BH27" s="0" t="n">
        <f aca="false">BG27*Inputs!$B$9</f>
        <v>58748.2680681192</v>
      </c>
      <c r="BI27" s="0" t="n">
        <f aca="false">(BG27-BH27)*Inputs!$C$66/12</f>
        <v>203225.234763233</v>
      </c>
      <c r="BJ27" s="0" t="n">
        <f aca="false">IF(BF27&lt;=0,0,IF(BF27=1,BG27-BH27,MIN((BG27-BH27)*(Inputs!$C$66/12)/(1-(1+Inputs!$C$66/12)^(-BF27))-BI27,BG27-BH27)))</f>
        <v>276205.397235028</v>
      </c>
      <c r="BK27" s="0" t="n">
        <f aca="false">(BG27-BH27-BJ27)*Inputs!$B$10</f>
        <v>199653.683492031</v>
      </c>
      <c r="BL27" s="0" t="n">
        <f aca="false">BG27-BH27-BJ27-BK27</f>
        <v>22639807.4326264</v>
      </c>
      <c r="BM27" s="0" t="n">
        <f aca="false">Inputs!$D$67-(A27-1)</f>
        <v>63</v>
      </c>
      <c r="BN27" s="0" t="n">
        <f aca="false">IF(BM27&lt;=0,0,IF(A27=1,Inputs!$B$67,BS26))</f>
        <v>30467614.0299823</v>
      </c>
      <c r="BO27" s="0" t="n">
        <f aca="false">BN27*Inputs!$B$9</f>
        <v>77236.8827136178</v>
      </c>
      <c r="BP27" s="0" t="n">
        <f aca="false">(BN27-BO27)*Inputs!$C$67/12</f>
        <v>279844.722897765</v>
      </c>
      <c r="BQ27" s="0" t="n">
        <f aca="false">IF(BM27&lt;=0,0,IF(BM27=1,BN27-BO27,MIN((BN27-BO27)*(Inputs!$C$67/12)/(1-(1+Inputs!$C$67/12)^(-BM27))-BP27,BN27-BO27)))</f>
        <v>358074.751256007</v>
      </c>
      <c r="BR27" s="0" t="n">
        <f aca="false">(BN27-BO27-BQ27)*Inputs!$B$10</f>
        <v>262530.703619749</v>
      </c>
      <c r="BS27" s="0" t="n">
        <f aca="false">BN27-BO27-BQ27-BR27</f>
        <v>29769771.6923929</v>
      </c>
      <c r="BT27" s="0" t="n">
        <f aca="false">C27+J27+Q27+X27+AE27+AL27+AS27+AZ27+BG27+BN27</f>
        <v>216703516.137169</v>
      </c>
      <c r="BU27" s="0" t="n">
        <f aca="false">D27+K27+R27+Y27+AF27+AM27+AT27+BA27+BH27+BO27</f>
        <v>549353.948197066</v>
      </c>
      <c r="BV27" s="0" t="n">
        <f aca="false">E27+L27+S27+Z27+AG27+AN27+AU27+BB27+BI27+BP27</f>
        <v>1682235.8312783</v>
      </c>
      <c r="BW27" s="0" t="n">
        <f aca="false">F27+M27+T27+AA27+AH27+AO27+AV27+BC27+BJ27+BQ27</f>
        <v>5071916.22320352</v>
      </c>
      <c r="BX27" s="0" t="n">
        <f aca="false">G27+N27+U27+AB27+AI27+AP27+AW27+BD27+BK27+BR27</f>
        <v>1845198.87367635</v>
      </c>
      <c r="BY27" s="0" t="n">
        <f aca="false">H27+O27+V27+AC27+AJ27+AQ27+AX27+BE27+BL27+BS27</f>
        <v>209237047.092092</v>
      </c>
      <c r="BZ27" s="0" t="n">
        <f aca="false">IF(A27&gt;Inputs!$B$7,(1-Inputs!$B$6)*INDEX($BU$6:$BU$125,A27-Inputs!$B$7),0)</f>
        <v>401195.782848848</v>
      </c>
      <c r="CA27" s="0" t="n">
        <f aca="false">CA26+(1-Inputs!$B$6)*BU27-BZ27</f>
        <v>2153716.81051547</v>
      </c>
      <c r="CB27" s="0" t="n">
        <f aca="false">BY27+CA27</f>
        <v>211390763.902607</v>
      </c>
      <c r="CC27" s="0" t="n">
        <f aca="false">BV27+BW27+BX27+BZ27</f>
        <v>9000546.71100701</v>
      </c>
      <c r="CD27" s="0" t="n">
        <f aca="false">CD26+BU27-BZ27</f>
        <v>8938760.45067327</v>
      </c>
    </row>
    <row r="28" customFormat="false" ht="15" hidden="false" customHeight="false" outlineLevel="0" collapsed="false">
      <c r="A28" s="0" t="n">
        <f aca="false">ROW()-5</f>
        <v>23</v>
      </c>
      <c r="B28" s="0" t="n">
        <f aca="false">Inputs!$D$58-(A28-1)</f>
        <v>14</v>
      </c>
      <c r="C28" s="0" t="n">
        <f aca="false">IF(B28&lt;=0,0,IF(A28=1,Inputs!$B$58,H27))</f>
        <v>12618021.1427512</v>
      </c>
      <c r="D28" s="0" t="n">
        <f aca="false">C28*Inputs!$B$9</f>
        <v>31987.2970072936</v>
      </c>
      <c r="E28" s="0" t="n">
        <f aca="false">(C28-D28)*Inputs!$C$58/12</f>
        <v>76565.0392282757</v>
      </c>
      <c r="F28" s="0" t="n">
        <f aca="false">IF(B28&lt;=0,0,IF(B28=1,C28-D28,MIN((C28-D28)*(Inputs!$C$58/12)/(1-(1+Inputs!$C$58/12)^(-B28))-E28,C28-D28)))</f>
        <v>863993.287428725</v>
      </c>
      <c r="G28" s="0" t="n">
        <f aca="false">(C28-D28-F28)*Inputs!$B$10</f>
        <v>102469.518155968</v>
      </c>
      <c r="H28" s="0" t="n">
        <f aca="false">C28-D28-F28-G28</f>
        <v>11619571.0401593</v>
      </c>
      <c r="I28" s="0" t="n">
        <f aca="false">Inputs!$D$59-(A28-1)</f>
        <v>26</v>
      </c>
      <c r="J28" s="0" t="n">
        <f aca="false">IF(I28&lt;=0,0,IF(A28=1,Inputs!$B$59,O27))</f>
        <v>34139310.0638588</v>
      </c>
      <c r="K28" s="0" t="n">
        <f aca="false">J28*Inputs!$B$9</f>
        <v>86544.8106547262</v>
      </c>
      <c r="L28" s="0" t="n">
        <f aca="false">(J28-K28)*Inputs!$C$59/12</f>
        <v>221342.974145827</v>
      </c>
      <c r="M28" s="0" t="n">
        <f aca="false">IF(I28&lt;=0,0,IF(I28=1,J28-K28,MIN((J28-K28)*(Inputs!$C$59/12)/(1-(1+Inputs!$C$59/12)^(-I28))-L28,J28-K28)))</f>
        <v>1206407.94371617</v>
      </c>
      <c r="N28" s="0" t="n">
        <f aca="false">(J28-K28-M28)*Inputs!$B$10</f>
        <v>287130.076878502</v>
      </c>
      <c r="O28" s="0" t="n">
        <f aca="false">J28-K28-M28-N28</f>
        <v>32559227.2326094</v>
      </c>
      <c r="P28" s="0" t="n">
        <f aca="false">Inputs!$D$60-(A28-1)</f>
        <v>26</v>
      </c>
      <c r="Q28" s="0" t="n">
        <f aca="false">IF(P28&lt;=0,0,IF(A28=1,Inputs!$B$60,V27))</f>
        <v>9807901.82233547</v>
      </c>
      <c r="R28" s="0" t="n">
        <f aca="false">Q28*Inputs!$B$9</f>
        <v>24863.5079193579</v>
      </c>
      <c r="S28" s="0" t="n">
        <f aca="false">(Q28-R28)*Inputs!$C$60/12</f>
        <v>67666.0150080448</v>
      </c>
      <c r="T28" s="0" t="n">
        <f aca="false">IF(P28&lt;=0,0,IF(P28=1,Q28-R28,MIN((Q28-R28)*(Inputs!$C$60/12)/(1-(1+Inputs!$C$60/12)^(-P28))-S28,Q28-R28)))</f>
        <v>344747.490553893</v>
      </c>
      <c r="U28" s="0" t="n">
        <f aca="false">(Q28-R28-T28)*Inputs!$B$10</f>
        <v>82505.8664594875</v>
      </c>
      <c r="V28" s="0" t="n">
        <f aca="false">Q28-R28-T28-U28</f>
        <v>9355784.95740273</v>
      </c>
      <c r="W28" s="0" t="n">
        <f aca="false">Inputs!$D$61-(A28-1)</f>
        <v>38</v>
      </c>
      <c r="X28" s="0" t="n">
        <f aca="false">IF(W28&lt;=0,0,IF(A28=1,Inputs!$B$61,AC27))</f>
        <v>35783941.2972432</v>
      </c>
      <c r="Y28" s="0" t="n">
        <f aca="false">X28*Inputs!$B$9</f>
        <v>90714.0307831898</v>
      </c>
      <c r="Z28" s="0" t="n">
        <f aca="false">(X28-Y28)*Inputs!$C$61/12</f>
        <v>261750.333287373</v>
      </c>
      <c r="AA28" s="0" t="n">
        <f aca="false">IF(W28&lt;=0,0,IF(W28=1,X28-Y28,MIN((X28-Y28)*(Inputs!$C$61/12)/(1-(1+Inputs!$C$61/12)^(-W28))-Z28,X28-Y28)))</f>
        <v>817908.65525857</v>
      </c>
      <c r="AB28" s="0" t="n">
        <f aca="false">(X28-Y28-AA28)*Inputs!$B$10</f>
        <v>304866.467220217</v>
      </c>
      <c r="AC28" s="0" t="n">
        <f aca="false">X28-Y28-AA28-AB28</f>
        <v>34570452.1439812</v>
      </c>
      <c r="AD28" s="0" t="n">
        <f aca="false">Inputs!$D$62-(A28-1)</f>
        <v>38</v>
      </c>
      <c r="AE28" s="0" t="n">
        <f aca="false">IF(AD28&lt;=0,0,IF(A28=1,Inputs!$B$62,AJ27))</f>
        <v>10157967.4994656</v>
      </c>
      <c r="AF28" s="0" t="n">
        <f aca="false">AE28*Inputs!$B$9</f>
        <v>25750.9414289185</v>
      </c>
      <c r="AG28" s="0" t="n">
        <f aca="false">(AE28-AF28)*Inputs!$C$62/12</f>
        <v>78524.6783247845</v>
      </c>
      <c r="AH28" s="0" t="n">
        <f aca="false">IF(AD28&lt;=0,0,IF(AD28=1,AE28-AF28,MIN((AE28-AF28)*(Inputs!$C$62/12)/(1-(1+Inputs!$C$62/12)^(-AD28))-AG28,AE28-AF28)))</f>
        <v>230323.777982614</v>
      </c>
      <c r="AI28" s="0" t="n">
        <f aca="false">(AE28-AF28-AH28)*Inputs!$B$10</f>
        <v>86558.4943983532</v>
      </c>
      <c r="AJ28" s="0" t="n">
        <f aca="false">AE28-AF28-AH28-AI28</f>
        <v>9815334.28565574</v>
      </c>
      <c r="AK28" s="0" t="n">
        <f aca="false">Inputs!$D$63-(A28-1)</f>
        <v>38</v>
      </c>
      <c r="AL28" s="0" t="n">
        <f aca="false">IF(AK28&lt;=0,0,IF(A28=1,Inputs!$B$63,AQ27))</f>
        <v>12160208.9228248</v>
      </c>
      <c r="AM28" s="0" t="n">
        <f aca="false">AL28*Inputs!$B$9</f>
        <v>30826.7207737715</v>
      </c>
      <c r="AN28" s="0" t="n">
        <f aca="false">(AL28-AM28)*Inputs!$C$63/12</f>
        <v>96529.6666913227</v>
      </c>
      <c r="AO28" s="0" t="n">
        <f aca="false">IF(AK28&lt;=0,0,IF(AK28=1,AL28-AM28,MIN((AL28-AM28)*(Inputs!$C$63/12)/(1-(1+Inputs!$C$63/12)^(-AK28))-AN28,AL28-AM28)))</f>
        <v>274617.280693441</v>
      </c>
      <c r="AP28" s="0" t="n">
        <f aca="false">(AL28-AM28-AO28)*Inputs!$B$10</f>
        <v>103629.742901894</v>
      </c>
      <c r="AQ28" s="0" t="n">
        <f aca="false">AL28-AM28-AO28-AP28</f>
        <v>11751135.1784557</v>
      </c>
      <c r="AR28" s="0" t="n">
        <f aca="false">Inputs!$D$64-(A28-1)</f>
        <v>50</v>
      </c>
      <c r="AS28" s="0" t="n">
        <f aca="false">IF(AR28&lt;=0,0,IF(A28=1,Inputs!$B$64,AX27))</f>
        <v>20686919.306864</v>
      </c>
      <c r="AT28" s="0" t="n">
        <f aca="false">AS28*Inputs!$B$9</f>
        <v>52442.3461134169</v>
      </c>
      <c r="AU28" s="0" t="n">
        <f aca="false">(AS28-AT28)*Inputs!$C$64/12</f>
        <v>168514.895179463</v>
      </c>
      <c r="AV28" s="0" t="n">
        <f aca="false">IF(AR28&lt;=0,0,IF(AR28=1,AS28-AT28,MIN((AS28-AT28)*(Inputs!$C$64/12)/(1-(1+Inputs!$C$64/12)^(-AR28))-AU28,AS28-AT28)))</f>
        <v>335810.175885282</v>
      </c>
      <c r="AW28" s="0" t="n">
        <f aca="false">(AS28-AT28-AV28)*Inputs!$B$10</f>
        <v>177443.047932317</v>
      </c>
      <c r="AX28" s="0" t="n">
        <f aca="false">AS28-AT28-AV28-AW28</f>
        <v>20121223.736933</v>
      </c>
      <c r="AY28" s="0" t="n">
        <f aca="false">Inputs!$D$65-(A28-1)</f>
        <v>50</v>
      </c>
      <c r="AZ28" s="0" t="n">
        <f aca="false">IF(AY28&lt;=0,0,IF(A28=1,Inputs!$B$65,BE27))</f>
        <v>21473197.9117296</v>
      </c>
      <c r="BA28" s="0" t="n">
        <f aca="false">AZ28*Inputs!$B$9</f>
        <v>54435.600600771</v>
      </c>
      <c r="BB28" s="0" t="n">
        <f aca="false">(AZ28-BA28)*Inputs!$C$65/12</f>
        <v>183844.376503856</v>
      </c>
      <c r="BC28" s="0" t="n">
        <f aca="false">IF(AY28&lt;=0,0,IF(AY28=1,AZ28-BA28,MIN((AZ28-BA28)*(Inputs!$C$65/12)/(1-(1+Inputs!$C$65/12)^(-AY28))-BB28,AZ28-BA28)))</f>
        <v>344815.975650703</v>
      </c>
      <c r="BD28" s="0" t="n">
        <f aca="false">(AZ28-BA28-BC28)*Inputs!$B$10</f>
        <v>184220.240144906</v>
      </c>
      <c r="BE28" s="0" t="n">
        <f aca="false">AZ28-BA28-BC28-BD28</f>
        <v>20889726.0953332</v>
      </c>
      <c r="BF28" s="0" t="n">
        <f aca="false">Inputs!$D$66-(A28-1)</f>
        <v>62</v>
      </c>
      <c r="BG28" s="0" t="n">
        <f aca="false">IF(BF28&lt;=0,0,IF(A28=1,Inputs!$B$66,BL27))</f>
        <v>22639807.4326264</v>
      </c>
      <c r="BH28" s="0" t="n">
        <f aca="false">BG28*Inputs!$B$9</f>
        <v>57393.0124496091</v>
      </c>
      <c r="BI28" s="0" t="n">
        <f aca="false">(BG28-BH28)*Inputs!$C$66/12</f>
        <v>198537.060110721</v>
      </c>
      <c r="BJ28" s="0" t="n">
        <f aca="false">IF(BF28&lt;=0,0,IF(BF28=1,BG28-BH28,MIN((BG28-BH28)*(Inputs!$C$66/12)/(1-(1+Inputs!$C$66/12)^(-BF28))-BI28,BG28-BH28)))</f>
        <v>275497.820242532</v>
      </c>
      <c r="BK28" s="0" t="n">
        <f aca="false">(BG28-BH28-BJ28)*Inputs!$B$10</f>
        <v>194998.386515491</v>
      </c>
      <c r="BL28" s="0" t="n">
        <f aca="false">BG28-BH28-BJ28-BK28</f>
        <v>22111918.2134188</v>
      </c>
      <c r="BM28" s="0" t="n">
        <f aca="false">Inputs!$D$67-(A28-1)</f>
        <v>62</v>
      </c>
      <c r="BN28" s="0" t="n">
        <f aca="false">IF(BM28&lt;=0,0,IF(A28=1,Inputs!$B$67,BS27))</f>
        <v>29769771.6923929</v>
      </c>
      <c r="BO28" s="0" t="n">
        <f aca="false">BN28*Inputs!$B$9</f>
        <v>75467.8184630353</v>
      </c>
      <c r="BP28" s="0" t="n">
        <f aca="false">(BN28-BO28)*Inputs!$C$67/12</f>
        <v>273435.048172437</v>
      </c>
      <c r="BQ28" s="0" t="n">
        <f aca="false">IF(BM28&lt;=0,0,IF(BM28=1,BN28-BO28,MIN((BN28-BO28)*(Inputs!$C$67/12)/(1-(1+Inputs!$C$67/12)^(-BM28))-BP28,BN28-BO28)))</f>
        <v>357304.961795451</v>
      </c>
      <c r="BR28" s="0" t="n">
        <f aca="false">(BN28-BO28-BQ28)*Inputs!$B$10</f>
        <v>256452.63106824</v>
      </c>
      <c r="BS28" s="0" t="n">
        <f aca="false">BN28-BO28-BQ28-BR28</f>
        <v>29080546.2810662</v>
      </c>
      <c r="BT28" s="0" t="n">
        <f aca="false">C28+J28+Q28+X28+AE28+AL28+AS28+AZ28+BG28+BN28</f>
        <v>209237047.092092</v>
      </c>
      <c r="BU28" s="0" t="n">
        <f aca="false">D28+K28+R28+Y28+AF28+AM28+AT28+BA28+BH28+BO28</f>
        <v>530426.08619409</v>
      </c>
      <c r="BV28" s="0" t="n">
        <f aca="false">E28+L28+S28+Z28+AG28+AN28+AU28+BB28+BI28+BP28</f>
        <v>1626710.0866521</v>
      </c>
      <c r="BW28" s="0" t="n">
        <f aca="false">F28+M28+T28+AA28+AH28+AO28+AV28+BC28+BJ28+BQ28</f>
        <v>5051427.36920738</v>
      </c>
      <c r="BX28" s="0" t="n">
        <f aca="false">G28+N28+U28+AB28+AI28+AP28+AW28+BD28+BK28+BR28</f>
        <v>1780274.47167538</v>
      </c>
      <c r="BY28" s="0" t="n">
        <f aca="false">H28+O28+V28+AC28+AJ28+AQ28+AX28+BE28+BL28+BS28</f>
        <v>201874919.165015</v>
      </c>
      <c r="BZ28" s="0" t="n">
        <f aca="false">IF(A28&gt;Inputs!$B$7,(1-Inputs!$B$6)*INDEX($BU$6:$BU$125,A28-Inputs!$B$7),0)</f>
        <v>388845.270400934</v>
      </c>
      <c r="CA28" s="0" t="n">
        <f aca="false">CA27+(1-Inputs!$B$6)*BU28-BZ28</f>
        <v>2083127.19183099</v>
      </c>
      <c r="CB28" s="0" t="n">
        <f aca="false">BY28+CA28</f>
        <v>203958046.356846</v>
      </c>
      <c r="CC28" s="0" t="n">
        <f aca="false">BV28+BW28+BX28+BZ28</f>
        <v>8847257.1979358</v>
      </c>
      <c r="CD28" s="0" t="n">
        <f aca="false">CD27+BU28-BZ28</f>
        <v>9080341.26646642</v>
      </c>
    </row>
    <row r="29" customFormat="false" ht="15" hidden="false" customHeight="false" outlineLevel="0" collapsed="false">
      <c r="A29" s="0" t="n">
        <f aca="false">ROW()-5</f>
        <v>24</v>
      </c>
      <c r="B29" s="0" t="n">
        <f aca="false">Inputs!$D$58-(A29-1)</f>
        <v>13</v>
      </c>
      <c r="C29" s="0" t="n">
        <f aca="false">IF(B29&lt;=0,0,IF(A29=1,Inputs!$B$58,H28))</f>
        <v>11619571.0401593</v>
      </c>
      <c r="D29" s="0" t="n">
        <f aca="false">C29*Inputs!$B$9</f>
        <v>29456.1774587326</v>
      </c>
      <c r="E29" s="0" t="n">
        <f aca="false">(C29-D29)*Inputs!$C$58/12</f>
        <v>70506.5320814282</v>
      </c>
      <c r="F29" s="0" t="n">
        <f aca="false">IF(B29&lt;=0,0,IF(B29=1,C29-D29,MIN((C29-D29)*(Inputs!$C$58/12)/(1-(1+Inputs!$C$58/12)^(-B29))-E29,C29-D29)))</f>
        <v>859466.28167847</v>
      </c>
      <c r="G29" s="0" t="n">
        <f aca="false">(C29-D29-F29)*Inputs!$B$10</f>
        <v>93803.1551868632</v>
      </c>
      <c r="H29" s="0" t="n">
        <f aca="false">C29-D29-F29-G29</f>
        <v>10636845.4258352</v>
      </c>
      <c r="I29" s="0" t="n">
        <f aca="false">Inputs!$D$59-(A29-1)</f>
        <v>25</v>
      </c>
      <c r="J29" s="0" t="n">
        <f aca="false">IF(I29&lt;=0,0,IF(A29=1,Inputs!$B$59,O28))</f>
        <v>32559227.2326094</v>
      </c>
      <c r="K29" s="0" t="n">
        <f aca="false">J29*Inputs!$B$9</f>
        <v>82539.2238636203</v>
      </c>
      <c r="L29" s="0" t="n">
        <f aca="false">(J29-K29)*Inputs!$C$59/12</f>
        <v>211098.472056848</v>
      </c>
      <c r="M29" s="0" t="n">
        <f aca="false">IF(I29&lt;=0,0,IF(I29=1,J29-K29,MIN((J29-K29)*(Inputs!$C$59/12)/(1-(1+Inputs!$C$59/12)^(-I29))-L29,J29-K29)))</f>
        <v>1200583.82429967</v>
      </c>
      <c r="N29" s="0" t="n">
        <f aca="false">(J29-K29-M29)*Inputs!$B$10</f>
        <v>273403.53495899</v>
      </c>
      <c r="O29" s="0" t="n">
        <f aca="false">J29-K29-M29-N29</f>
        <v>31002700.6494872</v>
      </c>
      <c r="P29" s="0" t="n">
        <f aca="false">Inputs!$D$60-(A29-1)</f>
        <v>25</v>
      </c>
      <c r="Q29" s="0" t="n">
        <f aca="false">IF(P29&lt;=0,0,IF(A29=1,Inputs!$B$60,V28))</f>
        <v>9355784.95740273</v>
      </c>
      <c r="R29" s="0" t="n">
        <f aca="false">Q29*Inputs!$B$9</f>
        <v>23717.3696876179</v>
      </c>
      <c r="S29" s="0" t="n">
        <f aca="false">(Q29-R29)*Inputs!$C$60/12</f>
        <v>64546.8008150295</v>
      </c>
      <c r="T29" s="0" t="n">
        <f aca="false">IF(P29&lt;=0,0,IF(P29=1,Q29-R29,MIN((Q29-R29)*(Inputs!$C$60/12)/(1-(1+Inputs!$C$60/12)^(-P29))-S29,Q29-R29)))</f>
        <v>343225.197295071</v>
      </c>
      <c r="U29" s="0" t="n">
        <f aca="false">(Q29-R29-T29)*Inputs!$B$10</f>
        <v>78576.9631101381</v>
      </c>
      <c r="V29" s="0" t="n">
        <f aca="false">Q29-R29-T29-U29</f>
        <v>8910265.4273099</v>
      </c>
      <c r="W29" s="0" t="n">
        <f aca="false">Inputs!$D$61-(A29-1)</f>
        <v>37</v>
      </c>
      <c r="X29" s="0" t="n">
        <f aca="false">IF(W29&lt;=0,0,IF(A29=1,Inputs!$B$61,AC28))</f>
        <v>34570452.1439812</v>
      </c>
      <c r="Y29" s="0" t="n">
        <f aca="false">X29*Inputs!$B$9</f>
        <v>87637.7767873071</v>
      </c>
      <c r="Z29" s="0" t="n">
        <f aca="false">(X29-Y29)*Inputs!$C$61/12</f>
        <v>252873.972026089</v>
      </c>
      <c r="AA29" s="0" t="n">
        <f aca="false">IF(W29&lt;=0,0,IF(W29=1,X29-Y29,MIN((X29-Y29)*(Inputs!$C$61/12)/(1-(1+Inputs!$C$61/12)^(-W29))-Z29,X29-Y29)))</f>
        <v>814633.995340394</v>
      </c>
      <c r="AB29" s="0" t="n">
        <f aca="false">(X29-Y29-AA29)*Inputs!$B$10</f>
        <v>294314.1343633</v>
      </c>
      <c r="AC29" s="0" t="n">
        <f aca="false">X29-Y29-AA29-AB29</f>
        <v>33373866.2374902</v>
      </c>
      <c r="AD29" s="0" t="n">
        <f aca="false">Inputs!$D$62-(A29-1)</f>
        <v>37</v>
      </c>
      <c r="AE29" s="0" t="n">
        <f aca="false">IF(AD29&lt;=0,0,IF(A29=1,Inputs!$B$62,AJ28))</f>
        <v>9815334.28565574</v>
      </c>
      <c r="AF29" s="0" t="n">
        <f aca="false">AE29*Inputs!$B$9</f>
        <v>24882.3495751953</v>
      </c>
      <c r="AG29" s="0" t="n">
        <f aca="false">(AE29-AF29)*Inputs!$C$62/12</f>
        <v>75876.0025046242</v>
      </c>
      <c r="AH29" s="0" t="n">
        <f aca="false">IF(AD29&lt;=0,0,IF(AD29=1,AE29-AF29,MIN((AE29-AF29)*(Inputs!$C$62/12)/(1-(1+Inputs!$C$62/12)^(-AD29))-AG29,AE29-AF29)))</f>
        <v>229496.519110757</v>
      </c>
      <c r="AI29" s="0" t="n">
        <f aca="false">(AE29-AF29-AH29)*Inputs!$B$10</f>
        <v>83578.15261035</v>
      </c>
      <c r="AJ29" s="0" t="n">
        <f aca="false">AE29-AF29-AH29-AI29</f>
        <v>9477377.26435943</v>
      </c>
      <c r="AK29" s="0" t="n">
        <f aca="false">Inputs!$D$63-(A29-1)</f>
        <v>37</v>
      </c>
      <c r="AL29" s="0" t="n">
        <f aca="false">IF(AK29&lt;=0,0,IF(A29=1,Inputs!$B$63,AQ28))</f>
        <v>11751135.1784557</v>
      </c>
      <c r="AM29" s="0" t="n">
        <f aca="false">AL29*Inputs!$B$9</f>
        <v>29789.6989451516</v>
      </c>
      <c r="AN29" s="0" t="n">
        <f aca="false">(AL29-AM29)*Inputs!$C$63/12</f>
        <v>93282.3744411047</v>
      </c>
      <c r="AO29" s="0" t="n">
        <f aca="false">IF(AK29&lt;=0,0,IF(AK29=1,AL29-AM29,MIN((AL29-AM29)*(Inputs!$C$63/12)/(1-(1+Inputs!$C$63/12)^(-AK29))-AN29,AL29-AM29)))</f>
        <v>273687.499936154</v>
      </c>
      <c r="AP29" s="0" t="n">
        <f aca="false">(AL29-AM29-AO29)*Inputs!$B$10</f>
        <v>100070.972399869</v>
      </c>
      <c r="AQ29" s="0" t="n">
        <f aca="false">AL29-AM29-AO29-AP29</f>
        <v>11347587.0071745</v>
      </c>
      <c r="AR29" s="0" t="n">
        <f aca="false">Inputs!$D$64-(A29-1)</f>
        <v>49</v>
      </c>
      <c r="AS29" s="0" t="n">
        <f aca="false">IF(AR29&lt;=0,0,IF(A29=1,Inputs!$B$64,AX28))</f>
        <v>20121223.736933</v>
      </c>
      <c r="AT29" s="0" t="n">
        <f aca="false">AS29*Inputs!$B$9</f>
        <v>51008.2803430097</v>
      </c>
      <c r="AU29" s="0" t="n">
        <f aca="false">(AS29-AT29)*Inputs!$C$64/12</f>
        <v>163906.759562151</v>
      </c>
      <c r="AV29" s="0" t="n">
        <f aca="false">IF(AR29&lt;=0,0,IF(AR29=1,AS29-AT29,MIN((AS29-AT29)*(Inputs!$C$64/12)/(1-(1+Inputs!$C$64/12)^(-AR29))-AU29,AS29-AT29)))</f>
        <v>334742.385414029</v>
      </c>
      <c r="AW29" s="0" t="n">
        <f aca="false">(AS29-AT29-AV29)*Inputs!$B$10</f>
        <v>172519.827595114</v>
      </c>
      <c r="AX29" s="0" t="n">
        <f aca="false">AS29-AT29-AV29-AW29</f>
        <v>19562953.2435808</v>
      </c>
      <c r="AY29" s="0" t="n">
        <f aca="false">Inputs!$D$65-(A29-1)</f>
        <v>49</v>
      </c>
      <c r="AZ29" s="0" t="n">
        <f aca="false">IF(AY29&lt;=0,0,IF(A29=1,Inputs!$B$65,BE28))</f>
        <v>20889726.0953332</v>
      </c>
      <c r="BA29" s="0" t="n">
        <f aca="false">AZ29*Inputs!$B$9</f>
        <v>52956.4711814026</v>
      </c>
      <c r="BB29" s="0" t="n">
        <f aca="false">(AZ29-BA29)*Inputs!$C$65/12</f>
        <v>178848.93927397</v>
      </c>
      <c r="BC29" s="0" t="n">
        <f aca="false">IF(AY29&lt;=0,0,IF(AY29=1,AZ29-BA29,MIN((AZ29-BA29)*(Inputs!$C$65/12)/(1-(1+Inputs!$C$65/12)^(-AY29))-BB29,AZ29-BA29)))</f>
        <v>343861.605391446</v>
      </c>
      <c r="BD29" s="0" t="n">
        <f aca="false">(AZ29-BA29-BC29)*Inputs!$B$10</f>
        <v>179141.029230388</v>
      </c>
      <c r="BE29" s="0" t="n">
        <f aca="false">AZ29-BA29-BC29-BD29</f>
        <v>20313766.98953</v>
      </c>
      <c r="BF29" s="0" t="n">
        <f aca="false">Inputs!$D$66-(A29-1)</f>
        <v>61</v>
      </c>
      <c r="BG29" s="0" t="n">
        <f aca="false">IF(BF29&lt;=0,0,IF(A29=1,Inputs!$B$66,BL28))</f>
        <v>22111918.2134188</v>
      </c>
      <c r="BH29" s="0" t="n">
        <f aca="false">BG29*Inputs!$B$9</f>
        <v>56054.7876161975</v>
      </c>
      <c r="BI29" s="0" t="n">
        <f aca="false">(BG29-BH29)*Inputs!$C$66/12</f>
        <v>193907.799285181</v>
      </c>
      <c r="BJ29" s="0" t="n">
        <f aca="false">IF(BF29&lt;=0,0,IF(BF29=1,BG29-BH29,MIN((BG29-BH29)*(Inputs!$C$66/12)/(1-(1+Inputs!$C$66/12)^(-BF29))-BI29,BG29-BH29)))</f>
        <v>274792.055905421</v>
      </c>
      <c r="BK29" s="0" t="n">
        <f aca="false">(BG29-BH29-BJ29)*Inputs!$B$10</f>
        <v>190401.652092124</v>
      </c>
      <c r="BL29" s="0" t="n">
        <f aca="false">BG29-BH29-BJ29-BK29</f>
        <v>21590669.717805</v>
      </c>
      <c r="BM29" s="0" t="n">
        <f aca="false">Inputs!$D$67-(A29-1)</f>
        <v>61</v>
      </c>
      <c r="BN29" s="0" t="n">
        <f aca="false">IF(BM29&lt;=0,0,IF(A29=1,Inputs!$B$67,BS28))</f>
        <v>29080546.2810662</v>
      </c>
      <c r="BO29" s="0" t="n">
        <f aca="false">BN29*Inputs!$B$9</f>
        <v>73720.5985394304</v>
      </c>
      <c r="BP29" s="0" t="n">
        <f aca="false">(BN29-BO29)*Inputs!$C$67/12</f>
        <v>267104.5198266</v>
      </c>
      <c r="BQ29" s="0" t="n">
        <f aca="false">IF(BM29&lt;=0,0,IF(BM29=1,BN29-BO29,MIN((BN29-BO29)*(Inputs!$C$67/12)/(1-(1+Inputs!$C$67/12)^(-BM29))-BP29,BN29-BO29)))</f>
        <v>356536.827229053</v>
      </c>
      <c r="BR29" s="0" t="n">
        <f aca="false">(BN29-BO29-BQ29)*Inputs!$B$10</f>
        <v>250449.678912696</v>
      </c>
      <c r="BS29" s="0" t="n">
        <f aca="false">BN29-BO29-BQ29-BR29</f>
        <v>28399839.176385</v>
      </c>
      <c r="BT29" s="0" t="n">
        <f aca="false">C29+J29+Q29+X29+AE29+AL29+AS29+AZ29+BG29+BN29</f>
        <v>201874919.165015</v>
      </c>
      <c r="BU29" s="0" t="n">
        <f aca="false">D29+K29+R29+Y29+AF29+AM29+AT29+BA29+BH29+BO29</f>
        <v>511762.733997665</v>
      </c>
      <c r="BV29" s="0" t="n">
        <f aca="false">E29+L29+S29+Z29+AG29+AN29+AU29+BB29+BI29+BP29</f>
        <v>1571952.17187303</v>
      </c>
      <c r="BW29" s="0" t="n">
        <f aca="false">F29+M29+T29+AA29+AH29+AO29+AV29+BC29+BJ29+BQ29</f>
        <v>5031026.19160047</v>
      </c>
      <c r="BX29" s="0" t="n">
        <f aca="false">G29+N29+U29+AB29+AI29+AP29+AW29+BD29+BK29+BR29</f>
        <v>1716259.10045983</v>
      </c>
      <c r="BY29" s="0" t="n">
        <f aca="false">H29+O29+V29+AC29+AJ29+AQ29+AX29+BE29+BL29+BS29</f>
        <v>194615871.138957</v>
      </c>
      <c r="BZ29" s="0" t="n">
        <f aca="false">IF(A29&gt;Inputs!$B$7,(1-Inputs!$B$6)*INDEX($BU$6:$BU$125,A29-Inputs!$B$7),0)</f>
        <v>376665.454213785</v>
      </c>
      <c r="CA29" s="0" t="n">
        <f aca="false">CA28+(1-Inputs!$B$6)*BU29-BZ29</f>
        <v>2013519.37801581</v>
      </c>
      <c r="CB29" s="0" t="n">
        <f aca="false">BY29+CA29</f>
        <v>196629390.516973</v>
      </c>
      <c r="CC29" s="0" t="n">
        <f aca="false">BV29+BW29+BX29+BZ29</f>
        <v>8695902.91814711</v>
      </c>
      <c r="CD29" s="0" t="n">
        <f aca="false">CD28+BU29-BZ29</f>
        <v>9215438.5462503</v>
      </c>
    </row>
    <row r="30" customFormat="false" ht="15" hidden="false" customHeight="false" outlineLevel="0" collapsed="false">
      <c r="A30" s="0" t="n">
        <f aca="false">ROW()-5</f>
        <v>25</v>
      </c>
      <c r="B30" s="0" t="n">
        <f aca="false">Inputs!$D$58-(A30-1)</f>
        <v>12</v>
      </c>
      <c r="C30" s="0" t="n">
        <f aca="false">IF(B30&lt;=0,0,IF(A30=1,Inputs!$B$58,H29))</f>
        <v>10636845.4258352</v>
      </c>
      <c r="D30" s="0" t="n">
        <f aca="false">C30*Inputs!$B$9</f>
        <v>26964.9202523586</v>
      </c>
      <c r="E30" s="0" t="n">
        <f aca="false">(C30-D30)*Inputs!$C$58/12</f>
        <v>64543.4397422956</v>
      </c>
      <c r="F30" s="0" t="n">
        <f aca="false">IF(B30&lt;=0,0,IF(B30=1,C30-D30,MIN((C30-D30)*(Inputs!$C$58/12)/(1-(1+Inputs!$C$58/12)^(-B30))-E30,C30-D30)))</f>
        <v>854962.995766506</v>
      </c>
      <c r="G30" s="0" t="n">
        <f aca="false">(C30-D30-F30)*Inputs!$B$10</f>
        <v>85273.6937659733</v>
      </c>
      <c r="H30" s="0" t="n">
        <f aca="false">C30-D30-F30-G30</f>
        <v>9669643.81605035</v>
      </c>
      <c r="I30" s="0" t="n">
        <f aca="false">Inputs!$D$59-(A30-1)</f>
        <v>24</v>
      </c>
      <c r="J30" s="0" t="n">
        <f aca="false">IF(I30&lt;=0,0,IF(A30=1,Inputs!$B$59,O29))</f>
        <v>31002700.6494872</v>
      </c>
      <c r="K30" s="0" t="n">
        <f aca="false">J30*Inputs!$B$9</f>
        <v>78593.3533066762</v>
      </c>
      <c r="L30" s="0" t="n">
        <f aca="false">(J30-K30)*Inputs!$C$59/12</f>
        <v>201006.697425173</v>
      </c>
      <c r="M30" s="0" t="n">
        <f aca="false">IF(I30&lt;=0,0,IF(I30=1,J30-K30,MIN((J30-K30)*(Inputs!$C$59/12)/(1-(1+Inputs!$C$59/12)^(-I30))-L30,J30-K30)))</f>
        <v>1194787.82171309</v>
      </c>
      <c r="N30" s="0" t="n">
        <f aca="false">(J30-K30-M30)*Inputs!$B$10</f>
        <v>259882.144793683</v>
      </c>
      <c r="O30" s="0" t="n">
        <f aca="false">J30-K30-M30-N30</f>
        <v>29469437.3296737</v>
      </c>
      <c r="P30" s="0" t="n">
        <f aca="false">Inputs!$D$60-(A30-1)</f>
        <v>24</v>
      </c>
      <c r="Q30" s="0" t="n">
        <f aca="false">IF(P30&lt;=0,0,IF(A30=1,Inputs!$B$60,V29))</f>
        <v>8910265.4273099</v>
      </c>
      <c r="R30" s="0" t="n">
        <f aca="false">Q30*Inputs!$B$9</f>
        <v>22587.9560204189</v>
      </c>
      <c r="S30" s="0" t="n">
        <f aca="false">(Q30-R30)*Inputs!$C$60/12</f>
        <v>61473.1025097523</v>
      </c>
      <c r="T30" s="0" t="n">
        <f aca="false">IF(P30&lt;=0,0,IF(P30=1,Q30-R30,MIN((Q30-R30)*(Inputs!$C$60/12)/(1-(1+Inputs!$C$60/12)^(-P30))-S30,Q30-R30)))</f>
        <v>341709.625990229</v>
      </c>
      <c r="U30" s="0" t="n">
        <f aca="false">(Q30-R30-T30)*Inputs!$B$10</f>
        <v>74705.5261349539</v>
      </c>
      <c r="V30" s="0" t="n">
        <f aca="false">Q30-R30-T30-U30</f>
        <v>8471262.3191643</v>
      </c>
      <c r="W30" s="0" t="n">
        <f aca="false">Inputs!$D$61-(A30-1)</f>
        <v>36</v>
      </c>
      <c r="X30" s="0" t="n">
        <f aca="false">IF(W30&lt;=0,0,IF(A30=1,Inputs!$B$61,AC29))</f>
        <v>33373866.2374902</v>
      </c>
      <c r="Y30" s="0" t="n">
        <f aca="false">X30*Inputs!$B$9</f>
        <v>84604.3733437206</v>
      </c>
      <c r="Z30" s="0" t="n">
        <f aca="false">(X30-Y30)*Inputs!$C$61/12</f>
        <v>244121.253670408</v>
      </c>
      <c r="AA30" s="0" t="n">
        <f aca="false">IF(W30&lt;=0,0,IF(W30=1,X30-Y30,MIN((X30-Y30)*(Inputs!$C$61/12)/(1-(1+Inputs!$C$61/12)^(-W30))-Z30,X30-Y30)))</f>
        <v>811372.44617427</v>
      </c>
      <c r="AB30" s="0" t="n">
        <f aca="false">(X30-Y30-AA30)*Inputs!$B$10</f>
        <v>283909.073921575</v>
      </c>
      <c r="AC30" s="0" t="n">
        <f aca="false">X30-Y30-AA30-AB30</f>
        <v>32193980.3440506</v>
      </c>
      <c r="AD30" s="0" t="n">
        <f aca="false">Inputs!$D$62-(A30-1)</f>
        <v>36</v>
      </c>
      <c r="AE30" s="0" t="n">
        <f aca="false">IF(AD30&lt;=0,0,IF(A30=1,Inputs!$B$62,AJ29))</f>
        <v>9477377.26435943</v>
      </c>
      <c r="AF30" s="0" t="n">
        <f aca="false">AE30*Inputs!$B$9</f>
        <v>24025.6120968217</v>
      </c>
      <c r="AG30" s="0" t="n">
        <f aca="false">(AE30-AF30)*Inputs!$C$62/12</f>
        <v>73263.4753050352</v>
      </c>
      <c r="AH30" s="0" t="n">
        <f aca="false">IF(AD30&lt;=0,0,IF(AD30=1,AE30-AF30,MIN((AE30-AF30)*(Inputs!$C$62/12)/(1-(1+Inputs!$C$62/12)^(-AD30))-AG30,AE30-AF30)))</f>
        <v>228672.2315224</v>
      </c>
      <c r="AI30" s="0" t="n">
        <f aca="false">(AE30-AF30-AH30)*Inputs!$B$10</f>
        <v>80638.558677908</v>
      </c>
      <c r="AJ30" s="0" t="n">
        <f aca="false">AE30-AF30-AH30-AI30</f>
        <v>9144040.8620623</v>
      </c>
      <c r="AK30" s="0" t="n">
        <f aca="false">Inputs!$D$63-(A30-1)</f>
        <v>36</v>
      </c>
      <c r="AL30" s="0" t="n">
        <f aca="false">IF(AK30&lt;=0,0,IF(A30=1,Inputs!$B$63,AQ29))</f>
        <v>11347587.0071745</v>
      </c>
      <c r="AM30" s="0" t="n">
        <f aca="false">AL30*Inputs!$B$9</f>
        <v>28766.684712929</v>
      </c>
      <c r="AN30" s="0" t="n">
        <f aca="false">(AL30-AM30)*Inputs!$C$63/12</f>
        <v>90078.9450662568</v>
      </c>
      <c r="AO30" s="0" t="n">
        <f aca="false">IF(AK30&lt;=0,0,IF(AK30=1,AL30-AM30,MIN((AL30-AM30)*(Inputs!$C$63/12)/(1-(1+Inputs!$C$63/12)^(-AK30))-AN30,AL30-AM30)))</f>
        <v>272760.867168151</v>
      </c>
      <c r="AP30" s="0" t="n">
        <f aca="false">(AL30-AM30-AO30)*Inputs!$B$10</f>
        <v>96560.3543406244</v>
      </c>
      <c r="AQ30" s="0" t="n">
        <f aca="false">AL30-AM30-AO30-AP30</f>
        <v>10949499.1009528</v>
      </c>
      <c r="AR30" s="0" t="n">
        <f aca="false">Inputs!$D$64-(A30-1)</f>
        <v>48</v>
      </c>
      <c r="AS30" s="0" t="n">
        <f aca="false">IF(AR30&lt;=0,0,IF(A30=1,Inputs!$B$64,AX29))</f>
        <v>19562953.2435808</v>
      </c>
      <c r="AT30" s="0" t="n">
        <f aca="false">AS30*Inputs!$B$9</f>
        <v>49593.0375026914</v>
      </c>
      <c r="AU30" s="0" t="n">
        <f aca="false">(AS30-AT30)*Inputs!$C$64/12</f>
        <v>159359.108349638</v>
      </c>
      <c r="AV30" s="0" t="n">
        <f aca="false">IF(AR30&lt;=0,0,IF(AR30=1,AS30-AT30,MIN((AS30-AT30)*(Inputs!$C$64/12)/(1-(1+Inputs!$C$64/12)^(-AR30))-AU30,AS30-AT30)))</f>
        <v>333677.990243373</v>
      </c>
      <c r="AW30" s="0" t="n">
        <f aca="false">(AS30-AT30-AV30)*Inputs!$B$10</f>
        <v>167661.320165543</v>
      </c>
      <c r="AX30" s="0" t="n">
        <f aca="false">AS30-AT30-AV30-AW30</f>
        <v>19012020.8956692</v>
      </c>
      <c r="AY30" s="0" t="n">
        <f aca="false">Inputs!$D$65-(A30-1)</f>
        <v>48</v>
      </c>
      <c r="AZ30" s="0" t="n">
        <f aca="false">IF(AY30&lt;=0,0,IF(A30=1,Inputs!$B$65,BE29))</f>
        <v>20313766.98953</v>
      </c>
      <c r="BA30" s="0" t="n">
        <f aca="false">AZ30*Inputs!$B$9</f>
        <v>51496.3868486094</v>
      </c>
      <c r="BB30" s="0" t="n">
        <f aca="false">(AZ30-BA30)*Inputs!$C$65/12</f>
        <v>173917.822673015</v>
      </c>
      <c r="BC30" s="0" t="n">
        <f aca="false">IF(AY30&lt;=0,0,IF(AY30=1,AZ30-BA30,MIN((AZ30-BA30)*(Inputs!$C$65/12)/(1-(1+Inputs!$C$65/12)^(-AY30))-BB30,AZ30-BA30)))</f>
        <v>342909.876606645</v>
      </c>
      <c r="BD30" s="0" t="n">
        <f aca="false">(AZ30-BA30-BC30)*Inputs!$B$10</f>
        <v>174127.30193361</v>
      </c>
      <c r="BE30" s="0" t="n">
        <f aca="false">AZ30-BA30-BC30-BD30</f>
        <v>19745233.4241411</v>
      </c>
      <c r="BF30" s="0" t="n">
        <f aca="false">Inputs!$D$66-(A30-1)</f>
        <v>60</v>
      </c>
      <c r="BG30" s="0" t="n">
        <f aca="false">IF(BF30&lt;=0,0,IF(A30=1,Inputs!$B$66,BL29))</f>
        <v>21590669.717805</v>
      </c>
      <c r="BH30" s="0" t="n">
        <f aca="false">BG30*Inputs!$B$9</f>
        <v>54733.3973399274</v>
      </c>
      <c r="BI30" s="0" t="n">
        <f aca="false">(BG30-BH30)*Inputs!$C$66/12</f>
        <v>189336.773484089</v>
      </c>
      <c r="BJ30" s="0" t="n">
        <f aca="false">IF(BF30&lt;=0,0,IF(BF30=1,BG30-BH30,MIN((BG30-BH30)*(Inputs!$C$66/12)/(1-(1+Inputs!$C$66/12)^(-BF30))-BI30,BG30-BH30)))</f>
        <v>274088.099580072</v>
      </c>
      <c r="BK30" s="0" t="n">
        <f aca="false">(BG30-BH30-BJ30)*Inputs!$B$10</f>
        <v>185862.805324788</v>
      </c>
      <c r="BL30" s="0" t="n">
        <f aca="false">BG30-BH30-BJ30-BK30</f>
        <v>21075985.4155602</v>
      </c>
      <c r="BM30" s="0" t="n">
        <f aca="false">Inputs!$D$67-(A30-1)</f>
        <v>60</v>
      </c>
      <c r="BN30" s="0" t="n">
        <f aca="false">IF(BM30&lt;=0,0,IF(A30=1,Inputs!$B$67,BS29))</f>
        <v>28399839.176385</v>
      </c>
      <c r="BO30" s="0" t="n">
        <f aca="false">BN30*Inputs!$B$9</f>
        <v>71994.9729372796</v>
      </c>
      <c r="BP30" s="0" t="n">
        <f aca="false">(BN30-BO30)*Inputs!$C$67/12</f>
        <v>260852.232040081</v>
      </c>
      <c r="BQ30" s="0" t="n">
        <f aca="false">IF(BM30&lt;=0,0,IF(BM30=1,BN30-BO30,MIN((BN30-BO30)*(Inputs!$C$67/12)/(1-(1+Inputs!$C$67/12)^(-BM30))-BP30,BN30-BO30)))</f>
        <v>355770.343999117</v>
      </c>
      <c r="BR30" s="0" t="n">
        <f aca="false">(BN30-BO30-BQ30)*Inputs!$B$10</f>
        <v>244520.987275342</v>
      </c>
      <c r="BS30" s="0" t="n">
        <f aca="false">BN30-BO30-BQ30-BR30</f>
        <v>27727552.8721732</v>
      </c>
      <c r="BT30" s="0" t="n">
        <f aca="false">C30+J30+Q30+X30+AE30+AL30+AS30+AZ30+BG30+BN30</f>
        <v>194615871.138957</v>
      </c>
      <c r="BU30" s="0" t="n">
        <f aca="false">D30+K30+R30+Y30+AF30+AM30+AT30+BA30+BH30+BO30</f>
        <v>493360.694361433</v>
      </c>
      <c r="BV30" s="0" t="n">
        <f aca="false">E30+L30+S30+Z30+AG30+AN30+AU30+BB30+BI30+BP30</f>
        <v>1517952.85026574</v>
      </c>
      <c r="BW30" s="0" t="n">
        <f aca="false">F30+M30+T30+AA30+AH30+AO30+AV30+BC30+BJ30+BQ30</f>
        <v>5010712.29876386</v>
      </c>
      <c r="BX30" s="0" t="n">
        <f aca="false">G30+N30+U30+AB30+AI30+AP30+AW30+BD30+BK30+BR30</f>
        <v>1653141.766334</v>
      </c>
      <c r="BY30" s="0" t="n">
        <f aca="false">H30+O30+V30+AC30+AJ30+AQ30+AX30+BE30+BL30+BS30</f>
        <v>187458656.379498</v>
      </c>
      <c r="BZ30" s="0" t="n">
        <f aca="false">IF(A30&gt;Inputs!$B$7,(1-Inputs!$B$6)*INDEX($BU$6:$BU$125,A30-Inputs!$B$7),0)</f>
        <v>364654.277393291</v>
      </c>
      <c r="CA30" s="0" t="n">
        <f aca="false">CA29+(1-Inputs!$B$6)*BU30-BZ30</f>
        <v>1944881.51723938</v>
      </c>
      <c r="CB30" s="0" t="n">
        <f aca="false">BY30+CA30</f>
        <v>189403537.896737</v>
      </c>
      <c r="CC30" s="0" t="n">
        <f aca="false">BV30+BW30+BX30+BZ30</f>
        <v>8546461.19275689</v>
      </c>
      <c r="CD30" s="0" t="n">
        <f aca="false">CD29+BU30-BZ30</f>
        <v>9344144.96321844</v>
      </c>
    </row>
    <row r="31" customFormat="false" ht="15" hidden="false" customHeight="false" outlineLevel="0" collapsed="false">
      <c r="A31" s="0" t="n">
        <f aca="false">ROW()-5</f>
        <v>26</v>
      </c>
      <c r="B31" s="0" t="n">
        <f aca="false">Inputs!$D$58-(A31-1)</f>
        <v>11</v>
      </c>
      <c r="C31" s="0" t="n">
        <f aca="false">IF(B31&lt;=0,0,IF(A31=1,Inputs!$B$58,H30))</f>
        <v>9669643.81605035</v>
      </c>
      <c r="D31" s="0" t="n">
        <f aca="false">C31*Inputs!$B$9</f>
        <v>24513.0171521729</v>
      </c>
      <c r="E31" s="0" t="n">
        <f aca="false">(C31-D31)*Inputs!$C$58/12</f>
        <v>58674.5456932973</v>
      </c>
      <c r="F31" s="0" t="n">
        <f aca="false">IF(B31&lt;=0,0,IF(B31=1,C31-D31,MIN((C31-D31)*(Inputs!$C$58/12)/(1-(1+Inputs!$C$58/12)^(-B31))-E31,C31-D31)))</f>
        <v>850483.305409641</v>
      </c>
      <c r="G31" s="0" t="n">
        <f aca="false">(C31-D31-F31)*Inputs!$B$10</f>
        <v>76879.3868717755</v>
      </c>
      <c r="H31" s="0" t="n">
        <f aca="false">C31-D31-F31-G31</f>
        <v>8717768.10661676</v>
      </c>
      <c r="I31" s="0" t="n">
        <f aca="false">Inputs!$D$59-(A31-1)</f>
        <v>23</v>
      </c>
      <c r="J31" s="0" t="n">
        <f aca="false">IF(I31&lt;=0,0,IF(A31=1,Inputs!$B$59,O30))</f>
        <v>29469437.3296737</v>
      </c>
      <c r="K31" s="0" t="n">
        <f aca="false">J31*Inputs!$B$9</f>
        <v>74706.4562531365</v>
      </c>
      <c r="L31" s="0" t="n">
        <f aca="false">(J31-K31)*Inputs!$C$59/12</f>
        <v>191065.750677234</v>
      </c>
      <c r="M31" s="0" t="n">
        <f aca="false">IF(I31&lt;=0,0,IF(I31=1,J31-K31,MIN((J31-K31)*(Inputs!$C$59/12)/(1-(1+Inputs!$C$59/12)^(-I31))-L31,J31-K31)))</f>
        <v>1189019.80021814</v>
      </c>
      <c r="N31" s="0" t="n">
        <f aca="false">(J31-K31-M31)*Inputs!$B$10</f>
        <v>246563.352902517</v>
      </c>
      <c r="O31" s="0" t="n">
        <f aca="false">J31-K31-M31-N31</f>
        <v>27959147.7202999</v>
      </c>
      <c r="P31" s="0" t="n">
        <f aca="false">Inputs!$D$60-(A31-1)</f>
        <v>23</v>
      </c>
      <c r="Q31" s="0" t="n">
        <f aca="false">IF(P31&lt;=0,0,IF(A31=1,Inputs!$B$60,V30))</f>
        <v>8471262.3191643</v>
      </c>
      <c r="R31" s="0" t="n">
        <f aca="false">Q31*Inputs!$B$9</f>
        <v>21475.0617996444</v>
      </c>
      <c r="S31" s="0" t="n">
        <f aca="false">(Q31-R31)*Inputs!$C$60/12</f>
        <v>58444.3618634389</v>
      </c>
      <c r="T31" s="0" t="n">
        <f aca="false">IF(P31&lt;=0,0,IF(P31=1,Q31-R31,MIN((Q31-R31)*(Inputs!$C$60/12)/(1-(1+Inputs!$C$60/12)^(-P31))-S31,Q31-R31)))</f>
        <v>340200.746957393</v>
      </c>
      <c r="U31" s="0" t="n">
        <f aca="false">(Q31-R31-T31)*Inputs!$B$10</f>
        <v>70890.8502774369</v>
      </c>
      <c r="V31" s="0" t="n">
        <f aca="false">Q31-R31-T31-U31</f>
        <v>8038695.66012983</v>
      </c>
      <c r="W31" s="0" t="n">
        <f aca="false">Inputs!$D$61-(A31-1)</f>
        <v>35</v>
      </c>
      <c r="X31" s="0" t="n">
        <f aca="false">IF(W31&lt;=0,0,IF(A31=1,Inputs!$B$61,AC30))</f>
        <v>32193980.3440506</v>
      </c>
      <c r="Y31" s="0" t="n">
        <f aca="false">X31*Inputs!$B$9</f>
        <v>81613.3052450711</v>
      </c>
      <c r="Z31" s="0" t="n">
        <f aca="false">(X31-Y31)*Inputs!$C$61/12</f>
        <v>235490.691617908</v>
      </c>
      <c r="AA31" s="0" t="n">
        <f aca="false">IF(W31&lt;=0,0,IF(W31=1,X31-Y31,MIN((X31-Y31)*(Inputs!$C$61/12)/(1-(1+Inputs!$C$61/12)^(-W31))-Z31,X31-Y31)))</f>
        <v>808123.955268694</v>
      </c>
      <c r="AB31" s="0" t="n">
        <f aca="false">(X31-Y31-AA31)*Inputs!$B$10</f>
        <v>273649.514267535</v>
      </c>
      <c r="AC31" s="0" t="n">
        <f aca="false">X31-Y31-AA31-AB31</f>
        <v>31030593.5692693</v>
      </c>
      <c r="AD31" s="0" t="n">
        <f aca="false">Inputs!$D$62-(A31-1)</f>
        <v>35</v>
      </c>
      <c r="AE31" s="0" t="n">
        <f aca="false">IF(AD31&lt;=0,0,IF(A31=1,Inputs!$B$62,AJ30))</f>
        <v>9144040.8620623</v>
      </c>
      <c r="AF31" s="0" t="n">
        <f aca="false">AE31*Inputs!$B$9</f>
        <v>23180.5881122371</v>
      </c>
      <c r="AG31" s="0" t="n">
        <f aca="false">(AE31-AF31)*Inputs!$C$62/12</f>
        <v>70686.667123113</v>
      </c>
      <c r="AH31" s="0" t="n">
        <f aca="false">IF(AD31&lt;=0,0,IF(AD31=1,AE31-AF31,MIN((AE31-AF31)*(Inputs!$C$62/12)/(1-(1+Inputs!$C$62/12)^(-AD31))-AG31,AE31-AF31)))</f>
        <v>227850.904545519</v>
      </c>
      <c r="AI31" s="0" t="n">
        <f aca="false">(AE31-AF31-AH31)*Inputs!$B$10</f>
        <v>77739.2281238074</v>
      </c>
      <c r="AJ31" s="0" t="n">
        <f aca="false">AE31-AF31-AH31-AI31</f>
        <v>8815270.14128074</v>
      </c>
      <c r="AK31" s="0" t="n">
        <f aca="false">Inputs!$D$63-(A31-1)</f>
        <v>35</v>
      </c>
      <c r="AL31" s="0" t="n">
        <f aca="false">IF(AK31&lt;=0,0,IF(A31=1,Inputs!$B$63,AQ30))</f>
        <v>10949499.1009528</v>
      </c>
      <c r="AM31" s="0" t="n">
        <f aca="false">AL31*Inputs!$B$9</f>
        <v>27757.5125180765</v>
      </c>
      <c r="AN31" s="0" t="n">
        <f aca="false">(AL31-AM31)*Inputs!$C$63/12</f>
        <v>86918.8601412931</v>
      </c>
      <c r="AO31" s="0" t="n">
        <f aca="false">IF(AK31&lt;=0,0,IF(AK31=1,AL31-AM31,MIN((AL31-AM31)*(Inputs!$C$63/12)/(1-(1+Inputs!$C$63/12)^(-AK31))-AN31,AL31-AM31)))</f>
        <v>271837.371731181</v>
      </c>
      <c r="AP31" s="0" t="n">
        <f aca="false">(AL31-AM31-AO31)*Inputs!$B$10</f>
        <v>93097.3193672066</v>
      </c>
      <c r="AQ31" s="0" t="n">
        <f aca="false">AL31-AM31-AO31-AP31</f>
        <v>10556806.8973363</v>
      </c>
      <c r="AR31" s="0" t="n">
        <f aca="false">Inputs!$D$64-(A31-1)</f>
        <v>47</v>
      </c>
      <c r="AS31" s="0" t="n">
        <f aca="false">IF(AR31&lt;=0,0,IF(A31=1,Inputs!$B$64,AX30))</f>
        <v>19012020.8956692</v>
      </c>
      <c r="AT31" s="0" t="n">
        <f aca="false">AS31*Inputs!$B$9</f>
        <v>48196.3972178003</v>
      </c>
      <c r="AU31" s="0" t="n">
        <f aca="false">(AS31-AT31)*Inputs!$C$64/12</f>
        <v>154871.23340402</v>
      </c>
      <c r="AV31" s="0" t="n">
        <f aca="false">IF(AR31&lt;=0,0,IF(AR31=1,AS31-AT31,MIN((AS31-AT31)*(Inputs!$C$64/12)/(1-(1+Inputs!$C$64/12)^(-AR31))-AU31,AS31-AT31)))</f>
        <v>332616.979577126</v>
      </c>
      <c r="AW31" s="0" t="n">
        <f aca="false">(AS31-AT31-AV31)*Inputs!$B$10</f>
        <v>162866.767746219</v>
      </c>
      <c r="AX31" s="0" t="n">
        <f aca="false">AS31-AT31-AV31-AW31</f>
        <v>18468340.7511281</v>
      </c>
      <c r="AY31" s="0" t="n">
        <f aca="false">Inputs!$D$65-(A31-1)</f>
        <v>47</v>
      </c>
      <c r="AZ31" s="0" t="n">
        <f aca="false">IF(AY31&lt;=0,0,IF(A31=1,Inputs!$B$65,BE30))</f>
        <v>19745233.4241411</v>
      </c>
      <c r="BA31" s="0" t="n">
        <f aca="false">AZ31*Inputs!$B$9</f>
        <v>50055.1266217508</v>
      </c>
      <c r="BB31" s="0" t="n">
        <f aca="false">(AZ31-BA31)*Inputs!$C$65/12</f>
        <v>169050.280387041</v>
      </c>
      <c r="BC31" s="0" t="n">
        <f aca="false">IF(AY31&lt;=0,0,IF(AY31=1,AZ31-BA31,MIN((AZ31-BA31)*(Inputs!$C$65/12)/(1-(1+Inputs!$C$65/12)^(-AY31))-BB31,AZ31-BA31)))</f>
        <v>341960.781985315</v>
      </c>
      <c r="BD31" s="0" t="n">
        <f aca="false">(AZ31-BA31-BC31)*Inputs!$B$10</f>
        <v>169178.298242421</v>
      </c>
      <c r="BE31" s="0" t="n">
        <f aca="false">AZ31-BA31-BC31-BD31</f>
        <v>19184039.2172916</v>
      </c>
      <c r="BF31" s="0" t="n">
        <f aca="false">Inputs!$D$66-(A31-1)</f>
        <v>59</v>
      </c>
      <c r="BG31" s="0" t="n">
        <f aca="false">IF(BF31&lt;=0,0,IF(A31=1,Inputs!$B$66,BL30))</f>
        <v>21075985.4155602</v>
      </c>
      <c r="BH31" s="0" t="n">
        <f aca="false">BG31*Inputs!$B$9</f>
        <v>53428.6476129582</v>
      </c>
      <c r="BI31" s="0" t="n">
        <f aca="false">(BG31-BH31)*Inputs!$C$66/12</f>
        <v>184823.31158487</v>
      </c>
      <c r="BJ31" s="0" t="n">
        <f aca="false">IF(BF31&lt;=0,0,IF(BF31=1,BG31-BH31,MIN((BG31-BH31)*(Inputs!$C$66/12)/(1-(1+Inputs!$C$66/12)^(-BF31))-BI31,BG31-BH31)))</f>
        <v>273385.94663476</v>
      </c>
      <c r="BK31" s="0" t="n">
        <f aca="false">(BG31-BH31-BJ31)*Inputs!$B$10</f>
        <v>181381.178952459</v>
      </c>
      <c r="BL31" s="0" t="n">
        <f aca="false">BG31-BH31-BJ31-BK31</f>
        <v>20567789.6423601</v>
      </c>
      <c r="BM31" s="0" t="n">
        <f aca="false">Inputs!$D$67-(A31-1)</f>
        <v>59</v>
      </c>
      <c r="BN31" s="0" t="n">
        <f aca="false">IF(BM31&lt;=0,0,IF(A31=1,Inputs!$B$67,BS30))</f>
        <v>27727552.8721732</v>
      </c>
      <c r="BO31" s="0" t="n">
        <f aca="false">BN31*Inputs!$B$9</f>
        <v>70290.6944736863</v>
      </c>
      <c r="BP31" s="0" t="n">
        <f aca="false">(BN31-BO31)*Inputs!$C$67/12</f>
        <v>254677.28921965</v>
      </c>
      <c r="BQ31" s="0" t="n">
        <f aca="false">IF(BM31&lt;=0,0,IF(BM31=1,BN31-BO31,MIN((BN31-BO31)*(Inputs!$C$67/12)/(1-(1+Inputs!$C$67/12)^(-BM31))-BP31,BN31-BO31)))</f>
        <v>355005.508555601</v>
      </c>
      <c r="BR31" s="0" t="n">
        <f aca="false">(BN31-BO31-BQ31)*Inputs!$B$10</f>
        <v>238665.70598693</v>
      </c>
      <c r="BS31" s="0" t="n">
        <f aca="false">BN31-BO31-BQ31-BR31</f>
        <v>27063590.963157</v>
      </c>
      <c r="BT31" s="0" t="n">
        <f aca="false">C31+J31+Q31+X31+AE31+AL31+AS31+AZ31+BG31+BN31</f>
        <v>187458656.379498</v>
      </c>
      <c r="BU31" s="0" t="n">
        <f aca="false">D31+K31+R31+Y31+AF31+AM31+AT31+BA31+BH31+BO31</f>
        <v>475216.807006534</v>
      </c>
      <c r="BV31" s="0" t="n">
        <f aca="false">E31+L31+S31+Z31+AG31+AN31+AU31+BB31+BI31+BP31</f>
        <v>1464702.99171186</v>
      </c>
      <c r="BW31" s="0" t="n">
        <f aca="false">F31+M31+T31+AA31+AH31+AO31+AV31+BC31+BJ31+BQ31</f>
        <v>4990485.30088337</v>
      </c>
      <c r="BX31" s="0" t="n">
        <f aca="false">G31+N31+U31+AB31+AI31+AP31+AW31+BD31+BK31+BR31</f>
        <v>1590911.60273831</v>
      </c>
      <c r="BY31" s="0" t="n">
        <f aca="false">H31+O31+V31+AC31+AJ31+AQ31+AX31+BE31+BL31+BS31</f>
        <v>180402042.66887</v>
      </c>
      <c r="BZ31" s="0" t="n">
        <f aca="false">IF(A31&gt;Inputs!$B$7,(1-Inputs!$B$6)*INDEX($BU$6:$BU$125,A31-Inputs!$B$7),0)</f>
        <v>352809.706801713</v>
      </c>
      <c r="CA31" s="0" t="n">
        <f aca="false">CA30+(1-Inputs!$B$6)*BU31-BZ31</f>
        <v>1877201.89464158</v>
      </c>
      <c r="CB31" s="0" t="n">
        <f aca="false">BY31+CA31</f>
        <v>182279244.563511</v>
      </c>
      <c r="CC31" s="0" t="n">
        <f aca="false">BV31+BW31+BX31+BZ31</f>
        <v>8398909.60213525</v>
      </c>
      <c r="CD31" s="0" t="n">
        <f aca="false">CD30+BU31-BZ31</f>
        <v>9466552.06342327</v>
      </c>
    </row>
    <row r="32" customFormat="false" ht="15" hidden="false" customHeight="false" outlineLevel="0" collapsed="false">
      <c r="A32" s="0" t="n">
        <f aca="false">ROW()-5</f>
        <v>27</v>
      </c>
      <c r="B32" s="0" t="n">
        <f aca="false">Inputs!$D$58-(A32-1)</f>
        <v>10</v>
      </c>
      <c r="C32" s="0" t="n">
        <f aca="false">IF(B32&lt;=0,0,IF(A32=1,Inputs!$B$58,H31))</f>
        <v>8717768.10661676</v>
      </c>
      <c r="D32" s="0" t="n">
        <f aca="false">C32*Inputs!$B$9</f>
        <v>22099.9659544285</v>
      </c>
      <c r="E32" s="0" t="n">
        <f aca="false">(C32-D32)*Inputs!$C$58/12</f>
        <v>52898.6478556959</v>
      </c>
      <c r="F32" s="0" t="n">
        <f aca="false">IF(B32&lt;=0,0,IF(B32=1,C32-D32,MIN((C32-D32)*(Inputs!$C$58/12)/(1-(1+Inputs!$C$58/12)^(-B32))-E32,C32-D32)))</f>
        <v>846027.08697588</v>
      </c>
      <c r="G32" s="0" t="n">
        <f aca="false">(C32-D32-F32)*Inputs!$B$10</f>
        <v>68618.5082253426</v>
      </c>
      <c r="H32" s="0" t="n">
        <f aca="false">C32-D32-F32-G32</f>
        <v>7781022.54546111</v>
      </c>
      <c r="I32" s="0" t="n">
        <f aca="false">Inputs!$D$59-(A32-1)</f>
        <v>22</v>
      </c>
      <c r="J32" s="0" t="n">
        <f aca="false">IF(I32&lt;=0,0,IF(A32=1,Inputs!$B$59,O31))</f>
        <v>27959147.7202999</v>
      </c>
      <c r="K32" s="0" t="n">
        <f aca="false">J32*Inputs!$B$9</f>
        <v>70877.7986724015</v>
      </c>
      <c r="L32" s="0" t="n">
        <f aca="false">(J32-K32)*Inputs!$C$59/12</f>
        <v>181273.754490579</v>
      </c>
      <c r="M32" s="0" t="n">
        <f aca="false">IF(I32&lt;=0,0,IF(I32=1,J32-K32,MIN((J32-K32)*(Inputs!$C$59/12)/(1-(1+Inputs!$C$59/12)^(-I32))-L32,J32-K32)))</f>
        <v>1183279.62473179</v>
      </c>
      <c r="N32" s="0" t="n">
        <f aca="false">(J32-K32-M32)*Inputs!$B$10</f>
        <v>233444.635724413</v>
      </c>
      <c r="O32" s="0" t="n">
        <f aca="false">J32-K32-M32-N32</f>
        <v>26471545.6611713</v>
      </c>
      <c r="P32" s="0" t="n">
        <f aca="false">Inputs!$D$60-(A32-1)</f>
        <v>22</v>
      </c>
      <c r="Q32" s="0" t="n">
        <f aca="false">IF(P32&lt;=0,0,IF(A32=1,Inputs!$B$60,V31))</f>
        <v>8038695.66012983</v>
      </c>
      <c r="R32" s="0" t="n">
        <f aca="false">Q32*Inputs!$B$9</f>
        <v>20378.4842902671</v>
      </c>
      <c r="S32" s="0" t="n">
        <f aca="false">(Q32-R32)*Inputs!$C$60/12</f>
        <v>55460.0271328903</v>
      </c>
      <c r="T32" s="0" t="n">
        <f aca="false">IF(P32&lt;=0,0,IF(P32=1,Q32-R32,MIN((Q32-R32)*(Inputs!$C$60/12)/(1-(1+Inputs!$C$60/12)^(-P32))-S32,Q32-R32)))</f>
        <v>338698.530645659</v>
      </c>
      <c r="U32" s="0" t="n">
        <f aca="false">(Q32-R32-T32)*Inputs!$B$10</f>
        <v>67132.2384767202</v>
      </c>
      <c r="V32" s="0" t="n">
        <f aca="false">Q32-R32-T32-U32</f>
        <v>7612486.40671718</v>
      </c>
      <c r="W32" s="0" t="n">
        <f aca="false">Inputs!$D$61-(A32-1)</f>
        <v>34</v>
      </c>
      <c r="X32" s="0" t="n">
        <f aca="false">IF(W32&lt;=0,0,IF(A32=1,Inputs!$B$61,AC31))</f>
        <v>31030593.5692693</v>
      </c>
      <c r="Y32" s="0" t="n">
        <f aca="false">X32*Inputs!$B$9</f>
        <v>78664.0632143059</v>
      </c>
      <c r="Z32" s="0" t="n">
        <f aca="false">(X32-Y32)*Inputs!$C$61/12</f>
        <v>226980.816377737</v>
      </c>
      <c r="AA32" s="0" t="n">
        <f aca="false">IF(W32&lt;=0,0,IF(W32=1,X32-Y32,MIN((X32-Y32)*(Inputs!$C$61/12)/(1-(1+Inputs!$C$61/12)^(-W32))-Z32,X32-Y32)))</f>
        <v>804888.470342324</v>
      </c>
      <c r="AB32" s="0" t="n">
        <f aca="false">(X32-Y32-AA32)*Inputs!$B$10</f>
        <v>263533.704169478</v>
      </c>
      <c r="AC32" s="0" t="n">
        <f aca="false">X32-Y32-AA32-AB32</f>
        <v>29883507.3315432</v>
      </c>
      <c r="AD32" s="0" t="n">
        <f aca="false">Inputs!$D$62-(A32-1)</f>
        <v>34</v>
      </c>
      <c r="AE32" s="0" t="n">
        <f aca="false">IF(AD32&lt;=0,0,IF(A32=1,Inputs!$B$62,AJ31))</f>
        <v>8815270.14128074</v>
      </c>
      <c r="AF32" s="0" t="n">
        <f aca="false">AE32*Inputs!$B$9</f>
        <v>22347.1383522497</v>
      </c>
      <c r="AG32" s="0" t="n">
        <f aca="false">(AE32-AF32)*Inputs!$C$62/12</f>
        <v>68145.1532726958</v>
      </c>
      <c r="AH32" s="0" t="n">
        <f aca="false">IF(AD32&lt;=0,0,IF(AD32=1,AE32-AF32,MIN((AE32-AF32)*(Inputs!$C$62/12)/(1-(1+Inputs!$C$62/12)^(-AD32))-AG32,AE32-AF32)))</f>
        <v>227032.527546423</v>
      </c>
      <c r="AI32" s="0" t="n">
        <f aca="false">(AE32-AF32-AH32)*Inputs!$B$10</f>
        <v>74879.6820163322</v>
      </c>
      <c r="AJ32" s="0" t="n">
        <f aca="false">AE32-AF32-AH32-AI32</f>
        <v>8491010.79336573</v>
      </c>
      <c r="AK32" s="0" t="n">
        <f aca="false">Inputs!$D$63-(A32-1)</f>
        <v>34</v>
      </c>
      <c r="AL32" s="0" t="n">
        <f aca="false">IF(AK32&lt;=0,0,IF(A32=1,Inputs!$B$63,AQ31))</f>
        <v>10556806.8973363</v>
      </c>
      <c r="AM32" s="0" t="n">
        <f aca="false">AL32*Inputs!$B$9</f>
        <v>26762.0186916341</v>
      </c>
      <c r="AN32" s="0" t="n">
        <f aca="false">(AL32-AM32)*Inputs!$C$63/12</f>
        <v>83801.6071592142</v>
      </c>
      <c r="AO32" s="0" t="n">
        <f aca="false">IF(AK32&lt;=0,0,IF(AK32=1,AL32-AM32,MIN((AL32-AM32)*(Inputs!$C$63/12)/(1-(1+Inputs!$C$63/12)^(-AK32))-AN32,AL32-AM32)))</f>
        <v>270917.003003078</v>
      </c>
      <c r="AP32" s="0" t="n">
        <f aca="false">(AL32-AM32-AO32)*Inputs!$B$10</f>
        <v>89681.3046233434</v>
      </c>
      <c r="AQ32" s="0" t="n">
        <f aca="false">AL32-AM32-AO32-AP32</f>
        <v>10169446.5710183</v>
      </c>
      <c r="AR32" s="0" t="n">
        <f aca="false">Inputs!$D$64-(A32-1)</f>
        <v>46</v>
      </c>
      <c r="AS32" s="0" t="n">
        <f aca="false">IF(AR32&lt;=0,0,IF(A32=1,Inputs!$B$64,AX31))</f>
        <v>18468340.7511281</v>
      </c>
      <c r="AT32" s="0" t="n">
        <f aca="false">AS32*Inputs!$B$9</f>
        <v>46818.1416210108</v>
      </c>
      <c r="AU32" s="0" t="n">
        <f aca="false">(AS32-AT32)*Inputs!$C$64/12</f>
        <v>150442.434644308</v>
      </c>
      <c r="AV32" s="0" t="n">
        <f aca="false">IF(AR32&lt;=0,0,IF(AR32=1,AS32-AT32,MIN((AS32-AT32)*(Inputs!$C$64/12)/(1-(1+Inputs!$C$64/12)^(-AR32))-AU32,AS32-AT32)))</f>
        <v>331559.342653429</v>
      </c>
      <c r="AW32" s="0" t="n">
        <f aca="false">(AS32-AT32-AV32)*Inputs!$B$10</f>
        <v>158135.421063589</v>
      </c>
      <c r="AX32" s="0" t="n">
        <f aca="false">AS32-AT32-AV32-AW32</f>
        <v>17931827.84579</v>
      </c>
      <c r="AY32" s="0" t="n">
        <f aca="false">Inputs!$D$65-(A32-1)</f>
        <v>46</v>
      </c>
      <c r="AZ32" s="0" t="n">
        <f aca="false">IF(AY32&lt;=0,0,IF(A32=1,Inputs!$B$65,BE31))</f>
        <v>19184039.2172916</v>
      </c>
      <c r="BA32" s="0" t="n">
        <f aca="false">AZ32*Inputs!$B$9</f>
        <v>48632.4720255838</v>
      </c>
      <c r="BB32" s="0" t="n">
        <f aca="false">(AZ32-BA32)*Inputs!$C$65/12</f>
        <v>164245.574563534</v>
      </c>
      <c r="BC32" s="0" t="n">
        <f aca="false">IF(AY32&lt;=0,0,IF(AY32=1,AZ32-BA32,MIN((AZ32-BA32)*(Inputs!$C$65/12)/(1-(1+Inputs!$C$65/12)^(-AY32))-BB32,AZ32-BA32)))</f>
        <v>341014.314236705</v>
      </c>
      <c r="BD32" s="0" t="n">
        <f aca="false">(AZ32-BA32-BC32)*Inputs!$B$10</f>
        <v>164293.266761955</v>
      </c>
      <c r="BE32" s="0" t="n">
        <f aca="false">AZ32-BA32-BC32-BD32</f>
        <v>18630099.1642674</v>
      </c>
      <c r="BF32" s="0" t="n">
        <f aca="false">Inputs!$D$66-(A32-1)</f>
        <v>58</v>
      </c>
      <c r="BG32" s="0" t="n">
        <f aca="false">IF(BF32&lt;=0,0,IF(A32=1,Inputs!$B$66,BL31))</f>
        <v>20567789.6423601</v>
      </c>
      <c r="BH32" s="0" t="n">
        <f aca="false">BG32*Inputs!$B$9</f>
        <v>52140.3466225495</v>
      </c>
      <c r="BI32" s="0" t="n">
        <f aca="false">(BG32-BH32)*Inputs!$C$66/12</f>
        <v>180366.750058359</v>
      </c>
      <c r="BJ32" s="0" t="n">
        <f aca="false">IF(BF32&lt;=0,0,IF(BF32=1,BG32-BH32,MIN((BG32-BH32)*(Inputs!$C$66/12)/(1-(1+Inputs!$C$66/12)^(-BF32))-BI32,BG32-BH32)))</f>
        <v>272685.592449626</v>
      </c>
      <c r="BK32" s="0" t="n">
        <f aca="false">(BG32-BH32-BJ32)*Inputs!$B$10</f>
        <v>176956.11326419</v>
      </c>
      <c r="BL32" s="0" t="n">
        <f aca="false">BG32-BH32-BJ32-BK32</f>
        <v>20066007.5900237</v>
      </c>
      <c r="BM32" s="0" t="n">
        <f aca="false">Inputs!$D$67-(A32-1)</f>
        <v>58</v>
      </c>
      <c r="BN32" s="0" t="n">
        <f aca="false">IF(BM32&lt;=0,0,IF(A32=1,Inputs!$B$67,BS31))</f>
        <v>27063590.963157</v>
      </c>
      <c r="BO32" s="0" t="n">
        <f aca="false">BN32*Inputs!$B$9</f>
        <v>68607.5187565943</v>
      </c>
      <c r="BP32" s="0" t="n">
        <f aca="false">(BN32-BO32)*Inputs!$C$67/12</f>
        <v>248578.805883854</v>
      </c>
      <c r="BQ32" s="0" t="n">
        <f aca="false">IF(BM32&lt;=0,0,IF(BM32=1,BN32-BO32,MIN((BN32-BO32)*(Inputs!$C$67/12)/(1-(1+Inputs!$C$67/12)^(-BM32))-BP32,BN32-BO32)))</f>
        <v>354242.317356091</v>
      </c>
      <c r="BR32" s="0" t="n">
        <f aca="false">(BN32-BO32-BQ32)*Inputs!$B$10</f>
        <v>232882.99447741</v>
      </c>
      <c r="BS32" s="0" t="n">
        <f aca="false">BN32-BO32-BQ32-BR32</f>
        <v>26407858.1325669</v>
      </c>
      <c r="BT32" s="0" t="n">
        <f aca="false">C32+J32+Q32+X32+AE32+AL32+AS32+AZ32+BG32+BN32</f>
        <v>180402042.66887</v>
      </c>
      <c r="BU32" s="0" t="n">
        <f aca="false">D32+K32+R32+Y32+AF32+AM32+AT32+BA32+BH32+BO32</f>
        <v>457327.948201025</v>
      </c>
      <c r="BV32" s="0" t="n">
        <f aca="false">E32+L32+S32+Z32+AG32+AN32+AU32+BB32+BI32+BP32</f>
        <v>1412193.57143887</v>
      </c>
      <c r="BW32" s="0" t="n">
        <f aca="false">F32+M32+T32+AA32+AH32+AO32+AV32+BC32+BJ32+BQ32</f>
        <v>4970344.809941</v>
      </c>
      <c r="BX32" s="0" t="n">
        <f aca="false">G32+N32+U32+AB32+AI32+AP32+AW32+BD32+BK32+BR32</f>
        <v>1529557.86880277</v>
      </c>
      <c r="BY32" s="0" t="n">
        <f aca="false">H32+O32+V32+AC32+AJ32+AQ32+AX32+BE32+BL32+BS32</f>
        <v>173444812.041925</v>
      </c>
      <c r="BZ32" s="0" t="n">
        <f aca="false">IF(A32&gt;Inputs!$B$7,(1-Inputs!$B$6)*INDEX($BU$6:$BU$125,A32-Inputs!$B$7),0)</f>
        <v>341129.732787511</v>
      </c>
      <c r="CA32" s="0" t="n">
        <f aca="false">CA31+(1-Inputs!$B$6)*BU32-BZ32</f>
        <v>1810468.93077469</v>
      </c>
      <c r="CB32" s="0" t="n">
        <f aca="false">BY32+CA32</f>
        <v>175255280.9727</v>
      </c>
      <c r="CC32" s="0" t="n">
        <f aca="false">BV32+BW32+BX32+BZ32</f>
        <v>8253225.98297015</v>
      </c>
      <c r="CD32" s="0" t="n">
        <f aca="false">CD31+BU32-BZ32</f>
        <v>9582750.27883678</v>
      </c>
    </row>
    <row r="33" customFormat="false" ht="15" hidden="false" customHeight="false" outlineLevel="0" collapsed="false">
      <c r="A33" s="0" t="n">
        <f aca="false">ROW()-5</f>
        <v>28</v>
      </c>
      <c r="B33" s="0" t="n">
        <f aca="false">Inputs!$D$58-(A33-1)</f>
        <v>9</v>
      </c>
      <c r="C33" s="0" t="n">
        <f aca="false">IF(B33&lt;=0,0,IF(A33=1,Inputs!$B$58,H32))</f>
        <v>7781022.54546111</v>
      </c>
      <c r="D33" s="0" t="n">
        <f aca="false">C33*Inputs!$B$9</f>
        <v>19725.2704181032</v>
      </c>
      <c r="E33" s="0" t="n">
        <f aca="false">(C33-D33)*Inputs!$C$58/12</f>
        <v>47214.5584231783</v>
      </c>
      <c r="F33" s="0" t="n">
        <f aca="false">IF(B33&lt;=0,0,IF(B33=1,C33-D33,MIN((C33-D33)*(Inputs!$C$58/12)/(1-(1+Inputs!$C$58/12)^(-B33))-E33,C33-D33)))</f>
        <v>841594.217481015</v>
      </c>
      <c r="G33" s="0" t="n">
        <f aca="false">(C33-D33-F33)*Inputs!$B$10</f>
        <v>60489.3520512323</v>
      </c>
      <c r="H33" s="0" t="n">
        <f aca="false">C33-D33-F33-G33</f>
        <v>6859213.70551076</v>
      </c>
      <c r="I33" s="0" t="n">
        <f aca="false">Inputs!$D$59-(A33-1)</f>
        <v>21</v>
      </c>
      <c r="J33" s="0" t="n">
        <f aca="false">IF(I33&lt;=0,0,IF(A33=1,Inputs!$B$59,O32))</f>
        <v>26471545.6611713</v>
      </c>
      <c r="K33" s="0" t="n">
        <f aca="false">J33*Inputs!$B$9</f>
        <v>67106.6551344669</v>
      </c>
      <c r="L33" s="0" t="n">
        <f aca="false">(J33-K33)*Inputs!$C$59/12</f>
        <v>171628.853539239</v>
      </c>
      <c r="M33" s="0" t="n">
        <f aca="false">IF(I33&lt;=0,0,IF(I33=1,J33-K33,MIN((J33-K33)*(Inputs!$C$59/12)/(1-(1+Inputs!$C$59/12)^(-I33))-L33,J33-K33)))</f>
        <v>1177567.16082317</v>
      </c>
      <c r="N33" s="0" t="n">
        <f aca="false">(J33-K33-M33)*Inputs!$B$10</f>
        <v>220523.49927485</v>
      </c>
      <c r="O33" s="0" t="n">
        <f aca="false">J33-K33-M33-N33</f>
        <v>25006348.3459388</v>
      </c>
      <c r="P33" s="0" t="n">
        <f aca="false">Inputs!$D$60-(A33-1)</f>
        <v>21</v>
      </c>
      <c r="Q33" s="0" t="n">
        <f aca="false">IF(P33&lt;=0,0,IF(A33=1,Inputs!$B$60,V32))</f>
        <v>7612486.40671718</v>
      </c>
      <c r="R33" s="0" t="n">
        <f aca="false">Q33*Inputs!$B$9</f>
        <v>19298.023113199</v>
      </c>
      <c r="S33" s="0" t="n">
        <f aca="false">(Q33-R33)*Inputs!$C$60/12</f>
        <v>52519.5529865942</v>
      </c>
      <c r="T33" s="0" t="n">
        <f aca="false">IF(P33&lt;=0,0,IF(P33=1,Q33-R33,MIN((Q33-R33)*(Inputs!$C$60/12)/(1-(1+Inputs!$C$60/12)^(-P33))-S33,Q33-R33)))</f>
        <v>337202.947634609</v>
      </c>
      <c r="U33" s="0" t="n">
        <f aca="false">(Q33-R33-T33)*Inputs!$B$10</f>
        <v>63429.0017741897</v>
      </c>
      <c r="V33" s="0" t="n">
        <f aca="false">Q33-R33-T33-U33</f>
        <v>7192556.43419518</v>
      </c>
      <c r="W33" s="0" t="n">
        <f aca="false">Inputs!$D$61-(A33-1)</f>
        <v>33</v>
      </c>
      <c r="X33" s="0" t="n">
        <f aca="false">IF(W33&lt;=0,0,IF(A33=1,Inputs!$B$61,AC32))</f>
        <v>29883507.3315432</v>
      </c>
      <c r="Y33" s="0" t="n">
        <f aca="false">X33*Inputs!$B$9</f>
        <v>75756.1438374072</v>
      </c>
      <c r="Z33" s="0" t="n">
        <f aca="false">(X33-Y33)*Inputs!$C$61/12</f>
        <v>218590.175376509</v>
      </c>
      <c r="AA33" s="0" t="n">
        <f aca="false">IF(W33&lt;=0,0,IF(W33=1,X33-Y33,MIN((X33-Y33)*(Inputs!$C$61/12)/(1-(1+Inputs!$C$61/12)^(-W33))-Z33,X33-Y33)))</f>
        <v>801665.939323138</v>
      </c>
      <c r="AB33" s="0" t="n">
        <f aca="false">(X33-Y33-AA33)*Inputs!$B$10</f>
        <v>253559.912560129</v>
      </c>
      <c r="AC33" s="0" t="n">
        <f aca="false">X33-Y33-AA33-AB33</f>
        <v>28752525.3358226</v>
      </c>
      <c r="AD33" s="0" t="n">
        <f aca="false">Inputs!$D$62-(A33-1)</f>
        <v>33</v>
      </c>
      <c r="AE33" s="0" t="n">
        <f aca="false">IF(AD33&lt;=0,0,IF(A33=1,Inputs!$B$62,AJ32))</f>
        <v>8491010.79336573</v>
      </c>
      <c r="AF33" s="0" t="n">
        <f aca="false">AE33*Inputs!$B$9</f>
        <v>21525.1251417942</v>
      </c>
      <c r="AG33" s="0" t="n">
        <f aca="false">(AE33-AF33)*Inputs!$C$62/12</f>
        <v>65638.5139287355</v>
      </c>
      <c r="AH33" s="0" t="n">
        <f aca="false">IF(AD33&lt;=0,0,IF(AD33=1,AE33-AF33,MIN((AE33-AF33)*(Inputs!$C$62/12)/(1-(1+Inputs!$C$62/12)^(-AD33))-AG33,AE33-AF33)))</f>
        <v>226217.089929613</v>
      </c>
      <c r="AI33" s="0" t="n">
        <f aca="false">(AE33-AF33-AH33)*Inputs!$B$10</f>
        <v>72059.446906525</v>
      </c>
      <c r="AJ33" s="0" t="n">
        <f aca="false">AE33-AF33-AH33-AI33</f>
        <v>8171209.1313878</v>
      </c>
      <c r="AK33" s="0" t="n">
        <f aca="false">Inputs!$D$63-(A33-1)</f>
        <v>33</v>
      </c>
      <c r="AL33" s="0" t="n">
        <f aca="false">IF(AK33&lt;=0,0,IF(A33=1,Inputs!$B$63,AQ32))</f>
        <v>10169446.5710183</v>
      </c>
      <c r="AM33" s="0" t="n">
        <f aca="false">AL33*Inputs!$B$9</f>
        <v>25780.0414333462</v>
      </c>
      <c r="AN33" s="0" t="n">
        <f aca="false">(AL33-AM33)*Inputs!$C$63/12</f>
        <v>80726.6794646135</v>
      </c>
      <c r="AO33" s="0" t="n">
        <f aca="false">IF(AK33&lt;=0,0,IF(AK33=1,AL33-AM33,MIN((AL33-AM33)*(Inputs!$C$63/12)/(1-(1+Inputs!$C$63/12)^(-AK33))-AN33,AL33-AM33)))</f>
        <v>269999.750397642</v>
      </c>
      <c r="AP33" s="0" t="n">
        <f aca="false">(AL33-AM33-AO33)*Inputs!$B$10</f>
        <v>86311.7536799689</v>
      </c>
      <c r="AQ33" s="0" t="n">
        <f aca="false">AL33-AM33-AO33-AP33</f>
        <v>9787355.02550734</v>
      </c>
      <c r="AR33" s="0" t="n">
        <f aca="false">Inputs!$D$64-(A33-1)</f>
        <v>45</v>
      </c>
      <c r="AS33" s="0" t="n">
        <f aca="false">IF(AR33&lt;=0,0,IF(A33=1,Inputs!$B$64,AX32))</f>
        <v>17931827.84579</v>
      </c>
      <c r="AT33" s="0" t="n">
        <f aca="false">AS33*Inputs!$B$9</f>
        <v>45458.0553240281</v>
      </c>
      <c r="AU33" s="0" t="n">
        <f aca="false">(AS33-AT33)*Inputs!$C$64/12</f>
        <v>146072.019955472</v>
      </c>
      <c r="AV33" s="0" t="n">
        <f aca="false">IF(AR33&lt;=0,0,IF(AR33=1,AS33-AT33,MIN((AS33-AT33)*(Inputs!$C$64/12)/(1-(1+Inputs!$C$64/12)^(-AR33))-AU33,AS33-AT33)))</f>
        <v>330505.068744645</v>
      </c>
      <c r="AW33" s="0" t="n">
        <f aca="false">(AS33-AT33-AV33)*Inputs!$B$10</f>
        <v>153466.539370573</v>
      </c>
      <c r="AX33" s="0" t="n">
        <f aca="false">AS33-AT33-AV33-AW33</f>
        <v>17402398.1823508</v>
      </c>
      <c r="AY33" s="0" t="n">
        <f aca="false">Inputs!$D$65-(A33-1)</f>
        <v>45</v>
      </c>
      <c r="AZ33" s="0" t="n">
        <f aca="false">IF(AY33&lt;=0,0,IF(A33=1,Inputs!$B$65,BE32))</f>
        <v>18630099.1642674</v>
      </c>
      <c r="BA33" s="0" t="n">
        <f aca="false">AZ33*Inputs!$B$9</f>
        <v>47228.2070620161</v>
      </c>
      <c r="BB33" s="0" t="n">
        <f aca="false">(AZ33-BA33)*Inputs!$C$65/12</f>
        <v>159502.975716013</v>
      </c>
      <c r="BC33" s="0" t="n">
        <f aca="false">IF(AY33&lt;=0,0,IF(AY33=1,AZ33-BA33,MIN((AZ33-BA33)*(Inputs!$C$65/12)/(1-(1+Inputs!$C$65/12)^(-AY33))-BB33,AZ33-BA33)))</f>
        <v>340070.466090243</v>
      </c>
      <c r="BD33" s="0" t="n">
        <f aca="false">(AZ33-BA33-BC33)*Inputs!$B$10</f>
        <v>159471.464617479</v>
      </c>
      <c r="BE33" s="0" t="n">
        <f aca="false">AZ33-BA33-BC33-BD33</f>
        <v>18083329.0264976</v>
      </c>
      <c r="BF33" s="0" t="n">
        <f aca="false">Inputs!$D$66-(A33-1)</f>
        <v>57</v>
      </c>
      <c r="BG33" s="0" t="n">
        <f aca="false">IF(BF33&lt;=0,0,IF(A33=1,Inputs!$B$66,BL32))</f>
        <v>20066007.5900237</v>
      </c>
      <c r="BH33" s="0" t="n">
        <f aca="false">BG33*Inputs!$B$9</f>
        <v>50868.304726326</v>
      </c>
      <c r="BI33" s="0" t="n">
        <f aca="false">(BG33-BH33)*Inputs!$C$66/12</f>
        <v>175966.432883239</v>
      </c>
      <c r="BJ33" s="0" t="n">
        <f aca="false">IF(BF33&lt;=0,0,IF(BF33=1,BG33-BH33,MIN((BG33-BH33)*(Inputs!$C$66/12)/(1-(1+Inputs!$C$66/12)^(-BF33))-BI33,BG33-BH33)))</f>
        <v>271987.032416644</v>
      </c>
      <c r="BK33" s="0" t="n">
        <f aca="false">(BG33-BH33-BJ33)*Inputs!$B$10</f>
        <v>172586.956014027</v>
      </c>
      <c r="BL33" s="0" t="n">
        <f aca="false">BG33-BH33-BJ33-BK33</f>
        <v>19570565.2968667</v>
      </c>
      <c r="BM33" s="0" t="n">
        <f aca="false">Inputs!$D$67-(A33-1)</f>
        <v>57</v>
      </c>
      <c r="BN33" s="0" t="n">
        <f aca="false">IF(BM33&lt;=0,0,IF(A33=1,Inputs!$B$67,BS32))</f>
        <v>26407858.1325669</v>
      </c>
      <c r="BO33" s="0" t="n">
        <f aca="false">BN33*Inputs!$B$9</f>
        <v>66945.2041533597</v>
      </c>
      <c r="BP33" s="0" t="n">
        <f aca="false">(BN33-BO33)*Inputs!$C$67/12</f>
        <v>242555.906549142</v>
      </c>
      <c r="BQ33" s="0" t="n">
        <f aca="false">IF(BM33&lt;=0,0,IF(BM33=1,BN33-BO33,MIN((BN33-BO33)*(Inputs!$C$67/12)/(1-(1+Inputs!$C$67/12)^(-BM33))-BP33,BN33-BO33)))</f>
        <v>353480.76686579</v>
      </c>
      <c r="BR33" s="0" t="n">
        <f aca="false">(BN33-BO33-BQ33)*Inputs!$B$10</f>
        <v>227172.021667824</v>
      </c>
      <c r="BS33" s="0" t="n">
        <f aca="false">BN33-BO33-BQ33-BR33</f>
        <v>25760260.13988</v>
      </c>
      <c r="BT33" s="0" t="n">
        <f aca="false">C33+J33+Q33+X33+AE33+AL33+AS33+AZ33+BG33+BN33</f>
        <v>173444812.041925</v>
      </c>
      <c r="BU33" s="0" t="n">
        <f aca="false">D33+K33+R33+Y33+AF33+AM33+AT33+BA33+BH33+BO33</f>
        <v>439691.030344047</v>
      </c>
      <c r="BV33" s="0" t="n">
        <f aca="false">E33+L33+S33+Z33+AG33+AN33+AU33+BB33+BI33+BP33</f>
        <v>1360415.66882274</v>
      </c>
      <c r="BW33" s="0" t="n">
        <f aca="false">F33+M33+T33+AA33+AH33+AO33+AV33+BC33+BJ33+BQ33</f>
        <v>4950290.4397065</v>
      </c>
      <c r="BX33" s="0" t="n">
        <f aca="false">G33+N33+U33+AB33+AI33+AP33+AW33+BD33+BK33+BR33</f>
        <v>1469069.9479168</v>
      </c>
      <c r="BY33" s="0" t="n">
        <f aca="false">H33+O33+V33+AC33+AJ33+AQ33+AX33+BE33+BL33+BS33</f>
        <v>166585760.623958</v>
      </c>
      <c r="BZ33" s="0" t="n">
        <f aca="false">IF(A33&gt;Inputs!$B$7,(1-Inputs!$B$6)*INDEX($BU$6:$BU$125,A33-Inputs!$B$7),0)</f>
        <v>329612.36891824</v>
      </c>
      <c r="CA33" s="0" t="n">
        <f aca="false">CA32+(1-Inputs!$B$6)*BU33-BZ33</f>
        <v>1744671.18006288</v>
      </c>
      <c r="CB33" s="0" t="n">
        <f aca="false">BY33+CA33</f>
        <v>168330431.80402</v>
      </c>
      <c r="CC33" s="0" t="n">
        <f aca="false">BV33+BW33+BX33+BZ33</f>
        <v>8109388.42536428</v>
      </c>
      <c r="CD33" s="0" t="n">
        <f aca="false">CD32+BU33-BZ33</f>
        <v>9692828.94026259</v>
      </c>
    </row>
    <row r="34" customFormat="false" ht="15" hidden="false" customHeight="false" outlineLevel="0" collapsed="false">
      <c r="A34" s="0" t="n">
        <f aca="false">ROW()-5</f>
        <v>29</v>
      </c>
      <c r="B34" s="0" t="n">
        <f aca="false">Inputs!$D$58-(A34-1)</f>
        <v>8</v>
      </c>
      <c r="C34" s="0" t="n">
        <f aca="false">IF(B34&lt;=0,0,IF(A34=1,Inputs!$B$58,H33))</f>
        <v>6859213.70551076</v>
      </c>
      <c r="D34" s="0" t="n">
        <f aca="false">C34*Inputs!$B$9</f>
        <v>17388.4401961647</v>
      </c>
      <c r="E34" s="0" t="n">
        <f aca="false">(C34-D34)*Inputs!$C$58/12</f>
        <v>41621.1036973305</v>
      </c>
      <c r="F34" s="0" t="n">
        <f aca="false">IF(B34&lt;=0,0,IF(B34=1,C34-D34,MIN((C34-D34)*(Inputs!$C$58/12)/(1-(1+Inputs!$C$58/12)^(-B34))-E34,C34-D34)))</f>
        <v>837184.574585229</v>
      </c>
      <c r="G34" s="0" t="n">
        <f aca="false">(C34-D34-F34)*Inputs!$B$10</f>
        <v>52490.2328410975</v>
      </c>
      <c r="H34" s="0" t="n">
        <f aca="false">C34-D34-F34-G34</f>
        <v>5952150.45788827</v>
      </c>
      <c r="I34" s="0" t="n">
        <f aca="false">Inputs!$D$59-(A34-1)</f>
        <v>20</v>
      </c>
      <c r="J34" s="0" t="n">
        <f aca="false">IF(I34&lt;=0,0,IF(A34=1,Inputs!$B$59,O33))</f>
        <v>25006348.3459388</v>
      </c>
      <c r="K34" s="0" t="n">
        <f aca="false">J34*Inputs!$B$9</f>
        <v>63392.3087114896</v>
      </c>
      <c r="L34" s="0" t="n">
        <f aca="false">(J34-K34)*Inputs!$C$59/12</f>
        <v>162129.214241978</v>
      </c>
      <c r="M34" s="0" t="n">
        <f aca="false">IF(I34&lt;=0,0,IF(I34=1,J34-K34,MIN((J34-K34)*(Inputs!$C$59/12)/(1-(1+Inputs!$C$59/12)^(-I34))-L34,J34-K34)))</f>
        <v>1171882.27471038</v>
      </c>
      <c r="N34" s="0" t="n">
        <f aca="false">(J34-K34-M34)*Inputs!$B$10</f>
        <v>207797.478807322</v>
      </c>
      <c r="O34" s="0" t="n">
        <f aca="false">J34-K34-M34-N34</f>
        <v>23563276.2837096</v>
      </c>
      <c r="P34" s="0" t="n">
        <f aca="false">Inputs!$D$60-(A34-1)</f>
        <v>20</v>
      </c>
      <c r="Q34" s="0" t="n">
        <f aca="false">IF(P34&lt;=0,0,IF(A34=1,Inputs!$B$60,V33))</f>
        <v>7192556.43419518</v>
      </c>
      <c r="R34" s="0" t="n">
        <f aca="false">Q34*Inputs!$B$9</f>
        <v>18233.4802184486</v>
      </c>
      <c r="S34" s="0" t="n">
        <f aca="false">(Q34-R34)*Inputs!$C$60/12</f>
        <v>49622.4004316724</v>
      </c>
      <c r="T34" s="0" t="n">
        <f aca="false">IF(P34&lt;=0,0,IF(P34=1,Q34-R34,MIN((Q34-R34)*(Inputs!$C$60/12)/(1-(1+Inputs!$C$60/12)^(-P34))-S34,Q34-R34)))</f>
        <v>335713.968633734</v>
      </c>
      <c r="U34" s="0" t="n">
        <f aca="false">(Q34-R34-T34)*Inputs!$B$10</f>
        <v>59780.4592211618</v>
      </c>
      <c r="V34" s="0" t="n">
        <f aca="false">Q34-R34-T34-U34</f>
        <v>6778828.52612184</v>
      </c>
      <c r="W34" s="0" t="n">
        <f aca="false">Inputs!$D$61-(A34-1)</f>
        <v>32</v>
      </c>
      <c r="X34" s="0" t="n">
        <f aca="false">IF(W34&lt;=0,0,IF(A34=1,Inputs!$B$61,AC33))</f>
        <v>28752525.3358226</v>
      </c>
      <c r="Y34" s="0" t="n">
        <f aca="false">X34*Inputs!$B$9</f>
        <v>72889.0494968812</v>
      </c>
      <c r="Z34" s="0" t="n">
        <f aca="false">(X34-Y34)*Inputs!$C$61/12</f>
        <v>210317.332766388</v>
      </c>
      <c r="AA34" s="0" t="n">
        <f aca="false">IF(W34&lt;=0,0,IF(W34=1,X34-Y34,MIN((X34-Y34)*(Inputs!$C$61/12)/(1-(1+Inputs!$C$61/12)^(-W34))-Z34,X34-Y34)))</f>
        <v>798456.310347592</v>
      </c>
      <c r="AB34" s="0" t="n">
        <f aca="false">(X34-Y34-AA34)*Inputs!$B$10</f>
        <v>243726.428307881</v>
      </c>
      <c r="AC34" s="0" t="n">
        <f aca="false">X34-Y34-AA34-AB34</f>
        <v>27637453.5476702</v>
      </c>
      <c r="AD34" s="0" t="n">
        <f aca="false">Inputs!$D$62-(A34-1)</f>
        <v>32</v>
      </c>
      <c r="AE34" s="0" t="n">
        <f aca="false">IF(AD34&lt;=0,0,IF(A34=1,Inputs!$B$62,AJ33))</f>
        <v>8171209.1313878</v>
      </c>
      <c r="AF34" s="0" t="n">
        <f aca="false">AE34*Inputs!$B$9</f>
        <v>20714.4123818943</v>
      </c>
      <c r="AG34" s="0" t="n">
        <f aca="false">(AE34-AF34)*Inputs!$C$62/12</f>
        <v>63166.3340722958</v>
      </c>
      <c r="AH34" s="0" t="n">
        <f aca="false">IF(AD34&lt;=0,0,IF(AD34=1,AE34-AF34,MIN((AE34-AF34)*(Inputs!$C$62/12)/(1-(1+Inputs!$C$62/12)^(-AD34))-AG34,AE34-AF34)))</f>
        <v>225404.581137646</v>
      </c>
      <c r="AI34" s="0" t="n">
        <f aca="false">(AE34-AF34-AH34)*Inputs!$B$10</f>
        <v>69278.0547661482</v>
      </c>
      <c r="AJ34" s="0" t="n">
        <f aca="false">AE34-AF34-AH34-AI34</f>
        <v>7855812.08310211</v>
      </c>
      <c r="AK34" s="0" t="n">
        <f aca="false">Inputs!$D$63-(A34-1)</f>
        <v>32</v>
      </c>
      <c r="AL34" s="0" t="n">
        <f aca="false">IF(AK34&lt;=0,0,IF(A34=1,Inputs!$B$63,AQ33))</f>
        <v>9787355.02550734</v>
      </c>
      <c r="AM34" s="0" t="n">
        <f aca="false">AL34*Inputs!$B$9</f>
        <v>24811.4207905399</v>
      </c>
      <c r="AN34" s="0" t="n">
        <f aca="false">(AL34-AM34)*Inputs!$C$63/12</f>
        <v>77693.5761875379</v>
      </c>
      <c r="AO34" s="0" t="n">
        <f aca="false">IF(AK34&lt;=0,0,IF(AK34=1,AL34-AM34,MIN((AL34-AM34)*(Inputs!$C$63/12)/(1-(1+Inputs!$C$63/12)^(-AK34))-AN34,AL34-AM34)))</f>
        <v>269085.603364513</v>
      </c>
      <c r="AP34" s="0" t="n">
        <f aca="false">(AL34-AM34-AO34)*Inputs!$B$10</f>
        <v>82988.1164625744</v>
      </c>
      <c r="AQ34" s="0" t="n">
        <f aca="false">AL34-AM34-AO34-AP34</f>
        <v>9410469.88488971</v>
      </c>
      <c r="AR34" s="0" t="n">
        <f aca="false">Inputs!$D$64-(A34-1)</f>
        <v>44</v>
      </c>
      <c r="AS34" s="0" t="n">
        <f aca="false">IF(AR34&lt;=0,0,IF(A34=1,Inputs!$B$64,AX33))</f>
        <v>17402398.1823508</v>
      </c>
      <c r="AT34" s="0" t="n">
        <f aca="false">AS34*Inputs!$B$9</f>
        <v>44115.9253896024</v>
      </c>
      <c r="AU34" s="0" t="n">
        <f aca="false">(AS34-AT34)*Inputs!$C$64/12</f>
        <v>141759.305098516</v>
      </c>
      <c r="AV34" s="0" t="n">
        <f aca="false">IF(AR34&lt;=0,0,IF(AR34=1,AS34-AT34,MIN((AS34-AT34)*(Inputs!$C$64/12)/(1-(1+Inputs!$C$64/12)^(-AR34))-AU34,AS34-AT34)))</f>
        <v>329454.147157246</v>
      </c>
      <c r="AW34" s="0" t="n">
        <f aca="false">(AS34-AT34-AV34)*Inputs!$B$10</f>
        <v>148859.390350309</v>
      </c>
      <c r="AX34" s="0" t="n">
        <f aca="false">AS34-AT34-AV34-AW34</f>
        <v>16879968.7194536</v>
      </c>
      <c r="AY34" s="0" t="n">
        <f aca="false">Inputs!$D$65-(A34-1)</f>
        <v>44</v>
      </c>
      <c r="AZ34" s="0" t="n">
        <f aca="false">IF(AY34&lt;=0,0,IF(A34=1,Inputs!$B$65,BE33))</f>
        <v>18083329.0264976</v>
      </c>
      <c r="BA34" s="0" t="n">
        <f aca="false">AZ34*Inputs!$B$9</f>
        <v>45842.1181821756</v>
      </c>
      <c r="BB34" s="0" t="n">
        <f aca="false">(AZ34-BA34)*Inputs!$C$65/12</f>
        <v>154821.762629708</v>
      </c>
      <c r="BC34" s="0" t="n">
        <f aca="false">IF(AY34&lt;=0,0,IF(AY34=1,AZ34-BA34,MIN((AZ34-BA34)*(Inputs!$C$65/12)/(1-(1+Inputs!$C$65/12)^(-AY34))-BB34,AZ34-BA34)))</f>
        <v>339129.230295481</v>
      </c>
      <c r="BD34" s="0" t="n">
        <f aca="false">(AZ34-BA34-BC34)*Inputs!$B$10</f>
        <v>154712.15735832</v>
      </c>
      <c r="BE34" s="0" t="n">
        <f aca="false">AZ34-BA34-BC34-BD34</f>
        <v>17543645.5206617</v>
      </c>
      <c r="BF34" s="0" t="n">
        <f aca="false">Inputs!$D$66-(A34-1)</f>
        <v>56</v>
      </c>
      <c r="BG34" s="0" t="n">
        <f aca="false">IF(BF34&lt;=0,0,IF(A34=1,Inputs!$B$66,BL33))</f>
        <v>19570565.2968667</v>
      </c>
      <c r="BH34" s="0" t="n">
        <f aca="false">BG34*Inputs!$B$9</f>
        <v>49612.3344278223</v>
      </c>
      <c r="BI34" s="0" t="n">
        <f aca="false">(BG34-BH34)*Inputs!$C$66/12</f>
        <v>171621.711461442</v>
      </c>
      <c r="BJ34" s="0" t="n">
        <f aca="false">IF(BF34&lt;=0,0,IF(BF34=1,BG34-BH34,MIN((BG34-BH34)*(Inputs!$C$66/12)/(1-(1+Inputs!$C$66/12)^(-BF34))-BI34,BG34-BH34)))</f>
        <v>271290.261939594</v>
      </c>
      <c r="BK34" s="0" t="n">
        <f aca="false">(BG34-BH34-BJ34)*Inputs!$B$10</f>
        <v>168273.062336901</v>
      </c>
      <c r="BL34" s="0" t="n">
        <f aca="false">BG34-BH34-BJ34-BK34</f>
        <v>19081389.6381624</v>
      </c>
      <c r="BM34" s="0" t="n">
        <f aca="false">Inputs!$D$67-(A34-1)</f>
        <v>56</v>
      </c>
      <c r="BN34" s="0" t="n">
        <f aca="false">IF(BM34&lt;=0,0,IF(A34=1,Inputs!$B$67,BS33))</f>
        <v>25760260.13988</v>
      </c>
      <c r="BO34" s="0" t="n">
        <f aca="false">BN34*Inputs!$B$9</f>
        <v>65303.5117596752</v>
      </c>
      <c r="BP34" s="0" t="n">
        <f aca="false">(BN34-BO34)*Inputs!$C$67/12</f>
        <v>236607.725617274</v>
      </c>
      <c r="BQ34" s="0" t="n">
        <f aca="false">IF(BM34&lt;=0,0,IF(BM34=1,BN34-BO34,MIN((BN34-BO34)*(Inputs!$C$67/12)/(1-(1+Inputs!$C$67/12)^(-BM34))-BP34,BN34-BO34)))</f>
        <v>352720.853557499</v>
      </c>
      <c r="BR34" s="0" t="n">
        <f aca="false">(BN34-BO34-BQ34)*Inputs!$B$10</f>
        <v>221531.965863425</v>
      </c>
      <c r="BS34" s="0" t="n">
        <f aca="false">BN34-BO34-BQ34-BR34</f>
        <v>25120703.8086994</v>
      </c>
      <c r="BT34" s="0" t="n">
        <f aca="false">C34+J34+Q34+X34+AE34+AL34+AS34+AZ34+BG34+BN34</f>
        <v>166585760.623958</v>
      </c>
      <c r="BU34" s="0" t="n">
        <f aca="false">D34+K34+R34+Y34+AF34+AM34+AT34+BA34+BH34+BO34</f>
        <v>422303.001554694</v>
      </c>
      <c r="BV34" s="0" t="n">
        <f aca="false">E34+L34+S34+Z34+AG34+AN34+AU34+BB34+BI34+BP34</f>
        <v>1309360.46620414</v>
      </c>
      <c r="BW34" s="0" t="n">
        <f aca="false">F34+M34+T34+AA34+AH34+AO34+AV34+BC34+BJ34+BQ34</f>
        <v>4930321.80572891</v>
      </c>
      <c r="BX34" s="0" t="n">
        <f aca="false">G34+N34+U34+AB34+AI34+AP34+AW34+BD34+BK34+BR34</f>
        <v>1409437.34631514</v>
      </c>
      <c r="BY34" s="0" t="n">
        <f aca="false">H34+O34+V34+AC34+AJ34+AQ34+AX34+BE34+BL34+BS34</f>
        <v>159823698.470359</v>
      </c>
      <c r="BZ34" s="0" t="n">
        <f aca="false">IF(A34&gt;Inputs!$B$7,(1-Inputs!$B$6)*INDEX($BU$6:$BU$125,A34-Inputs!$B$7),0)</f>
        <v>318255.651716454</v>
      </c>
      <c r="CA34" s="0" t="n">
        <f aca="false">CA33+(1-Inputs!$B$6)*BU34-BZ34</f>
        <v>1679797.32927924</v>
      </c>
      <c r="CB34" s="0" t="n">
        <f aca="false">BY34+CA34</f>
        <v>161503495.799638</v>
      </c>
      <c r="CC34" s="0" t="n">
        <f aca="false">BV34+BW34+BX34+BZ34</f>
        <v>7967375.26996465</v>
      </c>
      <c r="CD34" s="0" t="n">
        <f aca="false">CD33+BU34-BZ34</f>
        <v>9796876.29010083</v>
      </c>
    </row>
    <row r="35" customFormat="false" ht="15" hidden="false" customHeight="false" outlineLevel="0" collapsed="false">
      <c r="A35" s="0" t="n">
        <f aca="false">ROW()-5</f>
        <v>30</v>
      </c>
      <c r="B35" s="0" t="n">
        <f aca="false">Inputs!$D$58-(A35-1)</f>
        <v>7</v>
      </c>
      <c r="C35" s="0" t="n">
        <f aca="false">IF(B35&lt;=0,0,IF(A35=1,Inputs!$B$58,H34))</f>
        <v>5952150.45788827</v>
      </c>
      <c r="D35" s="0" t="n">
        <f aca="false">C35*Inputs!$B$9</f>
        <v>15088.9907676171</v>
      </c>
      <c r="E35" s="0" t="n">
        <f aca="false">(C35-D35)*Inputs!$C$58/12</f>
        <v>36117.123924984</v>
      </c>
      <c r="F35" s="0" t="n">
        <f aca="false">IF(B35&lt;=0,0,IF(B35=1,C35-D35,MIN((C35-D35)*(Inputs!$C$58/12)/(1-(1+Inputs!$C$58/12)^(-B35))-E35,C35-D35)))</f>
        <v>832798.036589718</v>
      </c>
      <c r="G35" s="0" t="n">
        <f aca="false">(C35-D35-F35)*Inputs!$B$10</f>
        <v>44619.4851199871</v>
      </c>
      <c r="H35" s="0" t="n">
        <f aca="false">C35-D35-F35-G35</f>
        <v>5059643.94541095</v>
      </c>
      <c r="I35" s="0" t="n">
        <f aca="false">Inputs!$D$59-(A35-1)</f>
        <v>19</v>
      </c>
      <c r="J35" s="0" t="n">
        <f aca="false">IF(I35&lt;=0,0,IF(A35=1,Inputs!$B$59,O34))</f>
        <v>23563276.2837096</v>
      </c>
      <c r="K35" s="0" t="n">
        <f aca="false">J35*Inputs!$B$9</f>
        <v>59734.050880469</v>
      </c>
      <c r="L35" s="0" t="n">
        <f aca="false">(J35-K35)*Inputs!$C$59/12</f>
        <v>152773.02451339</v>
      </c>
      <c r="M35" s="0" t="n">
        <f aca="false">IF(I35&lt;=0,0,IF(I35=1,J35-K35,MIN((J35-K35)*(Inputs!$C$59/12)/(1-(1+Inputs!$C$59/12)^(-I35))-L35,J35-K35)))</f>
        <v>1166224.83325739</v>
      </c>
      <c r="N35" s="0" t="n">
        <f aca="false">(J35-K35-M35)*Inputs!$B$10</f>
        <v>195264.138478634</v>
      </c>
      <c r="O35" s="0" t="n">
        <f aca="false">J35-K35-M35-N35</f>
        <v>22142053.2610931</v>
      </c>
      <c r="P35" s="0" t="n">
        <f aca="false">Inputs!$D$60-(A35-1)</f>
        <v>19</v>
      </c>
      <c r="Q35" s="0" t="n">
        <f aca="false">IF(P35&lt;=0,0,IF(A35=1,Inputs!$B$60,V34))</f>
        <v>6778828.52612184</v>
      </c>
      <c r="R35" s="0" t="n">
        <f aca="false">Q35*Inputs!$B$9</f>
        <v>17184.6598585818</v>
      </c>
      <c r="S35" s="0" t="n">
        <f aca="false">(Q35-R35)*Inputs!$C$60/12</f>
        <v>46768.0367416542</v>
      </c>
      <c r="T35" s="0" t="n">
        <f aca="false">IF(P35&lt;=0,0,IF(P35=1,Q35-R35,MIN((Q35-R35)*(Inputs!$C$60/12)/(1-(1+Inputs!$C$60/12)^(-P35))-S35,Q35-R35)))</f>
        <v>334231.564481865</v>
      </c>
      <c r="U35" s="0" t="n">
        <f aca="false">(Q35-R35-T35)*Inputs!$B$10</f>
        <v>56185.9377876047</v>
      </c>
      <c r="V35" s="0" t="n">
        <f aca="false">Q35-R35-T35-U35</f>
        <v>6371226.36399379</v>
      </c>
      <c r="W35" s="0" t="n">
        <f aca="false">Inputs!$D$61-(A35-1)</f>
        <v>31</v>
      </c>
      <c r="X35" s="0" t="n">
        <f aca="false">IF(W35&lt;=0,0,IF(A35=1,Inputs!$B$61,AC34))</f>
        <v>27637453.5476702</v>
      </c>
      <c r="Y35" s="0" t="n">
        <f aca="false">X35*Inputs!$B$9</f>
        <v>70062.2883059972</v>
      </c>
      <c r="Z35" s="0" t="n">
        <f aca="false">(X35-Y35)*Inputs!$C$61/12</f>
        <v>202160.869235338</v>
      </c>
      <c r="AA35" s="0" t="n">
        <f aca="false">IF(W35&lt;=0,0,IF(W35=1,X35-Y35,MIN((X35-Y35)*(Inputs!$C$61/12)/(1-(1+Inputs!$C$61/12)^(-W35))-Z35,X35-Y35)))</f>
        <v>795259.531759788</v>
      </c>
      <c r="AB35" s="0" t="n">
        <f aca="false">(X35-Y35-AA35)*Inputs!$B$10</f>
        <v>234031.559990611</v>
      </c>
      <c r="AC35" s="0" t="n">
        <f aca="false">X35-Y35-AA35-AB35</f>
        <v>26538100.1676138</v>
      </c>
      <c r="AD35" s="0" t="n">
        <f aca="false">Inputs!$D$62-(A35-1)</f>
        <v>31</v>
      </c>
      <c r="AE35" s="0" t="n">
        <f aca="false">IF(AD35&lt;=0,0,IF(A35=1,Inputs!$B$62,AJ34))</f>
        <v>7855812.08310211</v>
      </c>
      <c r="AF35" s="0" t="n">
        <f aca="false">AE35*Inputs!$B$9</f>
        <v>19914.8655318295</v>
      </c>
      <c r="AG35" s="0" t="n">
        <f aca="false">(AE35-AF35)*Inputs!$C$62/12</f>
        <v>60728.2034361697</v>
      </c>
      <c r="AH35" s="0" t="n">
        <f aca="false">IF(AD35&lt;=0,0,IF(AD35=1,AE35-AF35,MIN((AE35-AF35)*(Inputs!$C$62/12)/(1-(1+Inputs!$C$62/12)^(-AD35))-AG35,AE35-AF35)))</f>
        <v>224594.990650999</v>
      </c>
      <c r="AI35" s="0" t="n">
        <f aca="false">(AE35-AF35-AH35)*Inputs!$B$10</f>
        <v>66535.0429263452</v>
      </c>
      <c r="AJ35" s="0" t="n">
        <f aca="false">AE35-AF35-AH35-AI35</f>
        <v>7544767.18399294</v>
      </c>
      <c r="AK35" s="0" t="n">
        <f aca="false">Inputs!$D$63-(A35-1)</f>
        <v>31</v>
      </c>
      <c r="AL35" s="0" t="n">
        <f aca="false">IF(AK35&lt;=0,0,IF(A35=1,Inputs!$B$63,AQ34))</f>
        <v>9410469.88488971</v>
      </c>
      <c r="AM35" s="0" t="n">
        <f aca="false">AL35*Inputs!$B$9</f>
        <v>23855.9986372416</v>
      </c>
      <c r="AN35" s="0" t="n">
        <f aca="false">(AL35-AM35)*Inputs!$C$63/12</f>
        <v>74701.8021780926</v>
      </c>
      <c r="AO35" s="0" t="n">
        <f aca="false">IF(AK35&lt;=0,0,IF(AK35=1,AL35-AM35,MIN((AL35-AM35)*(Inputs!$C$63/12)/(1-(1+Inputs!$C$63/12)^(-AK35))-AN35,AL35-AM35)))</f>
        <v>268174.551389054</v>
      </c>
      <c r="AP35" s="0" t="n">
        <f aca="false">(AL35-AM35-AO35)*Inputs!$B$10</f>
        <v>79709.8491793795</v>
      </c>
      <c r="AQ35" s="0" t="n">
        <f aca="false">AL35-AM35-AO35-AP35</f>
        <v>9038729.48568404</v>
      </c>
      <c r="AR35" s="0" t="n">
        <f aca="false">Inputs!$D$64-(A35-1)</f>
        <v>43</v>
      </c>
      <c r="AS35" s="0" t="n">
        <f aca="false">IF(AR35&lt;=0,0,IF(A35=1,Inputs!$B$64,AX34))</f>
        <v>16879968.7194536</v>
      </c>
      <c r="AT35" s="0" t="n">
        <f aca="false">AS35*Inputs!$B$9</f>
        <v>42791.5413038575</v>
      </c>
      <c r="AU35" s="0" t="n">
        <f aca="false">(AS35-AT35)*Inputs!$C$64/12</f>
        <v>137503.613621556</v>
      </c>
      <c r="AV35" s="0" t="n">
        <f aca="false">IF(AR35&lt;=0,0,IF(AR35=1,AS35-AT35,MIN((AS35-AT35)*(Inputs!$C$64/12)/(1-(1+Inputs!$C$64/12)^(-AR35))-AU35,AS35-AT35)))</f>
        <v>328406.567231707</v>
      </c>
      <c r="AW35" s="0" t="n">
        <f aca="false">(AS35-AT35-AV35)*Inputs!$B$10</f>
        <v>144313.250020977</v>
      </c>
      <c r="AX35" s="0" t="n">
        <f aca="false">AS35-AT35-AV35-AW35</f>
        <v>16364457.3608971</v>
      </c>
      <c r="AY35" s="0" t="n">
        <f aca="false">Inputs!$D$65-(A35-1)</f>
        <v>43</v>
      </c>
      <c r="AZ35" s="0" t="n">
        <f aca="false">IF(AY35&lt;=0,0,IF(A35=1,Inputs!$B$65,BE34))</f>
        <v>17543645.5206617</v>
      </c>
      <c r="BA35" s="0" t="n">
        <f aca="false">AZ35*Inputs!$B$9</f>
        <v>44473.9942587956</v>
      </c>
      <c r="BB35" s="0" t="n">
        <f aca="false">(AZ35-BA35)*Inputs!$C$65/12</f>
        <v>150201.222268291</v>
      </c>
      <c r="BC35" s="0" t="n">
        <f aca="false">IF(AY35&lt;=0,0,IF(AY35=1,AZ35-BA35,MIN((AZ35-BA35)*(Inputs!$C$65/12)/(1-(1+Inputs!$C$65/12)^(-AY35))-BB35,AZ35-BA35)))</f>
        <v>338190.599622038</v>
      </c>
      <c r="BD35" s="0" t="n">
        <f aca="false">(AZ35-BA35-BC35)*Inputs!$B$10</f>
        <v>150014.618862889</v>
      </c>
      <c r="BE35" s="0" t="n">
        <f aca="false">AZ35-BA35-BC35-BD35</f>
        <v>17010966.307918</v>
      </c>
      <c r="BF35" s="0" t="n">
        <f aca="false">Inputs!$D$66-(A35-1)</f>
        <v>55</v>
      </c>
      <c r="BG35" s="0" t="n">
        <f aca="false">IF(BF35&lt;=0,0,IF(A35=1,Inputs!$B$66,BL34))</f>
        <v>19081389.6381624</v>
      </c>
      <c r="BH35" s="0" t="n">
        <f aca="false">BG35*Inputs!$B$9</f>
        <v>48372.2503523013</v>
      </c>
      <c r="BI35" s="0" t="n">
        <f aca="false">(BG35-BH35)*Inputs!$C$66/12</f>
        <v>167331.944534497</v>
      </c>
      <c r="BJ35" s="0" t="n">
        <f aca="false">IF(BF35&lt;=0,0,IF(BF35=1,BG35-BH35,MIN((BG35-BH35)*(Inputs!$C$66/12)/(1-(1+Inputs!$C$66/12)^(-BF35))-BI35,BG35-BH35)))</f>
        <v>270595.276434032</v>
      </c>
      <c r="BK35" s="0" t="n">
        <f aca="false">(BG35-BH35-BJ35)*Inputs!$B$10</f>
        <v>164013.794665449</v>
      </c>
      <c r="BL35" s="0" t="n">
        <f aca="false">BG35-BH35-BJ35-BK35</f>
        <v>18598408.3167106</v>
      </c>
      <c r="BM35" s="0" t="n">
        <f aca="false">Inputs!$D$67-(A35-1)</f>
        <v>55</v>
      </c>
      <c r="BN35" s="0" t="n">
        <f aca="false">IF(BM35&lt;=0,0,IF(A35=1,Inputs!$B$67,BS34))</f>
        <v>25120703.8086994</v>
      </c>
      <c r="BO35" s="0" t="n">
        <f aca="false">BN35*Inputs!$B$9</f>
        <v>63682.2053688453</v>
      </c>
      <c r="BP35" s="0" t="n">
        <f aca="false">(BN35-BO35)*Inputs!$C$67/12</f>
        <v>230733.407264002</v>
      </c>
      <c r="BQ35" s="0" t="n">
        <f aca="false">IF(BM35&lt;=0,0,IF(BM35=1,BN35-BO35,MIN((BN35-BO35)*(Inputs!$C$67/12)/(1-(1+Inputs!$C$67/12)^(-BM35))-BP35,BN35-BO35)))</f>
        <v>351962.573911603</v>
      </c>
      <c r="BR35" s="0" t="n">
        <f aca="false">(BN35-BO35-BQ35)*Inputs!$B$10</f>
        <v>215962.014647997</v>
      </c>
      <c r="BS35" s="0" t="n">
        <f aca="false">BN35-BO35-BQ35-BR35</f>
        <v>24489097.0147709</v>
      </c>
      <c r="BT35" s="0" t="n">
        <f aca="false">C35+J35+Q35+X35+AE35+AL35+AS35+AZ35+BG35+BN35</f>
        <v>159823698.470359</v>
      </c>
      <c r="BU35" s="0" t="n">
        <f aca="false">D35+K35+R35+Y35+AF35+AM35+AT35+BA35+BH35+BO35</f>
        <v>405160.845265536</v>
      </c>
      <c r="BV35" s="0" t="n">
        <f aca="false">E35+L35+S35+Z35+AG35+AN35+AU35+BB35+BI35+BP35</f>
        <v>1259019.24771797</v>
      </c>
      <c r="BW35" s="0" t="n">
        <f aca="false">F35+M35+T35+AA35+AH35+AO35+AV35+BC35+BJ35+BQ35</f>
        <v>4910438.52532819</v>
      </c>
      <c r="BX35" s="0" t="n">
        <f aca="false">G35+N35+U35+AB35+AI35+AP35+AW35+BD35+BK35+BR35</f>
        <v>1350649.69167987</v>
      </c>
      <c r="BY35" s="0" t="n">
        <f aca="false">H35+O35+V35+AC35+AJ35+AQ35+AX35+BE35+BL35+BS35</f>
        <v>153157449.408085</v>
      </c>
      <c r="BZ35" s="0" t="n">
        <f aca="false">IF(A35&gt;Inputs!$B$7,(1-Inputs!$B$6)*INDEX($BU$6:$BU$125,A35-Inputs!$B$7),0)</f>
        <v>307057.640398599</v>
      </c>
      <c r="CA35" s="0" t="n">
        <f aca="false">CA34+(1-Inputs!$B$6)*BU35-BZ35</f>
        <v>1615836.19603996</v>
      </c>
      <c r="CB35" s="0" t="n">
        <f aca="false">BY35+CA35</f>
        <v>154773285.604125</v>
      </c>
      <c r="CC35" s="0" t="n">
        <f aca="false">BV35+BW35+BX35+BZ35</f>
        <v>7827165.10512464</v>
      </c>
      <c r="CD35" s="0" t="n">
        <f aca="false">CD34+BU35-BZ35</f>
        <v>9894979.49496776</v>
      </c>
    </row>
    <row r="36" customFormat="false" ht="15" hidden="false" customHeight="false" outlineLevel="0" collapsed="false">
      <c r="A36" s="0" t="n">
        <f aca="false">ROW()-5</f>
        <v>31</v>
      </c>
      <c r="B36" s="0" t="n">
        <f aca="false">Inputs!$D$58-(A36-1)</f>
        <v>6</v>
      </c>
      <c r="C36" s="0" t="n">
        <f aca="false">IF(B36&lt;=0,0,IF(A36=1,Inputs!$B$58,H35))</f>
        <v>5059643.94541095</v>
      </c>
      <c r="D36" s="0" t="n">
        <f aca="false">C36*Inputs!$B$9</f>
        <v>12826.4433703212</v>
      </c>
      <c r="E36" s="0" t="n">
        <f aca="false">(C36-D36)*Inputs!$C$58/12</f>
        <v>30701.4731374138</v>
      </c>
      <c r="F36" s="0" t="n">
        <f aca="false">IF(B36&lt;=0,0,IF(B36=1,C36-D36,MIN((C36-D36)*(Inputs!$C$58/12)/(1-(1+Inputs!$C$58/12)^(-B36))-E36,C36-D36)))</f>
        <v>828434.482433341</v>
      </c>
      <c r="G36" s="0" t="n">
        <f aca="false">(C36-D36-F36)*Inputs!$B$10</f>
        <v>36875.4632153057</v>
      </c>
      <c r="H36" s="0" t="n">
        <f aca="false">C36-D36-F36-G36</f>
        <v>4181507.55639198</v>
      </c>
      <c r="I36" s="0" t="n">
        <f aca="false">Inputs!$D$59-(A36-1)</f>
        <v>18</v>
      </c>
      <c r="J36" s="0" t="n">
        <f aca="false">IF(I36&lt;=0,0,IF(A36=1,Inputs!$B$59,O35))</f>
        <v>22142053.2610931</v>
      </c>
      <c r="K36" s="0" t="n">
        <f aca="false">J36*Inputs!$B$9</f>
        <v>56131.1814270323</v>
      </c>
      <c r="L36" s="0" t="n">
        <f aca="false">(J36-K36)*Inputs!$C$59/12</f>
        <v>143558.49351783</v>
      </c>
      <c r="M36" s="0" t="n">
        <f aca="false">IF(I36&lt;=0,0,IF(I36=1,J36-K36,MIN((J36-K36)*(Inputs!$C$59/12)/(1-(1+Inputs!$C$59/12)^(-I36))-L36,J36-K36)))</f>
        <v>1160594.70397089</v>
      </c>
      <c r="N36" s="0" t="n">
        <f aca="false">(J36-K36-M36)*Inputs!$B$10</f>
        <v>182921.071017993</v>
      </c>
      <c r="O36" s="0" t="n">
        <f aca="false">J36-K36-M36-N36</f>
        <v>20742406.3046772</v>
      </c>
      <c r="P36" s="0" t="n">
        <f aca="false">Inputs!$D$60-(A36-1)</f>
        <v>18</v>
      </c>
      <c r="Q36" s="0" t="n">
        <f aca="false">IF(P36&lt;=0,0,IF(A36=1,Inputs!$B$60,V35))</f>
        <v>6371226.36399379</v>
      </c>
      <c r="R36" s="0" t="n">
        <f aca="false">Q36*Inputs!$B$9</f>
        <v>16151.3685624822</v>
      </c>
      <c r="S36" s="0" t="n">
        <f aca="false">(Q36-R36)*Inputs!$C$60/12</f>
        <v>43955.9353850665</v>
      </c>
      <c r="T36" s="0" t="n">
        <f aca="false">IF(P36&lt;=0,0,IF(P36=1,Q36-R36,MIN((Q36-R36)*(Inputs!$C$60/12)/(1-(1+Inputs!$C$60/12)^(-P36))-S36,Q36-R36)))</f>
        <v>332755.706146599</v>
      </c>
      <c r="U36" s="0" t="n">
        <f aca="false">(Q36-R36-T36)*Inputs!$B$10</f>
        <v>52644.7722718926</v>
      </c>
      <c r="V36" s="0" t="n">
        <f aca="false">Q36-R36-T36-U36</f>
        <v>5969674.51701281</v>
      </c>
      <c r="W36" s="0" t="n">
        <f aca="false">Inputs!$D$61-(A36-1)</f>
        <v>30</v>
      </c>
      <c r="X36" s="0" t="n">
        <f aca="false">IF(W36&lt;=0,0,IF(A36=1,Inputs!$B$61,AC35))</f>
        <v>26538100.1676138</v>
      </c>
      <c r="Y36" s="0" t="n">
        <f aca="false">X36*Inputs!$B$9</f>
        <v>67275.3740437686</v>
      </c>
      <c r="Z36" s="0" t="n">
        <f aca="false">(X36-Y36)*Inputs!$C$61/12</f>
        <v>194119.381819514</v>
      </c>
      <c r="AA36" s="0" t="n">
        <f aca="false">IF(W36&lt;=0,0,IF(W36=1,X36-Y36,MIN((X36-Y36)*(Inputs!$C$61/12)/(1-(1+Inputs!$C$61/12)^(-W36))-Z36,X36-Y36)))</f>
        <v>792075.552110645</v>
      </c>
      <c r="AB36" s="0" t="n">
        <f aca="false">(X36-Y36-AA36)*Inputs!$B$10</f>
        <v>224473.635672052</v>
      </c>
      <c r="AC36" s="0" t="n">
        <f aca="false">X36-Y36-AA36-AB36</f>
        <v>25454275.6057873</v>
      </c>
      <c r="AD36" s="0" t="n">
        <f aca="false">Inputs!$D$62-(A36-1)</f>
        <v>30</v>
      </c>
      <c r="AE36" s="0" t="n">
        <f aca="false">IF(AD36&lt;=0,0,IF(A36=1,Inputs!$B$62,AJ35))</f>
        <v>7544767.18399294</v>
      </c>
      <c r="AF36" s="0" t="n">
        <f aca="false">AE36*Inputs!$B$9</f>
        <v>19126.3515915018</v>
      </c>
      <c r="AG36" s="0" t="n">
        <f aca="false">(AE36-AF36)*Inputs!$C$62/12</f>
        <v>58323.7164511112</v>
      </c>
      <c r="AH36" s="0" t="n">
        <f aca="false">IF(AD36&lt;=0,0,IF(AD36=1,AE36-AF36,MIN((AE36-AF36)*(Inputs!$C$62/12)/(1-(1+Inputs!$C$62/12)^(-AD36))-AG36,AE36-AF36)))</f>
        <v>223788.307987932</v>
      </c>
      <c r="AI36" s="0" t="n">
        <f aca="false">(AE36-AF36-AH36)*Inputs!$B$10</f>
        <v>63829.954016993</v>
      </c>
      <c r="AJ36" s="0" t="n">
        <f aca="false">AE36-AF36-AH36-AI36</f>
        <v>7238022.57039652</v>
      </c>
      <c r="AK36" s="0" t="n">
        <f aca="false">Inputs!$D$63-(A36-1)</f>
        <v>30</v>
      </c>
      <c r="AL36" s="0" t="n">
        <f aca="false">IF(AK36&lt;=0,0,IF(A36=1,Inputs!$B$63,AQ35))</f>
        <v>9038729.48568404</v>
      </c>
      <c r="AM36" s="0" t="n">
        <f aca="false">AL36*Inputs!$B$9</f>
        <v>22913.6186535281</v>
      </c>
      <c r="AN36" s="0" t="n">
        <f aca="false">(AL36-AM36)*Inputs!$C$63/12</f>
        <v>71750.8679417845</v>
      </c>
      <c r="AO36" s="0" t="n">
        <f aca="false">IF(AK36&lt;=0,0,IF(AK36=1,AL36-AM36,MIN((AL36-AM36)*(Inputs!$C$63/12)/(1-(1+Inputs!$C$63/12)^(-AK36))-AN36,AL36-AM36)))</f>
        <v>267266.583992225</v>
      </c>
      <c r="AP36" s="0" t="n">
        <f aca="false">(AL36-AM36-AO36)*Inputs!$B$10</f>
        <v>76476.4142503116</v>
      </c>
      <c r="AQ36" s="0" t="n">
        <f aca="false">AL36-AM36-AO36-AP36</f>
        <v>8672072.86878797</v>
      </c>
      <c r="AR36" s="0" t="n">
        <f aca="false">Inputs!$D$64-(A36-1)</f>
        <v>42</v>
      </c>
      <c r="AS36" s="0" t="n">
        <f aca="false">IF(AR36&lt;=0,0,IF(A36=1,Inputs!$B$64,AX35))</f>
        <v>16364457.3608971</v>
      </c>
      <c r="AT36" s="0" t="n">
        <f aca="false">AS36*Inputs!$B$9</f>
        <v>41484.6949489317</v>
      </c>
      <c r="AU36" s="0" t="n">
        <f aca="false">(AS36-AT36)*Inputs!$C$64/12</f>
        <v>133304.27677191</v>
      </c>
      <c r="AV36" s="0" t="n">
        <f aca="false">IF(AR36&lt;=0,0,IF(AR36=1,AS36-AT36,MIN((AS36-AT36)*(Inputs!$C$64/12)/(1-(1+Inputs!$C$64/12)^(-AR36))-AU36,AS36-AT36)))</f>
        <v>327362.318342398</v>
      </c>
      <c r="AW36" s="0" t="n">
        <f aca="false">(AS36-AT36-AV36)*Inputs!$B$10</f>
        <v>139827.402641691</v>
      </c>
      <c r="AX36" s="0" t="n">
        <f aca="false">AS36-AT36-AV36-AW36</f>
        <v>15855782.9449641</v>
      </c>
      <c r="AY36" s="0" t="n">
        <f aca="false">Inputs!$D$65-(A36-1)</f>
        <v>42</v>
      </c>
      <c r="AZ36" s="0" t="n">
        <f aca="false">IF(AY36&lt;=0,0,IF(A36=1,Inputs!$B$65,BE35))</f>
        <v>17010966.307918</v>
      </c>
      <c r="BA36" s="0" t="n">
        <f aca="false">AZ36*Inputs!$B$9</f>
        <v>43123.62655891</v>
      </c>
      <c r="BB36" s="0" t="n">
        <f aca="false">(AZ36-BA36)*Inputs!$C$65/12</f>
        <v>145640.649681665</v>
      </c>
      <c r="BC36" s="0" t="n">
        <f aca="false">IF(AY36&lt;=0,0,IF(AY36=1,AZ36-BA36,MIN((AZ36-BA36)*(Inputs!$C$65/12)/(1-(1+Inputs!$C$65/12)^(-AY36))-BB36,AZ36-BA36)))</f>
        <v>337254.566859547</v>
      </c>
      <c r="BD36" s="0" t="n">
        <f aca="false">(AZ36-BA36-BC36)*Inputs!$B$10</f>
        <v>145378.131244758</v>
      </c>
      <c r="BE36" s="0" t="n">
        <f aca="false">AZ36-BA36-BC36-BD36</f>
        <v>16485209.9832547</v>
      </c>
      <c r="BF36" s="0" t="n">
        <f aca="false">Inputs!$D$66-(A36-1)</f>
        <v>54</v>
      </c>
      <c r="BG36" s="0" t="n">
        <f aca="false">IF(BF36&lt;=0,0,IF(A36=1,Inputs!$B$66,BL35))</f>
        <v>18598408.3167106</v>
      </c>
      <c r="BH36" s="0" t="n">
        <f aca="false">BG36*Inputs!$B$9</f>
        <v>47147.869222846</v>
      </c>
      <c r="BI36" s="0" t="n">
        <f aca="false">(BG36-BH36)*Inputs!$C$66/12</f>
        <v>163096.49810083</v>
      </c>
      <c r="BJ36" s="0" t="n">
        <f aca="false">IF(BF36&lt;=0,0,IF(BF36=1,BG36-BH36,MIN((BG36-BH36)*(Inputs!$C$66/12)/(1-(1+Inputs!$C$66/12)^(-BF36))-BI36,BG36-BH36)))</f>
        <v>269902.071327255</v>
      </c>
      <c r="BK36" s="0" t="n">
        <f aca="false">(BG36-BH36-BJ36)*Inputs!$B$10</f>
        <v>159808.522647781</v>
      </c>
      <c r="BL36" s="0" t="n">
        <f aca="false">BG36-BH36-BJ36-BK36</f>
        <v>18121549.8535127</v>
      </c>
      <c r="BM36" s="0" t="n">
        <f aca="false">Inputs!$D$67-(A36-1)</f>
        <v>54</v>
      </c>
      <c r="BN36" s="0" t="n">
        <f aca="false">IF(BM36&lt;=0,0,IF(A36=1,Inputs!$B$67,BS35))</f>
        <v>24489097.0147709</v>
      </c>
      <c r="BO36" s="0" t="n">
        <f aca="false">BN36*Inputs!$B$9</f>
        <v>62081.0514414072</v>
      </c>
      <c r="BP36" s="0" t="n">
        <f aca="false">(BN36-BO36)*Inputs!$C$67/12</f>
        <v>224932.105328992</v>
      </c>
      <c r="BQ36" s="0" t="n">
        <f aca="false">IF(BM36&lt;=0,0,IF(BM36=1,BN36-BO36,MIN((BN36-BO36)*(Inputs!$C$67/12)/(1-(1+Inputs!$C$67/12)^(-BM36))-BP36,BN36-BO36)))</f>
        <v>351205.924416052</v>
      </c>
      <c r="BR36" s="0" t="n">
        <f aca="false">(BN36-BO36-BQ36)*Inputs!$B$10</f>
        <v>210461.364779363</v>
      </c>
      <c r="BS36" s="0" t="n">
        <f aca="false">BN36-BO36-BQ36-BR36</f>
        <v>23865348.6741341</v>
      </c>
      <c r="BT36" s="0" t="n">
        <f aca="false">C36+J36+Q36+X36+AE36+AL36+AS36+AZ36+BG36+BN36</f>
        <v>153157449.408085</v>
      </c>
      <c r="BU36" s="0" t="n">
        <f aca="false">D36+K36+R36+Y36+AF36+AM36+AT36+BA36+BH36+BO36</f>
        <v>388261.579820729</v>
      </c>
      <c r="BV36" s="0" t="n">
        <f aca="false">E36+L36+S36+Z36+AG36+AN36+AU36+BB36+BI36+BP36</f>
        <v>1209383.39813612</v>
      </c>
      <c r="BW36" s="0" t="n">
        <f aca="false">F36+M36+T36+AA36+AH36+AO36+AV36+BC36+BJ36+BQ36</f>
        <v>4890640.21758688</v>
      </c>
      <c r="BX36" s="0" t="n">
        <f aca="false">G36+N36+U36+AB36+AI36+AP36+AW36+BD36+BK36+BR36</f>
        <v>1292696.73175814</v>
      </c>
      <c r="BY36" s="0" t="n">
        <f aca="false">H36+O36+V36+AC36+AJ36+AQ36+AX36+BE36+BL36+BS36</f>
        <v>146585850.878919</v>
      </c>
      <c r="BZ36" s="0" t="n">
        <f aca="false">IF(A36&gt;Inputs!$B$7,(1-Inputs!$B$6)*INDEX($BU$6:$BU$125,A36-Inputs!$B$7),0)</f>
        <v>296016.41661686</v>
      </c>
      <c r="CA36" s="0" t="n">
        <f aca="false">CA35+(1-Inputs!$B$6)*BU36-BZ36</f>
        <v>1552776.72731554</v>
      </c>
      <c r="CB36" s="0" t="n">
        <f aca="false">BY36+CA36</f>
        <v>148138627.606235</v>
      </c>
      <c r="CC36" s="0" t="n">
        <f aca="false">BV36+BW36+BX36+BZ36</f>
        <v>7688736.764098</v>
      </c>
      <c r="CD36" s="0" t="n">
        <f aca="false">CD35+BU36-BZ36</f>
        <v>9987224.65817163</v>
      </c>
    </row>
    <row r="37" customFormat="false" ht="15" hidden="false" customHeight="false" outlineLevel="0" collapsed="false">
      <c r="A37" s="0" t="n">
        <f aca="false">ROW()-5</f>
        <v>32</v>
      </c>
      <c r="B37" s="0" t="n">
        <f aca="false">Inputs!$D$58-(A37-1)</f>
        <v>5</v>
      </c>
      <c r="C37" s="0" t="n">
        <f aca="false">IF(B37&lt;=0,0,IF(A37=1,Inputs!$B$58,H36))</f>
        <v>4181507.55639198</v>
      </c>
      <c r="D37" s="0" t="n">
        <f aca="false">C37*Inputs!$B$9</f>
        <v>10600.3249345791</v>
      </c>
      <c r="E37" s="0" t="n">
        <f aca="false">(C37-D37)*Inputs!$C$58/12</f>
        <v>25373.0189913659</v>
      </c>
      <c r="F37" s="0" t="n">
        <f aca="false">IF(B37&lt;=0,0,IF(B37=1,C37-D37,MIN((C37-D37)*(Inputs!$C$58/12)/(1-(1+Inputs!$C$58/12)^(-B37))-E37,C37-D37)))</f>
        <v>824093.791689268</v>
      </c>
      <c r="G37" s="0" t="n">
        <f aca="false">(C37-D37-F37)*Inputs!$B$10</f>
        <v>29256.5410284033</v>
      </c>
      <c r="H37" s="0" t="n">
        <f aca="false">C37-D37-F37-G37</f>
        <v>3317556.89873973</v>
      </c>
      <c r="I37" s="0" t="n">
        <f aca="false">Inputs!$D$59-(A37-1)</f>
        <v>17</v>
      </c>
      <c r="J37" s="0" t="n">
        <f aca="false">IF(I37&lt;=0,0,IF(A37=1,Inputs!$B$59,O36))</f>
        <v>20742406.3046772</v>
      </c>
      <c r="K37" s="0" t="n">
        <f aca="false">J37*Inputs!$B$9</f>
        <v>52583.0083503094</v>
      </c>
      <c r="L37" s="0" t="n">
        <f aca="false">(J37-K37)*Inputs!$C$59/12</f>
        <v>134483.851426125</v>
      </c>
      <c r="M37" s="0" t="n">
        <f aca="false">IF(I37&lt;=0,0,IF(I37=1,J37-K37,MIN((J37-K37)*(Inputs!$C$59/12)/(1-(1+Inputs!$C$59/12)^(-I37))-L37,J37-K37)))</f>
        <v>1154991.75499721</v>
      </c>
      <c r="N37" s="0" t="n">
        <f aca="false">(J37-K37-M37)*Inputs!$B$10</f>
        <v>170765.897399843</v>
      </c>
      <c r="O37" s="0" t="n">
        <f aca="false">J37-K37-M37-N37</f>
        <v>19364065.6439299</v>
      </c>
      <c r="P37" s="0" t="n">
        <f aca="false">Inputs!$D$60-(A37-1)</f>
        <v>17</v>
      </c>
      <c r="Q37" s="0" t="n">
        <f aca="false">IF(P37&lt;=0,0,IF(A37=1,Inputs!$B$60,V36))</f>
        <v>5969674.51701281</v>
      </c>
      <c r="R37" s="0" t="n">
        <f aca="false">Q37*Inputs!$B$9</f>
        <v>15133.4151094095</v>
      </c>
      <c r="S37" s="0" t="n">
        <f aca="false">(Q37-R37)*Inputs!$C$60/12</f>
        <v>41185.5759548319</v>
      </c>
      <c r="T37" s="0" t="n">
        <f aca="false">IF(P37&lt;=0,0,IF(P37=1,Q37-R37,MIN((Q37-R37)*(Inputs!$C$60/12)/(1-(1+Inputs!$C$60/12)^(-P37))-S37,Q37-R37)))</f>
        <v>331286.364723728</v>
      </c>
      <c r="U37" s="0" t="n">
        <f aca="false">(Q37-R37-T37)*Inputs!$B$10</f>
        <v>49156.3052115801</v>
      </c>
      <c r="V37" s="0" t="n">
        <f aca="false">Q37-R37-T37-U37</f>
        <v>5574098.43196809</v>
      </c>
      <c r="W37" s="0" t="n">
        <f aca="false">Inputs!$D$61-(A37-1)</f>
        <v>29</v>
      </c>
      <c r="X37" s="0" t="n">
        <f aca="false">IF(W37&lt;=0,0,IF(A37=1,Inputs!$B$61,AC36))</f>
        <v>25454275.6057873</v>
      </c>
      <c r="Y37" s="0" t="n">
        <f aca="false">X37*Inputs!$B$9</f>
        <v>64527.8260906682</v>
      </c>
      <c r="Z37" s="0" t="n">
        <f aca="false">(X37-Y37)*Inputs!$C$61/12</f>
        <v>186191.483717776</v>
      </c>
      <c r="AA37" s="0" t="n">
        <f aca="false">IF(W37&lt;=0,0,IF(W37=1,X37-Y37,MIN((X37-Y37)*(Inputs!$C$61/12)/(1-(1+Inputs!$C$61/12)^(-W37))-Z37,X37-Y37)))</f>
        <v>788904.320157067</v>
      </c>
      <c r="AB37" s="0" t="n">
        <f aca="false">(X37-Y37-AA37)*Inputs!$B$10</f>
        <v>215051.002680691</v>
      </c>
      <c r="AC37" s="0" t="n">
        <f aca="false">X37-Y37-AA37-AB37</f>
        <v>24385792.4568589</v>
      </c>
      <c r="AD37" s="0" t="n">
        <f aca="false">Inputs!$D$62-(A37-1)</f>
        <v>29</v>
      </c>
      <c r="AE37" s="0" t="n">
        <f aca="false">IF(AD37&lt;=0,0,IF(A37=1,Inputs!$B$62,AJ36))</f>
        <v>7238022.57039652</v>
      </c>
      <c r="AF37" s="0" t="n">
        <f aca="false">AE37*Inputs!$B$9</f>
        <v>18348.7390840024</v>
      </c>
      <c r="AG37" s="0" t="n">
        <f aca="false">(AE37-AF37)*Inputs!$C$62/12</f>
        <v>55952.472192672</v>
      </c>
      <c r="AH37" s="0" t="n">
        <f aca="false">IF(AD37&lt;=0,0,IF(AD37=1,AE37-AF37,MIN((AE37-AF37)*(Inputs!$C$62/12)/(1-(1+Inputs!$C$62/12)^(-AD37))-AG37,AE37-AF37)))</f>
        <v>222984.522704352</v>
      </c>
      <c r="AI37" s="0" t="n">
        <f aca="false">(AE37-AF37-AH37)*Inputs!$B$10</f>
        <v>61162.3359067385</v>
      </c>
      <c r="AJ37" s="0" t="n">
        <f aca="false">AE37-AF37-AH37-AI37</f>
        <v>6935526.97270142</v>
      </c>
      <c r="AK37" s="0" t="n">
        <f aca="false">Inputs!$D$63-(A37-1)</f>
        <v>29</v>
      </c>
      <c r="AL37" s="0" t="n">
        <f aca="false">IF(AK37&lt;=0,0,IF(A37=1,Inputs!$B$63,AQ36))</f>
        <v>8672072.86878797</v>
      </c>
      <c r="AM37" s="0" t="n">
        <f aca="false">AL37*Inputs!$B$9</f>
        <v>21984.1263051117</v>
      </c>
      <c r="AN37" s="0" t="n">
        <f aca="false">(AL37-AM37)*Inputs!$C$63/12</f>
        <v>68840.2895755928</v>
      </c>
      <c r="AO37" s="0" t="n">
        <f aca="false">IF(AK37&lt;=0,0,IF(AK37=1,AL37-AM37,MIN((AL37-AM37)*(Inputs!$C$63/12)/(1-(1+Inputs!$C$63/12)^(-AK37))-AN37,AL37-AM37)))</f>
        <v>266361.690730468</v>
      </c>
      <c r="AP37" s="0" t="n">
        <f aca="false">(AL37-AM37-AO37)*Inputs!$B$10</f>
        <v>73287.2802367859</v>
      </c>
      <c r="AQ37" s="0" t="n">
        <f aca="false">AL37-AM37-AO37-AP37</f>
        <v>8310439.7715156</v>
      </c>
      <c r="AR37" s="0" t="n">
        <f aca="false">Inputs!$D$64-(A37-1)</f>
        <v>41</v>
      </c>
      <c r="AS37" s="0" t="n">
        <f aca="false">IF(AR37&lt;=0,0,IF(A37=1,Inputs!$B$64,AX36))</f>
        <v>15855782.9449641</v>
      </c>
      <c r="AT37" s="0" t="n">
        <f aca="false">AS37*Inputs!$B$9</f>
        <v>40195.1805759265</v>
      </c>
      <c r="AU37" s="0" t="n">
        <f aca="false">(AS37-AT37)*Inputs!$C$64/12</f>
        <v>129160.63340917</v>
      </c>
      <c r="AV37" s="0" t="n">
        <f aca="false">IF(AR37&lt;=0,0,IF(AR37=1,AS37-AT37,MIN((AS37-AT37)*(Inputs!$C$64/12)/(1-(1+Inputs!$C$64/12)^(-AR37))-AU37,AS37-AT37)))</f>
        <v>326321.389897476</v>
      </c>
      <c r="AW37" s="0" t="n">
        <f aca="false">(AS37-AT37-AV37)*Inputs!$B$10</f>
        <v>135401.140619463</v>
      </c>
      <c r="AX37" s="0" t="n">
        <f aca="false">AS37-AT37-AV37-AW37</f>
        <v>15353865.2338712</v>
      </c>
      <c r="AY37" s="0" t="n">
        <f aca="false">Inputs!$D$65-(A37-1)</f>
        <v>41</v>
      </c>
      <c r="AZ37" s="0" t="n">
        <f aca="false">IF(AY37&lt;=0,0,IF(A37=1,Inputs!$B$65,BE36))</f>
        <v>16485209.9832547</v>
      </c>
      <c r="BA37" s="0" t="n">
        <f aca="false">AZ37*Inputs!$B$9</f>
        <v>41790.8087168566</v>
      </c>
      <c r="BB37" s="0" t="n">
        <f aca="false">(AZ37-BA37)*Inputs!$C$65/12</f>
        <v>141139.347914783</v>
      </c>
      <c r="BC37" s="0" t="n">
        <f aca="false">IF(AY37&lt;=0,0,IF(AY37=1,AZ37-BA37,MIN((AZ37-BA37)*(Inputs!$C$65/12)/(1-(1+Inputs!$C$65/12)^(-AY37))-BB37,AZ37-BA37)))</f>
        <v>336321.124817594</v>
      </c>
      <c r="BD37" s="0" t="n">
        <f aca="false">(AZ37-BA37-BC37)*Inputs!$B$10</f>
        <v>140801.984759809</v>
      </c>
      <c r="BE37" s="0" t="n">
        <f aca="false">AZ37-BA37-BC37-BD37</f>
        <v>15966296.0649605</v>
      </c>
      <c r="BF37" s="0" t="n">
        <f aca="false">Inputs!$D$66-(A37-1)</f>
        <v>53</v>
      </c>
      <c r="BG37" s="0" t="n">
        <f aca="false">IF(BF37&lt;=0,0,IF(A37=1,Inputs!$B$66,BL36))</f>
        <v>18121549.8535127</v>
      </c>
      <c r="BH37" s="0" t="n">
        <f aca="false">BG37*Inputs!$B$9</f>
        <v>45939.0098367199</v>
      </c>
      <c r="BI37" s="0" t="n">
        <f aca="false">(BG37-BH37)*Inputs!$C$66/12</f>
        <v>158914.745333985</v>
      </c>
      <c r="BJ37" s="0" t="n">
        <f aca="false">IF(BF37&lt;=0,0,IF(BF37=1,BG37-BH37,MIN((BG37-BH37)*(Inputs!$C$66/12)/(1-(1+Inputs!$C$66/12)^(-BF37))-BI37,BG37-BH37)))</f>
        <v>269210.642058277</v>
      </c>
      <c r="BK37" s="0" t="n">
        <f aca="false">(BG37-BH37-BJ37)*Inputs!$B$10</f>
        <v>155656.623066175</v>
      </c>
      <c r="BL37" s="0" t="n">
        <f aca="false">BG37-BH37-BJ37-BK37</f>
        <v>17650743.5785516</v>
      </c>
      <c r="BM37" s="0" t="n">
        <f aca="false">Inputs!$D$67-(A37-1)</f>
        <v>53</v>
      </c>
      <c r="BN37" s="0" t="n">
        <f aca="false">IF(BM37&lt;=0,0,IF(A37=1,Inputs!$B$67,BS36))</f>
        <v>23865348.6741341</v>
      </c>
      <c r="BO37" s="0" t="n">
        <f aca="false">BN37*Inputs!$B$9</f>
        <v>60499.8190750929</v>
      </c>
      <c r="BP37" s="0" t="n">
        <f aca="false">(BN37-BO37)*Inputs!$C$67/12</f>
        <v>219202.983207002</v>
      </c>
      <c r="BQ37" s="0" t="n">
        <f aca="false">IF(BM37&lt;=0,0,IF(BM37=1,BN37-BO37,MIN((BN37-BO37)*(Inputs!$C$67/12)/(1-(1+Inputs!$C$67/12)^(-BM37))-BP37,BN37-BO37)))</f>
        <v>350450.901566348</v>
      </c>
      <c r="BR37" s="0" t="n">
        <f aca="false">(BN37-BO37-BQ37)*Inputs!$B$10</f>
        <v>205029.222086068</v>
      </c>
      <c r="BS37" s="0" t="n">
        <f aca="false">BN37-BO37-BQ37-BR37</f>
        <v>23249368.7314066</v>
      </c>
      <c r="BT37" s="0" t="n">
        <f aca="false">C37+J37+Q37+X37+AE37+AL37+AS37+AZ37+BG37+BN37</f>
        <v>146585850.878919</v>
      </c>
      <c r="BU37" s="0" t="n">
        <f aca="false">D37+K37+R37+Y37+AF37+AM37+AT37+BA37+BH37+BO37</f>
        <v>371602.258078676</v>
      </c>
      <c r="BV37" s="0" t="n">
        <f aca="false">E37+L37+S37+Z37+AG37+AN37+AU37+BB37+BI37+BP37</f>
        <v>1160444.4017233</v>
      </c>
      <c r="BW37" s="0" t="n">
        <f aca="false">F37+M37+T37+AA37+AH37+AO37+AV37+BC37+BJ37+BQ37</f>
        <v>4870926.50334179</v>
      </c>
      <c r="BX37" s="0" t="n">
        <f aca="false">G37+N37+U37+AB37+AI37+AP37+AW37+BD37+BK37+BR37</f>
        <v>1235568.33299556</v>
      </c>
      <c r="BY37" s="0" t="n">
        <f aca="false">H37+O37+V37+AC37+AJ37+AQ37+AX37+BE37+BL37+BS37</f>
        <v>140107753.784503</v>
      </c>
      <c r="BZ37" s="0" t="n">
        <f aca="false">IF(A37&gt;Inputs!$B$7,(1-Inputs!$B$6)*INDEX($BU$6:$BU$125,A37-Inputs!$B$7),0)</f>
        <v>285130.08420392</v>
      </c>
      <c r="CA37" s="0" t="n">
        <f aca="false">CA36+(1-Inputs!$B$6)*BU37-BZ37</f>
        <v>1490607.99795882</v>
      </c>
      <c r="CB37" s="0" t="n">
        <f aca="false">BY37+CA37</f>
        <v>141598361.782462</v>
      </c>
      <c r="CC37" s="0" t="n">
        <f aca="false">BV37+BW37+BX37+BZ37</f>
        <v>7552069.32226456</v>
      </c>
      <c r="CD37" s="0" t="n">
        <f aca="false">CD36+BU37-BZ37</f>
        <v>10073696.8320464</v>
      </c>
    </row>
    <row r="38" customFormat="false" ht="15" hidden="false" customHeight="false" outlineLevel="0" collapsed="false">
      <c r="A38" s="0" t="n">
        <f aca="false">ROW()-5</f>
        <v>33</v>
      </c>
      <c r="B38" s="0" t="n">
        <f aca="false">Inputs!$D$58-(A38-1)</f>
        <v>4</v>
      </c>
      <c r="C38" s="0" t="n">
        <f aca="false">IF(B38&lt;=0,0,IF(A38=1,Inputs!$B$58,H37))</f>
        <v>3317556.89873973</v>
      </c>
      <c r="D38" s="0" t="n">
        <f aca="false">C38*Inputs!$B$9</f>
        <v>8410.1680174745</v>
      </c>
      <c r="E38" s="0" t="n">
        <f aca="false">(C38-D38)*Inputs!$C$58/12</f>
        <v>20130.6426118937</v>
      </c>
      <c r="F38" s="0" t="n">
        <f aca="false">IF(B38&lt;=0,0,IF(B38=1,C38-D38,MIN((C38-D38)*(Inputs!$C$58/12)/(1-(1+Inputs!$C$58/12)^(-B38))-E38,C38-D38)))</f>
        <v>819775.84456166</v>
      </c>
      <c r="G38" s="0" t="n">
        <f aca="false">(C38-D38-F38)*Inputs!$B$10</f>
        <v>21761.1118087646</v>
      </c>
      <c r="H38" s="0" t="n">
        <f aca="false">C38-D38-F38-G38</f>
        <v>2467609.77435183</v>
      </c>
      <c r="I38" s="0" t="n">
        <f aca="false">Inputs!$D$59-(A38-1)</f>
        <v>16</v>
      </c>
      <c r="J38" s="0" t="n">
        <f aca="false">IF(I38&lt;=0,0,IF(A38=1,Inputs!$B$59,O37))</f>
        <v>19364065.6439299</v>
      </c>
      <c r="K38" s="0" t="n">
        <f aca="false">J38*Inputs!$B$9</f>
        <v>49088.8477688871</v>
      </c>
      <c r="L38" s="0" t="n">
        <f aca="false">(J38-K38)*Inputs!$C$59/12</f>
        <v>125547.349175046</v>
      </c>
      <c r="M38" s="0" t="n">
        <f aca="false">IF(I38&lt;=0,0,IF(I38=1,J38-K38,MIN((J38-K38)*(Inputs!$C$59/12)/(1-(1+Inputs!$C$59/12)^(-I38))-L38,J38-K38)))</f>
        <v>1149415.85511921</v>
      </c>
      <c r="N38" s="0" t="n">
        <f aca="false">(J38-K38-M38)*Inputs!$B$10</f>
        <v>158796.266520422</v>
      </c>
      <c r="O38" s="0" t="n">
        <f aca="false">J38-K38-M38-N38</f>
        <v>18006764.6745214</v>
      </c>
      <c r="P38" s="0" t="n">
        <f aca="false">Inputs!$D$60-(A38-1)</f>
        <v>16</v>
      </c>
      <c r="Q38" s="0" t="n">
        <f aca="false">IF(P38&lt;=0,0,IF(A38=1,Inputs!$B$60,V37))</f>
        <v>5574098.43196809</v>
      </c>
      <c r="R38" s="0" t="n">
        <f aca="false">Q38*Inputs!$B$9</f>
        <v>14130.61050335</v>
      </c>
      <c r="S38" s="0" t="n">
        <f aca="false">(Q38-R38)*Inputs!$C$60/12</f>
        <v>38456.4440984645</v>
      </c>
      <c r="T38" s="0" t="n">
        <f aca="false">IF(P38&lt;=0,0,IF(P38=1,Q38-R38,MIN((Q38-R38)*(Inputs!$C$60/12)/(1-(1+Inputs!$C$60/12)^(-P38))-S38,Q38-R38)))</f>
        <v>329823.51143668</v>
      </c>
      <c r="U38" s="0" t="n">
        <f aca="false">(Q38-R38-T38)*Inputs!$B$10</f>
        <v>45719.886795186</v>
      </c>
      <c r="V38" s="0" t="n">
        <f aca="false">Q38-R38-T38-U38</f>
        <v>5184424.42323288</v>
      </c>
      <c r="W38" s="0" t="n">
        <f aca="false">Inputs!$D$61-(A38-1)</f>
        <v>28</v>
      </c>
      <c r="X38" s="0" t="n">
        <f aca="false">IF(W38&lt;=0,0,IF(A38=1,Inputs!$B$61,AC37))</f>
        <v>24385792.4568589</v>
      </c>
      <c r="Y38" s="0" t="n">
        <f aca="false">X38*Inputs!$B$9</f>
        <v>61819.1693650694</v>
      </c>
      <c r="Z38" s="0" t="n">
        <f aca="false">(X38-Y38)*Inputs!$C$61/12</f>
        <v>178375.804108288</v>
      </c>
      <c r="AA38" s="0" t="n">
        <f aca="false">IF(W38&lt;=0,0,IF(W38=1,X38-Y38,MIN((X38-Y38)*(Inputs!$C$61/12)/(1-(1+Inputs!$C$61/12)^(-W38))-Z38,X38-Y38)))</f>
        <v>785745.784861121</v>
      </c>
      <c r="AB38" s="0" t="n">
        <f aca="false">(X38-Y38-AA38)*Inputs!$B$10</f>
        <v>205762.027391158</v>
      </c>
      <c r="AC38" s="0" t="n">
        <f aca="false">X38-Y38-AA38-AB38</f>
        <v>23332465.4752416</v>
      </c>
      <c r="AD38" s="0" t="n">
        <f aca="false">Inputs!$D$62-(A38-1)</f>
        <v>28</v>
      </c>
      <c r="AE38" s="0" t="n">
        <f aca="false">IF(AD38&lt;=0,0,IF(A38=1,Inputs!$B$62,AJ37))</f>
        <v>6935526.97270142</v>
      </c>
      <c r="AF38" s="0" t="n">
        <f aca="false">AE38*Inputs!$B$9</f>
        <v>17581.8980383737</v>
      </c>
      <c r="AG38" s="0" t="n">
        <f aca="false">(AE38-AF38)*Inputs!$C$62/12</f>
        <v>53614.0743286386</v>
      </c>
      <c r="AH38" s="0" t="n">
        <f aca="false">IF(AD38&lt;=0,0,IF(AD38=1,AE38-AF38,MIN((AE38-AF38)*(Inputs!$C$62/12)/(1-(1+Inputs!$C$62/12)^(-AD38))-AG38,AE38-AF38)))</f>
        <v>222183.624393679</v>
      </c>
      <c r="AI38" s="0" t="n">
        <f aca="false">(AE38-AF38-AH38)*Inputs!$B$10</f>
        <v>58531.7416437107</v>
      </c>
      <c r="AJ38" s="0" t="n">
        <f aca="false">AE38-AF38-AH38-AI38</f>
        <v>6637229.70862566</v>
      </c>
      <c r="AK38" s="0" t="n">
        <f aca="false">Inputs!$D$63-(A38-1)</f>
        <v>28</v>
      </c>
      <c r="AL38" s="0" t="n">
        <f aca="false">IF(AK38&lt;=0,0,IF(A38=1,Inputs!$B$63,AQ37))</f>
        <v>8310439.7715156</v>
      </c>
      <c r="AM38" s="0" t="n">
        <f aca="false">AL38*Inputs!$B$9</f>
        <v>21067.3688231539</v>
      </c>
      <c r="AN38" s="0" t="n">
        <f aca="false">(AL38-AM38)*Inputs!$C$63/12</f>
        <v>65969.5887047608</v>
      </c>
      <c r="AO38" s="0" t="n">
        <f aca="false">IF(AK38&lt;=0,0,IF(AK38=1,AL38-AM38,MIN((AL38-AM38)*(Inputs!$C$63/12)/(1-(1+Inputs!$C$63/12)^(-AK38))-AN38,AL38-AM38)))</f>
        <v>265459.861195582</v>
      </c>
      <c r="AP38" s="0" t="n">
        <f aca="false">(AL38-AM38-AO38)*Inputs!$B$10</f>
        <v>70141.9217722774</v>
      </c>
      <c r="AQ38" s="0" t="n">
        <f aca="false">AL38-AM38-AO38-AP38</f>
        <v>7953770.61972459</v>
      </c>
      <c r="AR38" s="0" t="n">
        <f aca="false">Inputs!$D$64-(A38-1)</f>
        <v>40</v>
      </c>
      <c r="AS38" s="0" t="n">
        <f aca="false">IF(AR38&lt;=0,0,IF(A38=1,Inputs!$B$64,AX37))</f>
        <v>15353865.2338712</v>
      </c>
      <c r="AT38" s="0" t="n">
        <f aca="false">AS38*Inputs!$B$9</f>
        <v>38922.7947781605</v>
      </c>
      <c r="AU38" s="0" t="n">
        <f aca="false">(AS38-AT38)*Inputs!$C$64/12</f>
        <v>125072.02991926</v>
      </c>
      <c r="AV38" s="0" t="n">
        <f aca="false">IF(AR38&lt;=0,0,IF(AR38=1,AS38-AT38,MIN((AS38-AT38)*(Inputs!$C$64/12)/(1-(1+Inputs!$C$64/12)^(-AR38))-AU38,AS38-AT38)))</f>
        <v>325283.771338777</v>
      </c>
      <c r="AW38" s="0" t="n">
        <f aca="false">(AS38-AT38-AV38)*Inputs!$B$10</f>
        <v>131033.764417205</v>
      </c>
      <c r="AX38" s="0" t="n">
        <f aca="false">AS38-AT38-AV38-AW38</f>
        <v>14858624.903337</v>
      </c>
      <c r="AY38" s="0" t="n">
        <f aca="false">Inputs!$D$65-(A38-1)</f>
        <v>40</v>
      </c>
      <c r="AZ38" s="0" t="n">
        <f aca="false">IF(AY38&lt;=0,0,IF(A38=1,Inputs!$B$65,BE37))</f>
        <v>15966296.0649605</v>
      </c>
      <c r="BA38" s="0" t="n">
        <f aca="false">AZ38*Inputs!$B$9</f>
        <v>40475.3367075842</v>
      </c>
      <c r="BB38" s="0" t="n">
        <f aca="false">(AZ38-BA38)*Inputs!$C$65/12</f>
        <v>136696.627917504</v>
      </c>
      <c r="BC38" s="0" t="n">
        <f aca="false">IF(AY38&lt;=0,0,IF(AY38=1,AZ38-BA38,MIN((AZ38-BA38)*(Inputs!$C$65/12)/(1-(1+Inputs!$C$65/12)^(-AY38))-BB38,AZ38-BA38)))</f>
        <v>335390.266325669</v>
      </c>
      <c r="BD38" s="0" t="n">
        <f aca="false">(AZ38-BA38-BC38)*Inputs!$B$10</f>
        <v>136285.47771442</v>
      </c>
      <c r="BE38" s="0" t="n">
        <f aca="false">AZ38-BA38-BC38-BD38</f>
        <v>15454144.9842128</v>
      </c>
      <c r="BF38" s="0" t="n">
        <f aca="false">Inputs!$D$66-(A38-1)</f>
        <v>52</v>
      </c>
      <c r="BG38" s="0" t="n">
        <f aca="false">IF(BF38&lt;=0,0,IF(A38=1,Inputs!$B$66,BL37))</f>
        <v>17650743.5785516</v>
      </c>
      <c r="BH38" s="0" t="n">
        <f aca="false">BG38*Inputs!$B$9</f>
        <v>44745.4930419939</v>
      </c>
      <c r="BI38" s="0" t="n">
        <f aca="false">(BG38-BH38)*Inputs!$C$66/12</f>
        <v>154786.066501772</v>
      </c>
      <c r="BJ38" s="0" t="n">
        <f aca="false">IF(BF38&lt;=0,0,IF(BF38=1,BG38-BH38,MIN((BG38-BH38)*(Inputs!$C$66/12)/(1-(1+Inputs!$C$66/12)^(-BF38))-BI38,BG38-BH38)))</f>
        <v>268520.984077796</v>
      </c>
      <c r="BK38" s="0" t="n">
        <f aca="false">(BG38-BH38-BJ38)*Inputs!$B$10</f>
        <v>151557.479756679</v>
      </c>
      <c r="BL38" s="0" t="n">
        <f aca="false">BG38-BH38-BJ38-BK38</f>
        <v>17185919.6216751</v>
      </c>
      <c r="BM38" s="0" t="n">
        <f aca="false">Inputs!$D$67-(A38-1)</f>
        <v>52</v>
      </c>
      <c r="BN38" s="0" t="n">
        <f aca="false">IF(BM38&lt;=0,0,IF(A38=1,Inputs!$B$67,BS37))</f>
        <v>23249368.7314066</v>
      </c>
      <c r="BO38" s="0" t="n">
        <f aca="false">BN38*Inputs!$B$9</f>
        <v>58938.2799751303</v>
      </c>
      <c r="BP38" s="0" t="n">
        <f aca="false">(BN38-BO38)*Inputs!$C$67/12</f>
        <v>213545.213740265</v>
      </c>
      <c r="BQ38" s="0" t="n">
        <f aca="false">IF(BM38&lt;=0,0,IF(BM38=1,BN38-BO38,MIN((BN38-BO38)*(Inputs!$C$67/12)/(1-(1+Inputs!$C$67/12)^(-BM38))-BP38,BN38-BO38)))</f>
        <v>349697.501865527</v>
      </c>
      <c r="BR38" s="0" t="n">
        <f aca="false">(BN38-BO38-BQ38)*Inputs!$B$10</f>
        <v>199664.801365228</v>
      </c>
      <c r="BS38" s="0" t="n">
        <f aca="false">BN38-BO38-BQ38-BR38</f>
        <v>22641068.1482007</v>
      </c>
      <c r="BT38" s="0" t="n">
        <f aca="false">C38+J38+Q38+X38+AE38+AL38+AS38+AZ38+BG38+BN38</f>
        <v>140107753.784503</v>
      </c>
      <c r="BU38" s="0" t="n">
        <f aca="false">D38+K38+R38+Y38+AF38+AM38+AT38+BA38+BH38+BO38</f>
        <v>355179.967019177</v>
      </c>
      <c r="BV38" s="0" t="n">
        <f aca="false">E38+L38+S38+Z38+AG38+AN38+AU38+BB38+BI38+BP38</f>
        <v>1112193.84110589</v>
      </c>
      <c r="BW38" s="0" t="n">
        <f aca="false">F38+M38+T38+AA38+AH38+AO38+AV38+BC38+BJ38+BQ38</f>
        <v>4851297.0051757</v>
      </c>
      <c r="BX38" s="0" t="n">
        <f aca="false">G38+N38+U38+AB38+AI38+AP38+AW38+BD38+BK38+BR38</f>
        <v>1179254.47918505</v>
      </c>
      <c r="BY38" s="0" t="n">
        <f aca="false">H38+O38+V38+AC38+AJ38+AQ38+AX38+BE38+BL38+BS38</f>
        <v>133722022.333124</v>
      </c>
      <c r="BZ38" s="0" t="n">
        <f aca="false">IF(A38&gt;Inputs!$B$7,(1-Inputs!$B$6)*INDEX($BU$6:$BU$125,A38-Inputs!$B$7),0)</f>
        <v>274396.768920615</v>
      </c>
      <c r="CA38" s="0" t="n">
        <f aca="false">CA37+(1-Inputs!$B$6)*BU38-BZ38</f>
        <v>1429319.20924972</v>
      </c>
      <c r="CB38" s="0" t="n">
        <f aca="false">BY38+CA38</f>
        <v>135151341.542373</v>
      </c>
      <c r="CC38" s="0" t="n">
        <f aca="false">BV38+BW38+BX38+BZ38</f>
        <v>7417142.09438726</v>
      </c>
      <c r="CD38" s="0" t="n">
        <f aca="false">CD37+BU38-BZ38</f>
        <v>10154480.030145</v>
      </c>
    </row>
    <row r="39" customFormat="false" ht="15" hidden="false" customHeight="false" outlineLevel="0" collapsed="false">
      <c r="A39" s="0" t="n">
        <f aca="false">ROW()-5</f>
        <v>34</v>
      </c>
      <c r="B39" s="0" t="n">
        <f aca="false">Inputs!$D$58-(A39-1)</f>
        <v>3</v>
      </c>
      <c r="C39" s="0" t="n">
        <f aca="false">IF(B39&lt;=0,0,IF(A39=1,Inputs!$B$58,H38))</f>
        <v>2467609.77435183</v>
      </c>
      <c r="D39" s="0" t="n">
        <f aca="false">C39*Inputs!$B$9</f>
        <v>6255.51073796047</v>
      </c>
      <c r="E39" s="0" t="n">
        <f aca="false">(C39-D39)*Inputs!$C$58/12</f>
        <v>14973.2384369844</v>
      </c>
      <c r="F39" s="0" t="n">
        <f aca="false">IF(B39&lt;=0,0,IF(B39=1,C39-D39,MIN((C39-D39)*(Inputs!$C$58/12)/(1-(1+Inputs!$C$58/12)^(-B39))-E39,C39-D39)))</f>
        <v>815480.521882371</v>
      </c>
      <c r="G39" s="0" t="n">
        <f aca="false">(C39-D39-F39)*Inputs!$B$10</f>
        <v>14387.5879307678</v>
      </c>
      <c r="H39" s="0" t="n">
        <f aca="false">C39-D39-F39-G39</f>
        <v>1631486.15380073</v>
      </c>
      <c r="I39" s="0" t="n">
        <f aca="false">Inputs!$D$59-(A39-1)</f>
        <v>15</v>
      </c>
      <c r="J39" s="0" t="n">
        <f aca="false">IF(I39&lt;=0,0,IF(A39=1,Inputs!$B$59,O38))</f>
        <v>18006764.6745214</v>
      </c>
      <c r="K39" s="0" t="n">
        <f aca="false">J39*Inputs!$B$9</f>
        <v>45648.0238278288</v>
      </c>
      <c r="L39" s="0" t="n">
        <f aca="false">(J39-K39)*Inputs!$C$59/12</f>
        <v>116747.258229508</v>
      </c>
      <c r="M39" s="0" t="n">
        <f aca="false">IF(I39&lt;=0,0,IF(I39=1,J39-K39,MIN((J39-K39)*(Inputs!$C$59/12)/(1-(1+Inputs!$C$59/12)^(-I39))-L39,J39-K39)))</f>
        <v>1143866.87375324</v>
      </c>
      <c r="N39" s="0" t="n">
        <f aca="false">(J39-K39-M39)*Inputs!$B$10</f>
        <v>147009.854877972</v>
      </c>
      <c r="O39" s="0" t="n">
        <f aca="false">J39-K39-M39-N39</f>
        <v>16670239.9220623</v>
      </c>
      <c r="P39" s="0" t="n">
        <f aca="false">Inputs!$D$60-(A39-1)</f>
        <v>15</v>
      </c>
      <c r="Q39" s="0" t="n">
        <f aca="false">IF(P39&lt;=0,0,IF(A39=1,Inputs!$B$60,V38))</f>
        <v>5184424.42323288</v>
      </c>
      <c r="R39" s="0" t="n">
        <f aca="false">Q39*Inputs!$B$9</f>
        <v>13142.7679476576</v>
      </c>
      <c r="S39" s="0" t="n">
        <f aca="false">(Q39-R39)*Inputs!$C$60/12</f>
        <v>35768.0314490561</v>
      </c>
      <c r="T39" s="0" t="n">
        <f aca="false">IF(P39&lt;=0,0,IF(P39=1,Q39-R39,MIN((Q39-R39)*(Inputs!$C$60/12)/(1-(1+Inputs!$C$60/12)^(-P39))-S39,Q39-R39)))</f>
        <v>328367.117635947</v>
      </c>
      <c r="U39" s="0" t="n">
        <f aca="false">(Q39-R39-T39)*Inputs!$B$10</f>
        <v>42334.8747749749</v>
      </c>
      <c r="V39" s="0" t="n">
        <f aca="false">Q39-R39-T39-U39</f>
        <v>4800579.6628743</v>
      </c>
      <c r="W39" s="0" t="n">
        <f aca="false">Inputs!$D$61-(A39-1)</f>
        <v>27</v>
      </c>
      <c r="X39" s="0" t="n">
        <f aca="false">IF(W39&lt;=0,0,IF(A39=1,Inputs!$B$61,AC38))</f>
        <v>23332465.4752416</v>
      </c>
      <c r="Y39" s="0" t="n">
        <f aca="false">X39*Inputs!$B$9</f>
        <v>59148.9342604035</v>
      </c>
      <c r="Z39" s="0" t="n">
        <f aca="false">(X39-Y39)*Inputs!$C$61/12</f>
        <v>170670.987967195</v>
      </c>
      <c r="AA39" s="0" t="n">
        <f aca="false">IF(W39&lt;=0,0,IF(W39=1,X39-Y39,MIN((X39-Y39)*(Inputs!$C$61/12)/(1-(1+Inputs!$C$61/12)^(-W39))-Z39,X39-Y39)))</f>
        <v>782599.895389214</v>
      </c>
      <c r="AB39" s="0" t="n">
        <f aca="false">(X39-Y39-AA39)*Inputs!$B$10</f>
        <v>196605.095008087</v>
      </c>
      <c r="AC39" s="0" t="n">
        <f aca="false">X39-Y39-AA39-AB39</f>
        <v>22294111.5505839</v>
      </c>
      <c r="AD39" s="0" t="n">
        <f aca="false">Inputs!$D$62-(A39-1)</f>
        <v>27</v>
      </c>
      <c r="AE39" s="0" t="n">
        <f aca="false">IF(AD39&lt;=0,0,IF(A39=1,Inputs!$B$62,AJ38))</f>
        <v>6637229.70862566</v>
      </c>
      <c r="AF39" s="0" t="n">
        <f aca="false">AE39*Inputs!$B$9</f>
        <v>16825.6999725672</v>
      </c>
      <c r="AG39" s="0" t="n">
        <f aca="false">(AE39-AF39)*Inputs!$C$62/12</f>
        <v>51308.1310670615</v>
      </c>
      <c r="AH39" s="0" t="n">
        <f aca="false">IF(AD39&lt;=0,0,IF(AD39=1,AE39-AF39,MIN((AE39-AF39)*(Inputs!$C$62/12)/(1-(1+Inputs!$C$62/12)^(-AD39))-AG39,AE39-AF39)))</f>
        <v>221385.602686712</v>
      </c>
      <c r="AI39" s="0" t="n">
        <f aca="false">(AE39-AF39-AH39)*Inputs!$B$10</f>
        <v>55937.7293969017</v>
      </c>
      <c r="AJ39" s="0" t="n">
        <f aca="false">AE39-AF39-AH39-AI39</f>
        <v>6343080.67656948</v>
      </c>
      <c r="AK39" s="0" t="n">
        <f aca="false">Inputs!$D$63-(A39-1)</f>
        <v>27</v>
      </c>
      <c r="AL39" s="0" t="n">
        <f aca="false">IF(AK39&lt;=0,0,IF(A39=1,Inputs!$B$63,AQ38))</f>
        <v>7953770.61972459</v>
      </c>
      <c r="AM39" s="0" t="n">
        <f aca="false">AL39*Inputs!$B$9</f>
        <v>20163.1951843078</v>
      </c>
      <c r="AN39" s="0" t="n">
        <f aca="false">(AL39-AM39)*Inputs!$C$63/12</f>
        <v>63138.2924202998</v>
      </c>
      <c r="AO39" s="0" t="n">
        <f aca="false">IF(AK39&lt;=0,0,IF(AK39=1,AL39-AM39,MIN((AL39-AM39)*(Inputs!$C$63/12)/(1-(1+Inputs!$C$63/12)^(-AK39))-AN39,AL39-AM39)))</f>
        <v>264561.085014606</v>
      </c>
      <c r="AP39" s="0" t="n">
        <f aca="false">(AL39-AM39-AO39)*Inputs!$B$10</f>
        <v>67039.8194936745</v>
      </c>
      <c r="AQ39" s="0" t="n">
        <f aca="false">AL39-AM39-AO39-AP39</f>
        <v>7602006.520032</v>
      </c>
      <c r="AR39" s="0" t="n">
        <f aca="false">Inputs!$D$64-(A39-1)</f>
        <v>39</v>
      </c>
      <c r="AS39" s="0" t="n">
        <f aca="false">IF(AR39&lt;=0,0,IF(A39=1,Inputs!$B$64,AX38))</f>
        <v>14858624.903337</v>
      </c>
      <c r="AT39" s="0" t="n">
        <f aca="false">AS39*Inputs!$B$9</f>
        <v>37667.3364647239</v>
      </c>
      <c r="AU39" s="0" t="n">
        <f aca="false">(AS39-AT39)*Inputs!$C$64/12</f>
        <v>121037.820129457</v>
      </c>
      <c r="AV39" s="0" t="n">
        <f aca="false">IF(AR39&lt;=0,0,IF(AR39=1,AS39-AT39,MIN((AS39-AT39)*(Inputs!$C$64/12)/(1-(1+Inputs!$C$64/12)^(-AR39))-AU39,AS39-AT39)))</f>
        <v>324249.45214171</v>
      </c>
      <c r="AW39" s="0" t="n">
        <f aca="false">(AS39-AT39-AV39)*Inputs!$B$10</f>
        <v>126724.58246277</v>
      </c>
      <c r="AX39" s="0" t="n">
        <f aca="false">AS39-AT39-AV39-AW39</f>
        <v>14369983.5322678</v>
      </c>
      <c r="AY39" s="0" t="n">
        <f aca="false">Inputs!$D$65-(A39-1)</f>
        <v>39</v>
      </c>
      <c r="AZ39" s="0" t="n">
        <f aca="false">IF(AY39&lt;=0,0,IF(A39=1,Inputs!$B$65,BE38))</f>
        <v>15454144.9842128</v>
      </c>
      <c r="BA39" s="0" t="n">
        <f aca="false">AZ39*Inputs!$B$9</f>
        <v>39177.0088202599</v>
      </c>
      <c r="BB39" s="0" t="n">
        <f aca="false">(AZ39-BA39)*Inputs!$C$65/12</f>
        <v>132311.808455453</v>
      </c>
      <c r="BC39" s="0" t="n">
        <f aca="false">IF(AY39&lt;=0,0,IF(AY39=1,AZ39-BA39,MIN((AZ39-BA39)*(Inputs!$C$65/12)/(1-(1+Inputs!$C$65/12)^(-AY39))-BB39,AZ39-BA39)))</f>
        <v>334461.984233108</v>
      </c>
      <c r="BD39" s="0" t="n">
        <f aca="false">(AZ39-BA39-BC39)*Inputs!$B$10</f>
        <v>131827.916374689</v>
      </c>
      <c r="BE39" s="0" t="n">
        <f aca="false">AZ39-BA39-BC39-BD39</f>
        <v>14948678.0747847</v>
      </c>
      <c r="BF39" s="0" t="n">
        <f aca="false">Inputs!$D$66-(A39-1)</f>
        <v>51</v>
      </c>
      <c r="BG39" s="0" t="n">
        <f aca="false">IF(BF39&lt;=0,0,IF(A39=1,Inputs!$B$66,BL38))</f>
        <v>17185919.6216751</v>
      </c>
      <c r="BH39" s="0" t="n">
        <f aca="false">BG39*Inputs!$B$9</f>
        <v>43567.1417144362</v>
      </c>
      <c r="BI39" s="0" t="n">
        <f aca="false">(BG39-BH39)*Inputs!$C$66/12</f>
        <v>150709.848886321</v>
      </c>
      <c r="BJ39" s="0" t="n">
        <f aca="false">IF(BF39&lt;=0,0,IF(BF39=1,BG39-BH39,MIN((BG39-BH39)*(Inputs!$C$66/12)/(1-(1+Inputs!$C$66/12)^(-BF39))-BI39,BG39-BH39)))</f>
        <v>267833.092848161</v>
      </c>
      <c r="BK39" s="0" t="n">
        <f aca="false">(BG39-BH39-BJ39)*Inputs!$B$10</f>
        <v>147510.483529625</v>
      </c>
      <c r="BL39" s="0" t="n">
        <f aca="false">BG39-BH39-BJ39-BK39</f>
        <v>16727008.9035829</v>
      </c>
      <c r="BM39" s="0" t="n">
        <f aca="false">Inputs!$D$67-(A39-1)</f>
        <v>51</v>
      </c>
      <c r="BN39" s="0" t="n">
        <f aca="false">IF(BM39&lt;=0,0,IF(A39=1,Inputs!$B$67,BS38))</f>
        <v>22641068.1482007</v>
      </c>
      <c r="BO39" s="0" t="n">
        <f aca="false">BN39*Inputs!$B$9</f>
        <v>57396.2084248781</v>
      </c>
      <c r="BP39" s="0" t="n">
        <f aca="false">(BN39-BO39)*Inputs!$C$67/12</f>
        <v>207957.979112102</v>
      </c>
      <c r="BQ39" s="0" t="n">
        <f aca="false">IF(BM39&lt;=0,0,IF(BM39=1,BN39-BO39,MIN((BN39-BO39)*(Inputs!$C$67/12)/(1-(1+Inputs!$C$67/12)^(-BM39))-BP39,BN39-BO39)))</f>
        <v>348945.72182414</v>
      </c>
      <c r="BR39" s="0" t="n">
        <f aca="false">(BN39-BO39-BQ39)*Inputs!$B$10</f>
        <v>194367.326281529</v>
      </c>
      <c r="BS39" s="0" t="n">
        <f aca="false">BN39-BO39-BQ39-BR39</f>
        <v>22040358.8916701</v>
      </c>
      <c r="BT39" s="0" t="n">
        <f aca="false">C39+J39+Q39+X39+AE39+AL39+AS39+AZ39+BG39+BN39</f>
        <v>133722022.333124</v>
      </c>
      <c r="BU39" s="0" t="n">
        <f aca="false">D39+K39+R39+Y39+AF39+AM39+AT39+BA39+BH39+BO39</f>
        <v>338991.827355023</v>
      </c>
      <c r="BV39" s="0" t="n">
        <f aca="false">E39+L39+S39+Z39+AG39+AN39+AU39+BB39+BI39+BP39</f>
        <v>1064623.39615344</v>
      </c>
      <c r="BW39" s="0" t="n">
        <f aca="false">F39+M39+T39+AA39+AH39+AO39+AV39+BC39+BJ39+BQ39</f>
        <v>4831751.34740921</v>
      </c>
      <c r="BX39" s="0" t="n">
        <f aca="false">G39+N39+U39+AB39+AI39+AP39+AW39+BD39+BK39+BR39</f>
        <v>1123745.27013099</v>
      </c>
      <c r="BY39" s="0" t="n">
        <f aca="false">H39+O39+V39+AC39+AJ39+AQ39+AX39+BE39+BL39+BS39</f>
        <v>127427533.888228</v>
      </c>
      <c r="BZ39" s="0" t="n">
        <f aca="false">IF(A39&gt;Inputs!$B$7,(1-Inputs!$B$6)*INDEX($BU$6:$BU$125,A39-Inputs!$B$7),0)</f>
        <v>263814.618206428</v>
      </c>
      <c r="CA39" s="0" t="n">
        <f aca="false">CA38+(1-Inputs!$B$6)*BU39-BZ39</f>
        <v>1368899.6874563</v>
      </c>
      <c r="CB39" s="0" t="n">
        <f aca="false">BY39+CA39</f>
        <v>128796433.575685</v>
      </c>
      <c r="CC39" s="0" t="n">
        <f aca="false">BV39+BW39+BX39+BZ39</f>
        <v>7283934.63190007</v>
      </c>
      <c r="CD39" s="0" t="n">
        <f aca="false">CD38+BU39-BZ39</f>
        <v>10229657.2392935</v>
      </c>
    </row>
    <row r="40" customFormat="false" ht="15" hidden="false" customHeight="false" outlineLevel="0" collapsed="false">
      <c r="A40" s="0" t="n">
        <f aca="false">ROW()-5</f>
        <v>35</v>
      </c>
      <c r="B40" s="0" t="n">
        <f aca="false">Inputs!$D$58-(A40-1)</f>
        <v>2</v>
      </c>
      <c r="C40" s="0" t="n">
        <f aca="false">IF(B40&lt;=0,0,IF(A40=1,Inputs!$B$58,H39))</f>
        <v>1631486.15380073</v>
      </c>
      <c r="D40" s="0" t="n">
        <f aca="false">C40*Inputs!$B$9</f>
        <v>4135.8967126863</v>
      </c>
      <c r="E40" s="0" t="n">
        <f aca="false">(C40-D40)*Inputs!$C$58/12</f>
        <v>9899.71406395228</v>
      </c>
      <c r="F40" s="0" t="n">
        <f aca="false">IF(B40&lt;=0,0,IF(B40=1,C40-D40,MIN((C40-D40)*(Inputs!$C$58/12)/(1-(1+Inputs!$C$58/12)^(-B40))-E40,C40-D40)))</f>
        <v>811207.705107642</v>
      </c>
      <c r="G40" s="0" t="n">
        <f aca="false">(C40-D40-F40)*Inputs!$B$10</f>
        <v>7134.40067298604</v>
      </c>
      <c r="H40" s="0" t="n">
        <f aca="false">C40-D40-F40-G40</f>
        <v>809008.151307418</v>
      </c>
      <c r="I40" s="0" t="n">
        <f aca="false">Inputs!$D$59-(A40-1)</f>
        <v>14</v>
      </c>
      <c r="J40" s="0" t="n">
        <f aca="false">IF(I40&lt;=0,0,IF(A40=1,Inputs!$B$59,O39))</f>
        <v>16670239.9220623</v>
      </c>
      <c r="K40" s="0" t="n">
        <f aca="false">J40*Inputs!$B$9</f>
        <v>42259.8686067491</v>
      </c>
      <c r="L40" s="0" t="n">
        <f aca="false">(J40-K40)*Inputs!$C$59/12</f>
        <v>108081.870347461</v>
      </c>
      <c r="M40" s="0" t="n">
        <f aca="false">IF(I40&lt;=0,0,IF(I40=1,J40-K40,MIN((J40-K40)*(Inputs!$C$59/12)/(1-(1+Inputs!$C$59/12)^(-I40))-L40,J40-K40)))</f>
        <v>1138344.68094606</v>
      </c>
      <c r="N40" s="0" t="n">
        <f aca="false">(J40-K40-M40)*Inputs!$B$10</f>
        <v>135404.366256587</v>
      </c>
      <c r="O40" s="0" t="n">
        <f aca="false">J40-K40-M40-N40</f>
        <v>15354231.0062529</v>
      </c>
      <c r="P40" s="0" t="n">
        <f aca="false">Inputs!$D$60-(A40-1)</f>
        <v>14</v>
      </c>
      <c r="Q40" s="0" t="n">
        <f aca="false">IF(P40&lt;=0,0,IF(A40=1,Inputs!$B$60,V39))</f>
        <v>4800579.6628743</v>
      </c>
      <c r="R40" s="0" t="n">
        <f aca="false">Q40*Inputs!$B$9</f>
        <v>12169.7028199821</v>
      </c>
      <c r="S40" s="0" t="n">
        <f aca="false">(Q40-R40)*Inputs!$C$60/12</f>
        <v>33119.8355570423</v>
      </c>
      <c r="T40" s="0" t="n">
        <f aca="false">IF(P40&lt;=0,0,IF(P40=1,Q40-R40,MIN((Q40-R40)*(Inputs!$C$60/12)/(1-(1+Inputs!$C$60/12)^(-P40))-S40,Q40-R40)))</f>
        <v>326917.15479853</v>
      </c>
      <c r="U40" s="0" t="n">
        <f aca="false">(Q40-R40-T40)*Inputs!$B$10</f>
        <v>39000.6343807246</v>
      </c>
      <c r="V40" s="0" t="n">
        <f aca="false">Q40-R40-T40-U40</f>
        <v>4422492.17087506</v>
      </c>
      <c r="W40" s="0" t="n">
        <f aca="false">Inputs!$D$61-(A40-1)</f>
        <v>26</v>
      </c>
      <c r="X40" s="0" t="n">
        <f aca="false">IF(W40&lt;=0,0,IF(A40=1,Inputs!$B$61,AC39))</f>
        <v>22294111.5505839</v>
      </c>
      <c r="Y40" s="0" t="n">
        <f aca="false">X40*Inputs!$B$9</f>
        <v>56516.6565830281</v>
      </c>
      <c r="Z40" s="0" t="n">
        <f aca="false">(X40-Y40)*Inputs!$C$61/12</f>
        <v>163075.695889339</v>
      </c>
      <c r="AA40" s="0" t="n">
        <f aca="false">IF(W40&lt;=0,0,IF(W40=1,X40-Y40,MIN((X40-Y40)*(Inputs!$C$61/12)/(1-(1+Inputs!$C$61/12)^(-W40))-Z40,X40-Y40)))</f>
        <v>779466.601111273</v>
      </c>
      <c r="AB40" s="0" t="n">
        <f aca="false">(X40-Y40-AA40)*Inputs!$B$10</f>
        <v>187578.609352411</v>
      </c>
      <c r="AC40" s="0" t="n">
        <f aca="false">X40-Y40-AA40-AB40</f>
        <v>21270549.6835372</v>
      </c>
      <c r="AD40" s="0" t="n">
        <f aca="false">Inputs!$D$62-(A40-1)</f>
        <v>26</v>
      </c>
      <c r="AE40" s="0" t="n">
        <f aca="false">IF(AD40&lt;=0,0,IF(A40=1,Inputs!$B$62,AJ39))</f>
        <v>6343080.67656948</v>
      </c>
      <c r="AF40" s="0" t="n">
        <f aca="false">AE40*Inputs!$B$9</f>
        <v>16080.0178765917</v>
      </c>
      <c r="AG40" s="0" t="n">
        <f aca="false">(AE40-AF40)*Inputs!$C$62/12</f>
        <v>49034.2551048699</v>
      </c>
      <c r="AH40" s="0" t="n">
        <f aca="false">IF(AD40&lt;=0,0,IF(AD40=1,AE40-AF40,MIN((AE40-AF40)*(Inputs!$C$62/12)/(1-(1+Inputs!$C$62/12)^(-AD40))-AG40,AE40-AF40)))</f>
        <v>220590.447251488</v>
      </c>
      <c r="AI40" s="0" t="n">
        <f aca="false">(AE40-AF40-AH40)*Inputs!$B$10</f>
        <v>53379.8623982081</v>
      </c>
      <c r="AJ40" s="0" t="n">
        <f aca="false">AE40-AF40-AH40-AI40</f>
        <v>6053030.34904319</v>
      </c>
      <c r="AK40" s="0" t="n">
        <f aca="false">Inputs!$D$63-(A40-1)</f>
        <v>26</v>
      </c>
      <c r="AL40" s="0" t="n">
        <f aca="false">IF(AK40&lt;=0,0,IF(A40=1,Inputs!$B$63,AQ39))</f>
        <v>7602006.520032</v>
      </c>
      <c r="AM40" s="0" t="n">
        <f aca="false">AL40*Inputs!$B$9</f>
        <v>19271.4560909846</v>
      </c>
      <c r="AN40" s="0" t="n">
        <f aca="false">(AL40-AM40)*Inputs!$C$63/12</f>
        <v>60345.9332171973</v>
      </c>
      <c r="AO40" s="0" t="n">
        <f aca="false">IF(AK40&lt;=0,0,IF(AK40=1,AL40-AM40,MIN((AL40-AM40)*(Inputs!$C$63/12)/(1-(1+Inputs!$C$63/12)^(-AK40))-AN40,AL40-AM40)))</f>
        <v>263665.351849701</v>
      </c>
      <c r="AP40" s="0" t="n">
        <f aca="false">(AL40-AM40-AO40)*Inputs!$B$10</f>
        <v>63980.4599734064</v>
      </c>
      <c r="AQ40" s="0" t="n">
        <f aca="false">AL40-AM40-AO40-AP40</f>
        <v>7255089.25211791</v>
      </c>
      <c r="AR40" s="0" t="n">
        <f aca="false">Inputs!$D$64-(A40-1)</f>
        <v>38</v>
      </c>
      <c r="AS40" s="0" t="n">
        <f aca="false">IF(AR40&lt;=0,0,IF(A40=1,Inputs!$B$64,AX39))</f>
        <v>14369983.5322678</v>
      </c>
      <c r="AT40" s="0" t="n">
        <f aca="false">AS40*Inputs!$B$9</f>
        <v>36428.6068343316</v>
      </c>
      <c r="AU40" s="0" t="n">
        <f aca="false">(AS40-AT40)*Inputs!$C$64/12</f>
        <v>117057.365224374</v>
      </c>
      <c r="AV40" s="0" t="n">
        <f aca="false">IF(AR40&lt;=0,0,IF(AR40=1,AS40-AT40,MIN((AS40-AT40)*(Inputs!$C$64/12)/(1-(1+Inputs!$C$64/12)^(-AR40))-AU40,AS40-AT40)))</f>
        <v>323218.421815148</v>
      </c>
      <c r="AW40" s="0" t="n">
        <f aca="false">(AS40-AT40-AV40)*Inputs!$B$10</f>
        <v>122472.911059018</v>
      </c>
      <c r="AX40" s="0" t="n">
        <f aca="false">AS40-AT40-AV40-AW40</f>
        <v>13887863.5925593</v>
      </c>
      <c r="AY40" s="0" t="n">
        <f aca="false">Inputs!$D$65-(A40-1)</f>
        <v>38</v>
      </c>
      <c r="AZ40" s="0" t="n">
        <f aca="false">IF(AY40&lt;=0,0,IF(A40=1,Inputs!$B$65,BE39))</f>
        <v>14948678.0747847</v>
      </c>
      <c r="BA40" s="0" t="n">
        <f aca="false">AZ40*Inputs!$B$9</f>
        <v>37895.625632174</v>
      </c>
      <c r="BB40" s="0" t="n">
        <f aca="false">(AZ40-BA40)*Inputs!$C$65/12</f>
        <v>127984.216021893</v>
      </c>
      <c r="BC40" s="0" t="n">
        <f aca="false">IF(AY40&lt;=0,0,IF(AY40=1,AZ40-BA40,MIN((AZ40-BA40)*(Inputs!$C$65/12)/(1-(1+Inputs!$C$65/12)^(-AY40))-BB40,AZ40-BA40)))</f>
        <v>333536.271409038</v>
      </c>
      <c r="BD40" s="0" t="n">
        <f aca="false">(AZ40-BA40-BC40)*Inputs!$B$10</f>
        <v>127428.614876674</v>
      </c>
      <c r="BE40" s="0" t="n">
        <f aca="false">AZ40-BA40-BC40-BD40</f>
        <v>14449817.5628669</v>
      </c>
      <c r="BF40" s="0" t="n">
        <f aca="false">Inputs!$D$66-(A40-1)</f>
        <v>50</v>
      </c>
      <c r="BG40" s="0" t="n">
        <f aca="false">IF(BF40&lt;=0,0,IF(A40=1,Inputs!$B$66,BL39))</f>
        <v>16727008.9035829</v>
      </c>
      <c r="BH40" s="0" t="n">
        <f aca="false">BG40*Inputs!$B$9</f>
        <v>42403.7807346617</v>
      </c>
      <c r="BI40" s="0" t="n">
        <f aca="false">(BG40-BH40)*Inputs!$C$66/12</f>
        <v>146685.48670504</v>
      </c>
      <c r="BJ40" s="0" t="n">
        <f aca="false">IF(BF40&lt;=0,0,IF(BF40=1,BG40-BH40,MIN((BG40-BH40)*(Inputs!$C$66/12)/(1-(1+Inputs!$C$66/12)^(-BF40))-BI40,BG40-BH40)))</f>
        <v>267146.963843351</v>
      </c>
      <c r="BK40" s="0" t="n">
        <f aca="false">(BG40-BH40-BJ40)*Inputs!$B$10</f>
        <v>143515.032091032</v>
      </c>
      <c r="BL40" s="0" t="n">
        <f aca="false">BG40-BH40-BJ40-BK40</f>
        <v>16273943.1269138</v>
      </c>
      <c r="BM40" s="0" t="n">
        <f aca="false">Inputs!$D$67-(A40-1)</f>
        <v>50</v>
      </c>
      <c r="BN40" s="0" t="n">
        <f aca="false">IF(BM40&lt;=0,0,IF(A40=1,Inputs!$B$67,BS39))</f>
        <v>22040358.8916701</v>
      </c>
      <c r="BO40" s="0" t="n">
        <f aca="false">BN40*Inputs!$B$9</f>
        <v>55873.3812567915</v>
      </c>
      <c r="BP40" s="0" t="n">
        <f aca="false">(BN40-BO40)*Inputs!$C$67/12</f>
        <v>202440.470741723</v>
      </c>
      <c r="BQ40" s="0" t="n">
        <f aca="false">IF(BM40&lt;=0,0,IF(BM40=1,BN40-BO40,MIN((BN40-BO40)*(Inputs!$C$67/12)/(1-(1+Inputs!$C$67/12)^(-BM40))-BP40,BN40-BO40)))</f>
        <v>348195.557960243</v>
      </c>
      <c r="BR40" s="0" t="n">
        <f aca="false">(BN40-BO40-BQ40)*Inputs!$B$10</f>
        <v>189136.029267359</v>
      </c>
      <c r="BS40" s="0" t="n">
        <f aca="false">BN40-BO40-BQ40-BR40</f>
        <v>21447153.9231857</v>
      </c>
      <c r="BT40" s="0" t="n">
        <f aca="false">C40+J40+Q40+X40+AE40+AL40+AS40+AZ40+BG40+BN40</f>
        <v>127427533.888228</v>
      </c>
      <c r="BU40" s="0" t="n">
        <f aca="false">D40+K40+R40+Y40+AF40+AM40+AT40+BA40+BH40+BO40</f>
        <v>323034.993147981</v>
      </c>
      <c r="BV40" s="0" t="n">
        <f aca="false">E40+L40+S40+Z40+AG40+AN40+AU40+BB40+BI40+BP40</f>
        <v>1017724.84287289</v>
      </c>
      <c r="BW40" s="0" t="n">
        <f aca="false">F40+M40+T40+AA40+AH40+AO40+AV40+BC40+BJ40+BQ40</f>
        <v>4812289.15609247</v>
      </c>
      <c r="BX40" s="0" t="n">
        <f aca="false">G40+N40+U40+AB40+AI40+AP40+AW40+BD40+BK40+BR40</f>
        <v>1069030.92032841</v>
      </c>
      <c r="BY40" s="0" t="n">
        <f aca="false">H40+O40+V40+AC40+AJ40+AQ40+AX40+BE40+BL40+BS40</f>
        <v>121223178.818659</v>
      </c>
      <c r="BZ40" s="0" t="n">
        <f aca="false">IF(A40&gt;Inputs!$B$7,(1-Inputs!$B$6)*INDEX($BU$6:$BU$125,A40-Inputs!$B$7),0)</f>
        <v>253381.800932816</v>
      </c>
      <c r="CA40" s="0" t="n">
        <f aca="false">CA39+(1-Inputs!$B$6)*BU40-BZ40</f>
        <v>1309338.88241227</v>
      </c>
      <c r="CB40" s="0" t="n">
        <f aca="false">BY40+CA40</f>
        <v>122532517.701072</v>
      </c>
      <c r="CC40" s="0" t="n">
        <f aca="false">BV40+BW40+BX40+BZ40</f>
        <v>7152426.72022658</v>
      </c>
      <c r="CD40" s="0" t="n">
        <f aca="false">CD39+BU40-BZ40</f>
        <v>10299310.4315087</v>
      </c>
    </row>
    <row r="41" customFormat="false" ht="15" hidden="false" customHeight="false" outlineLevel="0" collapsed="false">
      <c r="A41" s="0" t="n">
        <f aca="false">ROW()-5</f>
        <v>36</v>
      </c>
      <c r="B41" s="0" t="n">
        <f aca="false">Inputs!$D$58-(A41-1)</f>
        <v>1</v>
      </c>
      <c r="C41" s="0" t="n">
        <f aca="false">IF(B41&lt;=0,0,IF(A41=1,Inputs!$B$58,H40))</f>
        <v>809008.151307418</v>
      </c>
      <c r="D41" s="0" t="n">
        <f aca="false">C41*Inputs!$B$9</f>
        <v>2050.87499255445</v>
      </c>
      <c r="E41" s="0" t="n">
        <f aca="false">(C41-D41)*Inputs!$C$58/12</f>
        <v>4908.99009758209</v>
      </c>
      <c r="F41" s="0" t="n">
        <f aca="false">IF(B41&lt;=0,0,IF(B41=1,C41-D41,MIN((C41-D41)*(Inputs!$C$58/12)/(1-(1+Inputs!$C$58/12)^(-B41))-E41,C41-D41)))</f>
        <v>806957.276314864</v>
      </c>
      <c r="G41" s="0" t="n">
        <f aca="false">(C41-D41-F41)*Inputs!$B$10</f>
        <v>0</v>
      </c>
      <c r="H41" s="0" t="n">
        <f aca="false">C41-D41-F41-G41</f>
        <v>0</v>
      </c>
      <c r="I41" s="0" t="n">
        <f aca="false">Inputs!$D$59-(A41-1)</f>
        <v>13</v>
      </c>
      <c r="J41" s="0" t="n">
        <f aca="false">IF(I41&lt;=0,0,IF(A41=1,Inputs!$B$59,O40))</f>
        <v>15354231.0062529</v>
      </c>
      <c r="K41" s="0" t="n">
        <f aca="false">J41*Inputs!$B$9</f>
        <v>38923.7220289297</v>
      </c>
      <c r="L41" s="0" t="n">
        <f aca="false">(J41-K41)*Inputs!$C$59/12</f>
        <v>99549.4973474559</v>
      </c>
      <c r="M41" s="0" t="n">
        <f aca="false">IF(I41&lt;=0,0,IF(I41=1,J41-K41,MIN((J41-K41)*(Inputs!$C$59/12)/(1-(1+Inputs!$C$59/12)^(-I41))-L41,J41-K41)))</f>
        <v>1132849.14737178</v>
      </c>
      <c r="N41" s="0" t="n">
        <f aca="false">(J41-K41-M41)*Inputs!$B$10</f>
        <v>123977.531413635</v>
      </c>
      <c r="O41" s="0" t="n">
        <f aca="false">J41-K41-M41-N41</f>
        <v>14058480.6054386</v>
      </c>
      <c r="P41" s="0" t="n">
        <f aca="false">Inputs!$D$60-(A41-1)</f>
        <v>13</v>
      </c>
      <c r="Q41" s="0" t="n">
        <f aca="false">IF(P41&lt;=0,0,IF(A41=1,Inputs!$B$60,V40))</f>
        <v>4422492.17087506</v>
      </c>
      <c r="R41" s="0" t="n">
        <f aca="false">Q41*Inputs!$B$9</f>
        <v>11211.2326474804</v>
      </c>
      <c r="S41" s="0" t="n">
        <f aca="false">(Q41-R41)*Inputs!$C$60/12</f>
        <v>30511.3598227408</v>
      </c>
      <c r="T41" s="0" t="n">
        <f aca="false">IF(P41&lt;=0,0,IF(P41=1,Q41-R41,MIN((Q41-R41)*(Inputs!$C$60/12)/(1-(1+Inputs!$C$60/12)^(-P41))-S41,Q41-R41)))</f>
        <v>325473.594527378</v>
      </c>
      <c r="U41" s="0" t="n">
        <f aca="false">(Q41-R41-T41)*Inputs!$B$10</f>
        <v>35716.53823447</v>
      </c>
      <c r="V41" s="0" t="n">
        <f aca="false">Q41-R41-T41-U41</f>
        <v>4050090.80546573</v>
      </c>
      <c r="W41" s="0" t="n">
        <f aca="false">Inputs!$D$61-(A41-1)</f>
        <v>25</v>
      </c>
      <c r="X41" s="0" t="n">
        <f aca="false">IF(W41&lt;=0,0,IF(A41=1,Inputs!$B$61,AC40))</f>
        <v>21270549.6835372</v>
      </c>
      <c r="Y41" s="0" t="n">
        <f aca="false">X41*Inputs!$B$9</f>
        <v>53921.8774907953</v>
      </c>
      <c r="Z41" s="0" t="n">
        <f aca="false">(X41-Y41)*Inputs!$C$61/12</f>
        <v>155588.603911007</v>
      </c>
      <c r="AA41" s="0" t="n">
        <f aca="false">IF(W41&lt;=0,0,IF(W41=1,X41-Y41,MIN((X41-Y41)*(Inputs!$C$61/12)/(1-(1+Inputs!$C$61/12)^(-W41))-Z41,X41-Y41)))</f>
        <v>776345.851599937</v>
      </c>
      <c r="AB41" s="0" t="n">
        <f aca="false">(X41-Y41-AA41)*Inputs!$B$10</f>
        <v>178680.992650079</v>
      </c>
      <c r="AC41" s="0" t="n">
        <f aca="false">X41-Y41-AA41-AB41</f>
        <v>20261600.9617963</v>
      </c>
      <c r="AD41" s="0" t="n">
        <f aca="false">Inputs!$D$62-(A41-1)</f>
        <v>25</v>
      </c>
      <c r="AE41" s="0" t="n">
        <f aca="false">IF(AD41&lt;=0,0,IF(A41=1,Inputs!$B$62,AJ40))</f>
        <v>6053030.34904319</v>
      </c>
      <c r="AF41" s="0" t="n">
        <f aca="false">AE41*Inputs!$B$9</f>
        <v>15344.7261958533</v>
      </c>
      <c r="AG41" s="0" t="n">
        <f aca="false">(AE41-AF41)*Inputs!$C$62/12</f>
        <v>46792.0635770669</v>
      </c>
      <c r="AH41" s="0" t="n">
        <f aca="false">IF(AD41&lt;=0,0,IF(AD41=1,AE41-AF41,MIN((AE41-AF41)*(Inputs!$C$62/12)/(1-(1+Inputs!$C$62/12)^(-AD41))-AG41,AE41-AF41)))</f>
        <v>219798.14779316</v>
      </c>
      <c r="AI41" s="0" t="n">
        <f aca="false">(AE41-AF41-AH41)*Inputs!$B$10</f>
        <v>50857.7088851265</v>
      </c>
      <c r="AJ41" s="0" t="n">
        <f aca="false">AE41-AF41-AH41-AI41</f>
        <v>5767029.76616905</v>
      </c>
      <c r="AK41" s="0" t="n">
        <f aca="false">Inputs!$D$63-(A41-1)</f>
        <v>25</v>
      </c>
      <c r="AL41" s="0" t="n">
        <f aca="false">IF(AK41&lt;=0,0,IF(A41=1,Inputs!$B$63,AQ40))</f>
        <v>7255089.25211791</v>
      </c>
      <c r="AM41" s="0" t="n">
        <f aca="false">AL41*Inputs!$B$9</f>
        <v>18392.003951843</v>
      </c>
      <c r="AN41" s="0" t="n">
        <f aca="false">(AL41-AM41)*Inputs!$C$63/12</f>
        <v>57592.0489333216</v>
      </c>
      <c r="AO41" s="0" t="n">
        <f aca="false">IF(AK41&lt;=0,0,IF(AK41=1,AL41-AM41,MIN((AL41-AM41)*(Inputs!$C$63/12)/(1-(1+Inputs!$C$63/12)^(-AK41))-AN41,AL41-AM41)))</f>
        <v>262772.651398025</v>
      </c>
      <c r="AP41" s="0" t="n">
        <f aca="false">(AL41-AM41-AO41)*Inputs!$B$10</f>
        <v>60963.3356523364</v>
      </c>
      <c r="AQ41" s="0" t="n">
        <f aca="false">AL41-AM41-AO41-AP41</f>
        <v>6912961.26111571</v>
      </c>
      <c r="AR41" s="0" t="n">
        <f aca="false">Inputs!$D$64-(A41-1)</f>
        <v>37</v>
      </c>
      <c r="AS41" s="0" t="n">
        <f aca="false">IF(AR41&lt;=0,0,IF(A41=1,Inputs!$B$64,AX40))</f>
        <v>13887863.5925593</v>
      </c>
      <c r="AT41" s="0" t="n">
        <f aca="false">AS41*Inputs!$B$9</f>
        <v>35206.4093494706</v>
      </c>
      <c r="AU41" s="0" t="n">
        <f aca="false">(AS41-AT41)*Inputs!$C$64/12</f>
        <v>113130.033662881</v>
      </c>
      <c r="AV41" s="0" t="n">
        <f aca="false">IF(AR41&lt;=0,0,IF(AR41=1,AS41-AT41,MIN((AS41-AT41)*(Inputs!$C$64/12)/(1-(1+Inputs!$C$64/12)^(-AR41))-AU41,AS41-AT41)))</f>
        <v>322190.669901325</v>
      </c>
      <c r="AW41" s="0" t="n">
        <f aca="false">(AS41-AT41-AV41)*Inputs!$B$10</f>
        <v>118278.074294895</v>
      </c>
      <c r="AX41" s="0" t="n">
        <f aca="false">AS41-AT41-AV41-AW41</f>
        <v>13412188.4390137</v>
      </c>
      <c r="AY41" s="0" t="n">
        <f aca="false">Inputs!$D$65-(A41-1)</f>
        <v>37</v>
      </c>
      <c r="AZ41" s="0" t="n">
        <f aca="false">IF(AY41&lt;=0,0,IF(A41=1,Inputs!$B$65,BE40))</f>
        <v>14449817.5628669</v>
      </c>
      <c r="BA41" s="0" t="n">
        <f aca="false">AZ41*Inputs!$B$9</f>
        <v>36630.9899829387</v>
      </c>
      <c r="BB41" s="0" t="n">
        <f aca="false">(AZ41-BA41)*Inputs!$C$65/12</f>
        <v>123713.184750587</v>
      </c>
      <c r="BC41" s="0" t="n">
        <f aca="false">IF(AY41&lt;=0,0,IF(AY41=1,AZ41-BA41,MIN((AZ41-BA41)*(Inputs!$C$65/12)/(1-(1+Inputs!$C$65/12)^(-AY41))-BB41,AZ41-BA41)))</f>
        <v>332613.120742322</v>
      </c>
      <c r="BD41" s="0" t="n">
        <f aca="false">(AZ41-BA41-BC41)*Inputs!$B$10</f>
        <v>123086.895137653</v>
      </c>
      <c r="BE41" s="0" t="n">
        <f aca="false">AZ41-BA41-BC41-BD41</f>
        <v>13957486.5570039</v>
      </c>
      <c r="BF41" s="0" t="n">
        <f aca="false">Inputs!$D$66-(A41-1)</f>
        <v>49</v>
      </c>
      <c r="BG41" s="0" t="n">
        <f aca="false">IF(BF41&lt;=0,0,IF(A41=1,Inputs!$B$66,BL40))</f>
        <v>16273943.1269138</v>
      </c>
      <c r="BH41" s="0" t="n">
        <f aca="false">BG41*Inputs!$B$9</f>
        <v>41255.23696554</v>
      </c>
      <c r="BI41" s="0" t="n">
        <f aca="false">(BG41-BH41)*Inputs!$C$66/12</f>
        <v>142712.381032462</v>
      </c>
      <c r="BJ41" s="0" t="n">
        <f aca="false">IF(BF41&lt;=0,0,IF(BF41=1,BG41-BH41,MIN((BG41-BH41)*(Inputs!$C$66/12)/(1-(1+Inputs!$C$66/12)^(-BF41))-BI41,BG41-BH41)))</f>
        <v>266462.592548934</v>
      </c>
      <c r="BK41" s="0" t="n">
        <f aca="false">(BG41-BH41-BJ41)*Inputs!$B$10</f>
        <v>139570.529964902</v>
      </c>
      <c r="BL41" s="0" t="n">
        <f aca="false">BG41-BH41-BJ41-BK41</f>
        <v>15826654.7674344</v>
      </c>
      <c r="BM41" s="0" t="n">
        <f aca="false">Inputs!$D$67-(A41-1)</f>
        <v>49</v>
      </c>
      <c r="BN41" s="0" t="n">
        <f aca="false">IF(BM41&lt;=0,0,IF(A41=1,Inputs!$B$67,BS40))</f>
        <v>21447153.9231857</v>
      </c>
      <c r="BO41" s="0" t="n">
        <f aca="false">BN41*Inputs!$B$9</f>
        <v>54369.5778237141</v>
      </c>
      <c r="BP41" s="0" t="n">
        <f aca="false">(BN41-BO41)*Inputs!$C$67/12</f>
        <v>196991.889180209</v>
      </c>
      <c r="BQ41" s="0" t="n">
        <f aca="false">IF(BM41&lt;=0,0,IF(BM41=1,BN41-BO41,MIN((BN41-BO41)*(Inputs!$C$67/12)/(1-(1+Inputs!$C$67/12)^(-BM41))-BP41,BN41-BO41)))</f>
        <v>347447.006799375</v>
      </c>
      <c r="BR41" s="0" t="n">
        <f aca="false">(BN41-BO41-BQ41)*Inputs!$B$10</f>
        <v>183970.151424067</v>
      </c>
      <c r="BS41" s="0" t="n">
        <f aca="false">BN41-BO41-BQ41-BR41</f>
        <v>20861367.1871386</v>
      </c>
      <c r="BT41" s="0" t="n">
        <f aca="false">C41+J41+Q41+X41+AE41+AL41+AS41+AZ41+BG41+BN41</f>
        <v>121223178.818659</v>
      </c>
      <c r="BU41" s="0" t="n">
        <f aca="false">D41+K41+R41+Y41+AF41+AM41+AT41+BA41+BH41+BO41</f>
        <v>307306.651429119</v>
      </c>
      <c r="BV41" s="0" t="n">
        <f aca="false">E41+L41+S41+Z41+AG41+AN41+AU41+BB41+BI41+BP41</f>
        <v>971490.052315312</v>
      </c>
      <c r="BW41" s="0" t="n">
        <f aca="false">F41+M41+T41+AA41+AH41+AO41+AV41+BC41+BJ41+BQ41</f>
        <v>4792910.0589971</v>
      </c>
      <c r="BX41" s="0" t="n">
        <f aca="false">G41+N41+U41+AB41+AI41+AP41+AW41+BD41+BK41+BR41</f>
        <v>1015101.75765716</v>
      </c>
      <c r="BY41" s="0" t="n">
        <f aca="false">H41+O41+V41+AC41+AJ41+AQ41+AX41+BE41+BL41+BS41</f>
        <v>115107860.350576</v>
      </c>
      <c r="BZ41" s="0" t="n">
        <f aca="false">IF(A41&gt;Inputs!$B$7,(1-Inputs!$B$6)*INDEX($BU$6:$BU$125,A41-Inputs!$B$7),0)</f>
        <v>243096.507159322</v>
      </c>
      <c r="CA41" s="0" t="n">
        <f aca="false">CA40+(1-Inputs!$B$6)*BU41-BZ41</f>
        <v>1250626.36611042</v>
      </c>
      <c r="CB41" s="0" t="n">
        <f aca="false">BY41+CA41</f>
        <v>116358486.716686</v>
      </c>
      <c r="CC41" s="0" t="n">
        <f aca="false">BV41+BW41+BX41+BZ41</f>
        <v>7022598.37612889</v>
      </c>
      <c r="CD41" s="0" t="n">
        <f aca="false">CD40+BU41-BZ41</f>
        <v>10363520.5757785</v>
      </c>
    </row>
    <row r="42" customFormat="false" ht="15" hidden="false" customHeight="false" outlineLevel="0" collapsed="false">
      <c r="A42" s="0" t="n">
        <f aca="false">ROW()-5</f>
        <v>37</v>
      </c>
      <c r="B42" s="0" t="n">
        <f aca="false">Inputs!$D$58-(A42-1)</f>
        <v>0</v>
      </c>
      <c r="C42" s="0" t="n">
        <f aca="false">IF(B42&lt;=0,0,IF(A42=1,Inputs!$B$58,H41))</f>
        <v>0</v>
      </c>
      <c r="D42" s="0" t="n">
        <f aca="false">C42*Inputs!$B$9</f>
        <v>0</v>
      </c>
      <c r="E42" s="0" t="n">
        <f aca="false">(C42-D42)*Inputs!$C$58/12</f>
        <v>0</v>
      </c>
      <c r="F42" s="0" t="n">
        <f aca="false">IF(B42&lt;=0,0,IF(B42=1,C42-D42,MIN((C42-D42)*(Inputs!$C$58/12)/(1-(1+Inputs!$C$58/12)^(-B42))-E42,C42-D42)))</f>
        <v>0</v>
      </c>
      <c r="G42" s="0" t="n">
        <f aca="false">(C42-D42-F42)*Inputs!$B$10</f>
        <v>0</v>
      </c>
      <c r="H42" s="0" t="n">
        <f aca="false">C42-D42-F42-G42</f>
        <v>0</v>
      </c>
      <c r="I42" s="0" t="n">
        <f aca="false">Inputs!$D$59-(A42-1)</f>
        <v>12</v>
      </c>
      <c r="J42" s="0" t="n">
        <f aca="false">IF(I42&lt;=0,0,IF(A42=1,Inputs!$B$59,O41))</f>
        <v>14058480.6054386</v>
      </c>
      <c r="K42" s="0" t="n">
        <f aca="false">J42*Inputs!$B$9</f>
        <v>35638.931771467</v>
      </c>
      <c r="L42" s="0" t="n">
        <f aca="false">(J42-K42)*Inputs!$C$59/12</f>
        <v>91148.4708788362</v>
      </c>
      <c r="M42" s="0" t="n">
        <f aca="false">IF(I42&lt;=0,0,IF(I42=1,J42-K42,MIN((J42-K42)*(Inputs!$C$59/12)/(1-(1+Inputs!$C$59/12)^(-I42))-L42,J42-K42)))</f>
        <v>1127380.14432886</v>
      </c>
      <c r="N42" s="0" t="n">
        <f aca="false">(J42-K42-M42)*Inputs!$B$10</f>
        <v>112727.107770733</v>
      </c>
      <c r="O42" s="0" t="n">
        <f aca="false">J42-K42-M42-N42</f>
        <v>12782734.4215675</v>
      </c>
      <c r="P42" s="0" t="n">
        <f aca="false">Inputs!$D$60-(A42-1)</f>
        <v>12</v>
      </c>
      <c r="Q42" s="0" t="n">
        <f aca="false">IF(P42&lt;=0,0,IF(A42=1,Inputs!$B$60,V41))</f>
        <v>4050090.80546573</v>
      </c>
      <c r="R42" s="0" t="n">
        <f aca="false">Q42*Inputs!$B$9</f>
        <v>10267.1770823086</v>
      </c>
      <c r="S42" s="0" t="n">
        <f aca="false">(Q42-R42)*Inputs!$C$60/12</f>
        <v>27942.113429652</v>
      </c>
      <c r="T42" s="0" t="n">
        <f aca="false">IF(P42&lt;=0,0,IF(P42=1,Q42-R42,MIN((Q42-R42)*(Inputs!$C$60/12)/(1-(1+Inputs!$C$60/12)^(-P42))-S42,Q42-R42)))</f>
        <v>324036.408550832</v>
      </c>
      <c r="U42" s="0" t="n">
        <f aca="false">(Q42-R42-T42)*Inputs!$B$10</f>
        <v>32481.9662662107</v>
      </c>
      <c r="V42" s="0" t="n">
        <f aca="false">Q42-R42-T42-U42</f>
        <v>3683305.25356638</v>
      </c>
      <c r="W42" s="0" t="n">
        <f aca="false">Inputs!$D$61-(A42-1)</f>
        <v>24</v>
      </c>
      <c r="X42" s="0" t="n">
        <f aca="false">IF(W42&lt;=0,0,IF(A42=1,Inputs!$B$61,AC41))</f>
        <v>20261600.9617963</v>
      </c>
      <c r="Y42" s="0" t="n">
        <f aca="false">X42*Inputs!$B$9</f>
        <v>51364.1434323139</v>
      </c>
      <c r="Z42" s="0" t="n">
        <f aca="false">(X42-Y42)*Inputs!$C$61/12</f>
        <v>148208.40333467</v>
      </c>
      <c r="AA42" s="0" t="n">
        <f aca="false">IF(W42&lt;=0,0,IF(W42=1,X42-Y42,MIN((X42-Y42)*(Inputs!$C$61/12)/(1-(1+Inputs!$C$61/12)^(-W42))-Z42,X42-Y42)))</f>
        <v>773237.596629738</v>
      </c>
      <c r="AB42" s="0" t="n">
        <f aca="false">(X42-Y42-AA42)*Inputs!$B$10</f>
        <v>169910.685323144</v>
      </c>
      <c r="AC42" s="0" t="n">
        <f aca="false">X42-Y42-AA42-AB42</f>
        <v>19267088.5364111</v>
      </c>
      <c r="AD42" s="0" t="n">
        <f aca="false">Inputs!$D$62-(A42-1)</f>
        <v>24</v>
      </c>
      <c r="AE42" s="0" t="n">
        <f aca="false">IF(AD42&lt;=0,0,IF(A42=1,Inputs!$B$62,AJ41))</f>
        <v>5767029.76616905</v>
      </c>
      <c r="AF42" s="0" t="n">
        <f aca="false">AE42*Inputs!$B$9</f>
        <v>14619.7008146818</v>
      </c>
      <c r="AG42" s="0" t="n">
        <f aca="false">(AE42-AF42)*Inputs!$C$62/12</f>
        <v>44581.1780064964</v>
      </c>
      <c r="AH42" s="0" t="n">
        <f aca="false">IF(AD42&lt;=0,0,IF(AD42=1,AE42-AF42,MIN((AE42-AF42)*(Inputs!$C$62/12)/(1-(1+Inputs!$C$62/12)^(-AD42))-AG42,AE42-AF42)))</f>
        <v>219008.694053854</v>
      </c>
      <c r="AI42" s="0" t="n">
        <f aca="false">(AE42-AF42-AH42)*Inputs!$B$10</f>
        <v>48370.8420440944</v>
      </c>
      <c r="AJ42" s="0" t="n">
        <f aca="false">AE42-AF42-AH42-AI42</f>
        <v>5485030.52925642</v>
      </c>
      <c r="AK42" s="0" t="n">
        <f aca="false">Inputs!$D$63-(A42-1)</f>
        <v>24</v>
      </c>
      <c r="AL42" s="0" t="n">
        <f aca="false">IF(AK42&lt;=0,0,IF(A42=1,Inputs!$B$63,AQ41))</f>
        <v>6912961.26111571</v>
      </c>
      <c r="AM42" s="0" t="n">
        <f aca="false">AL42*Inputs!$B$9</f>
        <v>17524.6928624981</v>
      </c>
      <c r="AN42" s="0" t="n">
        <f aca="false">(AL42-AM42)*Inputs!$C$63/12</f>
        <v>54876.1826890151</v>
      </c>
      <c r="AO42" s="0" t="n">
        <f aca="false">IF(AK42&lt;=0,0,IF(AK42=1,AL42-AM42,MIN((AL42-AM42)*(Inputs!$C$63/12)/(1-(1+Inputs!$C$63/12)^(-AK42))-AN42,AL42-AM42)))</f>
        <v>261882.973391623</v>
      </c>
      <c r="AP42" s="0" t="n">
        <f aca="false">(AL42-AM42-AO42)*Inputs!$B$10</f>
        <v>57987.9447734099</v>
      </c>
      <c r="AQ42" s="0" t="n">
        <f aca="false">AL42-AM42-AO42-AP42</f>
        <v>6575565.65008818</v>
      </c>
      <c r="AR42" s="0" t="n">
        <f aca="false">Inputs!$D$64-(A42-1)</f>
        <v>36</v>
      </c>
      <c r="AS42" s="0" t="n">
        <f aca="false">IF(AR42&lt;=0,0,IF(A42=1,Inputs!$B$64,AX41))</f>
        <v>13412188.4390137</v>
      </c>
      <c r="AT42" s="0" t="n">
        <f aca="false">AS42*Inputs!$B$9</f>
        <v>34000.549710838</v>
      </c>
      <c r="AU42" s="0" t="n">
        <f aca="false">(AS42-AT42)*Inputs!$C$64/12</f>
        <v>109255.201095973</v>
      </c>
      <c r="AV42" s="0" t="n">
        <f aca="false">IF(AR42&lt;=0,0,IF(AR42=1,AS42-AT42,MIN((AS42-AT42)*(Inputs!$C$64/12)/(1-(1+Inputs!$C$64/12)^(-AR42))-AU42,AS42-AT42)))</f>
        <v>321166.185975725</v>
      </c>
      <c r="AW42" s="0" t="n">
        <f aca="false">(AS42-AT42-AV42)*Inputs!$B$10</f>
        <v>114139.403957517</v>
      </c>
      <c r="AX42" s="0" t="n">
        <f aca="false">AS42-AT42-AV42-AW42</f>
        <v>12942882.2993696</v>
      </c>
      <c r="AY42" s="0" t="n">
        <f aca="false">Inputs!$D$65-(A42-1)</f>
        <v>36</v>
      </c>
      <c r="AZ42" s="0" t="n">
        <f aca="false">IF(AY42&lt;=0,0,IF(A42=1,Inputs!$B$65,BE41))</f>
        <v>13957486.5570039</v>
      </c>
      <c r="BA42" s="0" t="n">
        <f aca="false">AZ42*Inputs!$B$9</f>
        <v>35382.9069489771</v>
      </c>
      <c r="BB42" s="0" t="n">
        <f aca="false">(AZ42-BA42)*Inputs!$C$65/12</f>
        <v>119498.056329638</v>
      </c>
      <c r="BC42" s="0" t="n">
        <f aca="false">IF(AY42&lt;=0,0,IF(AY42=1,AZ42-BA42,MIN((AZ42-BA42)*(Inputs!$C$65/12)/(1-(1+Inputs!$C$65/12)^(-AY42))-BB42,AZ42-BA42)))</f>
        <v>331692.525141506</v>
      </c>
      <c r="BD42" s="0" t="n">
        <f aca="false">(AZ42-BA42-BC42)*Inputs!$B$10</f>
        <v>118802.086768376</v>
      </c>
      <c r="BE42" s="0" t="n">
        <f aca="false">AZ42-BA42-BC42-BD42</f>
        <v>13471609.0381451</v>
      </c>
      <c r="BF42" s="0" t="n">
        <f aca="false">Inputs!$D$66-(A42-1)</f>
        <v>48</v>
      </c>
      <c r="BG42" s="0" t="n">
        <f aca="false">IF(BF42&lt;=0,0,IF(A42=1,Inputs!$B$66,BL41))</f>
        <v>15826654.7674344</v>
      </c>
      <c r="BH42" s="0" t="n">
        <f aca="false">BG42*Inputs!$B$9</f>
        <v>40121.3392298565</v>
      </c>
      <c r="BI42" s="0" t="n">
        <f aca="false">(BG42-BH42)*Inputs!$C$66/12</f>
        <v>138789.939722965</v>
      </c>
      <c r="BJ42" s="0" t="n">
        <f aca="false">IF(BF42&lt;=0,0,IF(BF42=1,BG42-BH42,MIN((BG42-BH42)*(Inputs!$C$66/12)/(1-(1+Inputs!$C$66/12)^(-BF42))-BI42,BG42-BH42)))</f>
        <v>265779.974462048</v>
      </c>
      <c r="BK42" s="0" t="n">
        <f aca="false">(BG42-BH42-BJ42)*Inputs!$B$10</f>
        <v>135676.388416383</v>
      </c>
      <c r="BL42" s="0" t="n">
        <f aca="false">BG42-BH42-BJ42-BK42</f>
        <v>15385077.0653262</v>
      </c>
      <c r="BM42" s="0" t="n">
        <f aca="false">Inputs!$D$67-(A42-1)</f>
        <v>48</v>
      </c>
      <c r="BN42" s="0" t="n">
        <f aca="false">IF(BM42&lt;=0,0,IF(A42=1,Inputs!$B$67,BS41))</f>
        <v>20861367.1871386</v>
      </c>
      <c r="BO42" s="0" t="n">
        <f aca="false">BN42*Inputs!$B$9</f>
        <v>52884.5799704939</v>
      </c>
      <c r="BP42" s="0" t="n">
        <f aca="false">(BN42-BO42)*Inputs!$C$67/12</f>
        <v>191611.444007673</v>
      </c>
      <c r="BQ42" s="0" t="n">
        <f aca="false">IF(BM42&lt;=0,0,IF(BM42=1,BN42-BO42,MIN((BN42-BO42)*(Inputs!$C$67/12)/(1-(1+Inputs!$C$67/12)^(-BM42))-BP42,BN42-BO42)))</f>
        <v>346700.064874546</v>
      </c>
      <c r="BR42" s="0" t="n">
        <f aca="false">(BN42-BO42-BQ42)*Inputs!$B$10</f>
        <v>178868.942424335</v>
      </c>
      <c r="BS42" s="0" t="n">
        <f aca="false">BN42-BO42-BQ42-BR42</f>
        <v>20282913.5998692</v>
      </c>
      <c r="BT42" s="0" t="n">
        <f aca="false">C42+J42+Q42+X42+AE42+AL42+AS42+AZ42+BG42+BN42</f>
        <v>115107860.350576</v>
      </c>
      <c r="BU42" s="0" t="n">
        <f aca="false">D42+K42+R42+Y42+AF42+AM42+AT42+BA42+BH42+BO42</f>
        <v>291804.021823435</v>
      </c>
      <c r="BV42" s="0" t="n">
        <f aca="false">E42+L42+S42+Z42+AG42+AN42+AU42+BB42+BI42+BP42</f>
        <v>925910.989494919</v>
      </c>
      <c r="BW42" s="0" t="n">
        <f aca="false">F42+M42+T42+AA42+AH42+AO42+AV42+BC42+BJ42+BQ42</f>
        <v>3970884.56740874</v>
      </c>
      <c r="BX42" s="0" t="n">
        <f aca="false">G42+N42+U42+AB42+AI42+AP42+AW42+BD42+BK42+BR42</f>
        <v>968965.367744203</v>
      </c>
      <c r="BY42" s="0" t="n">
        <f aca="false">H42+O42+V42+AC42+AJ42+AQ42+AX42+BE42+BL42+BS42</f>
        <v>109876206.3936</v>
      </c>
      <c r="BZ42" s="0" t="n">
        <f aca="false">IF(A42&gt;Inputs!$B$7,(1-Inputs!$B$6)*INDEX($BU$6:$BU$125,A42-Inputs!$B$7),0)</f>
        <v>232956.947892437</v>
      </c>
      <c r="CA42" s="0" t="n">
        <f aca="false">CA41+(1-Inputs!$B$6)*BU42-BZ42</f>
        <v>1192751.83131205</v>
      </c>
      <c r="CB42" s="0" t="n">
        <f aca="false">BY42+CA42</f>
        <v>111068958.224912</v>
      </c>
      <c r="CC42" s="0" t="n">
        <f aca="false">BV42+BW42+BX42+BZ42</f>
        <v>6098717.87254029</v>
      </c>
      <c r="CD42" s="0" t="n">
        <f aca="false">CD41+BU42-BZ42</f>
        <v>10422367.6497095</v>
      </c>
    </row>
    <row r="43" customFormat="false" ht="15" hidden="false" customHeight="false" outlineLevel="0" collapsed="false">
      <c r="A43" s="0" t="n">
        <f aca="false">ROW()-5</f>
        <v>38</v>
      </c>
      <c r="B43" s="0" t="n">
        <f aca="false">Inputs!$D$58-(A43-1)</f>
        <v>-1</v>
      </c>
      <c r="C43" s="0" t="n">
        <f aca="false">IF(B43&lt;=0,0,IF(A43=1,Inputs!$B$58,H42))</f>
        <v>0</v>
      </c>
      <c r="D43" s="0" t="n">
        <f aca="false">C43*Inputs!$B$9</f>
        <v>0</v>
      </c>
      <c r="E43" s="0" t="n">
        <f aca="false">(C43-D43)*Inputs!$C$58/12</f>
        <v>0</v>
      </c>
      <c r="F43" s="0" t="n">
        <f aca="false">IF(B43&lt;=0,0,IF(B43=1,C43-D43,MIN((C43-D43)*(Inputs!$C$58/12)/(1-(1+Inputs!$C$58/12)^(-B43))-E43,C43-D43)))</f>
        <v>0</v>
      </c>
      <c r="G43" s="0" t="n">
        <f aca="false">(C43-D43-F43)*Inputs!$B$10</f>
        <v>0</v>
      </c>
      <c r="H43" s="0" t="n">
        <f aca="false">C43-D43-F43-G43</f>
        <v>0</v>
      </c>
      <c r="I43" s="0" t="n">
        <f aca="false">Inputs!$D$59-(A43-1)</f>
        <v>11</v>
      </c>
      <c r="J43" s="0" t="n">
        <f aca="false">IF(I43&lt;=0,0,IF(A43=1,Inputs!$B$59,O42))</f>
        <v>12782734.4215675</v>
      </c>
      <c r="K43" s="0" t="n">
        <f aca="false">J43*Inputs!$B$9</f>
        <v>32404.8531764372</v>
      </c>
      <c r="L43" s="0" t="n">
        <f aca="false">(J43-K43)*Inputs!$C$59/12</f>
        <v>82877.142194542</v>
      </c>
      <c r="M43" s="0" t="n">
        <f aca="false">IF(I43&lt;=0,0,IF(I43=1,J43-K43,MIN((J43-K43)*(Inputs!$C$59/12)/(1-(1+Inputs!$C$59/12)^(-I43))-L43,J43-K43)))</f>
        <v>1121937.54373711</v>
      </c>
      <c r="N43" s="0" t="n">
        <f aca="false">(J43-K43-M43)*Inputs!$B$10</f>
        <v>101650.879108223</v>
      </c>
      <c r="O43" s="0" t="n">
        <f aca="false">J43-K43-M43-N43</f>
        <v>11526741.1455457</v>
      </c>
      <c r="P43" s="0" t="n">
        <f aca="false">Inputs!$D$60-(A43-1)</f>
        <v>11</v>
      </c>
      <c r="Q43" s="0" t="n">
        <f aca="false">IF(P43&lt;=0,0,IF(A43=1,Inputs!$B$60,V42))</f>
        <v>3683305.25356638</v>
      </c>
      <c r="R43" s="0" t="n">
        <f aca="false">Q43*Inputs!$B$9</f>
        <v>9337.35787739085</v>
      </c>
      <c r="S43" s="0" t="n">
        <f aca="false">(Q43-R43)*Inputs!$C$60/12</f>
        <v>25411.6112785155</v>
      </c>
      <c r="T43" s="0" t="n">
        <f aca="false">IF(P43&lt;=0,0,IF(P43=1,Q43-R43,MIN((Q43-R43)*(Inputs!$C$60/12)/(1-(1+Inputs!$C$60/12)^(-P43))-S43,Q43-R43)))</f>
        <v>322605.568722071</v>
      </c>
      <c r="U43" s="0" t="n">
        <f aca="false">(Q43-R43-T43)*Inputs!$B$10</f>
        <v>29296.3056305719</v>
      </c>
      <c r="V43" s="0" t="n">
        <f aca="false">Q43-R43-T43-U43</f>
        <v>3322066.02133635</v>
      </c>
      <c r="W43" s="0" t="n">
        <f aca="false">Inputs!$D$61-(A43-1)</f>
        <v>23</v>
      </c>
      <c r="X43" s="0" t="n">
        <f aca="false">IF(W43&lt;=0,0,IF(A43=1,Inputs!$B$61,AC42))</f>
        <v>19267088.5364111</v>
      </c>
      <c r="Y43" s="0" t="n">
        <f aca="false">X43*Inputs!$B$9</f>
        <v>48843.0060868978</v>
      </c>
      <c r="Z43" s="0" t="n">
        <f aca="false">(X43-Y43)*Inputs!$C$61/12</f>
        <v>140933.800555711</v>
      </c>
      <c r="AA43" s="0" t="n">
        <f aca="false">IF(W43&lt;=0,0,IF(W43=1,X43-Y43,MIN((X43-Y43)*(Inputs!$C$61/12)/(1-(1+Inputs!$C$61/12)^(-W43))-Z43,X43-Y43)))</f>
        <v>770141.786176296</v>
      </c>
      <c r="AB43" s="0" t="n">
        <f aca="false">(X43-Y43-AA43)*Inputs!$B$10</f>
        <v>161266.145783225</v>
      </c>
      <c r="AC43" s="0" t="n">
        <f aca="false">X43-Y43-AA43-AB43</f>
        <v>18286837.5983647</v>
      </c>
      <c r="AD43" s="0" t="n">
        <f aca="false">Inputs!$D$62-(A43-1)</f>
        <v>23</v>
      </c>
      <c r="AE43" s="0" t="n">
        <f aca="false">IF(AD43&lt;=0,0,IF(A43=1,Inputs!$B$62,AJ42))</f>
        <v>5485030.52925642</v>
      </c>
      <c r="AF43" s="0" t="n">
        <f aca="false">AE43*Inputs!$B$9</f>
        <v>13904.8190400434</v>
      </c>
      <c r="AG43" s="0" t="n">
        <f aca="false">(AE43-AF43)*Inputs!$C$62/12</f>
        <v>42401.2242541769</v>
      </c>
      <c r="AH43" s="0" t="n">
        <f aca="false">IF(AD43&lt;=0,0,IF(AD43=1,AE43-AF43,MIN((AE43-AF43)*(Inputs!$C$62/12)/(1-(1+Inputs!$C$62/12)^(-AD43))-AG43,AE43-AF43)))</f>
        <v>218222.075812538</v>
      </c>
      <c r="AI43" s="0" t="n">
        <f aca="false">(AE43-AF43-AH43)*Inputs!$B$10</f>
        <v>45918.8399544708</v>
      </c>
      <c r="AJ43" s="0" t="n">
        <f aca="false">AE43-AF43-AH43-AI43</f>
        <v>5206984.79444937</v>
      </c>
      <c r="AK43" s="0" t="n">
        <f aca="false">Inputs!$D$63-(A43-1)</f>
        <v>23</v>
      </c>
      <c r="AL43" s="0" t="n">
        <f aca="false">IF(AK43&lt;=0,0,IF(A43=1,Inputs!$B$63,AQ42))</f>
        <v>6575565.65008818</v>
      </c>
      <c r="AM43" s="0" t="n">
        <f aca="false">AL43*Inputs!$B$9</f>
        <v>16669.3785864482</v>
      </c>
      <c r="AN43" s="0" t="n">
        <f aca="false">(AL43-AM43)*Inputs!$C$63/12</f>
        <v>52197.8828273679</v>
      </c>
      <c r="AO43" s="0" t="n">
        <f aca="false">IF(AK43&lt;=0,0,IF(AK43=1,AL43-AM43,MIN((AL43-AM43)*(Inputs!$C$63/12)/(1-(1+Inputs!$C$63/12)^(-AK43))-AN43,AL43-AM43)))</f>
        <v>260996.307597301</v>
      </c>
      <c r="AP43" s="0" t="n">
        <f aca="false">(AL43-AM43-AO43)*Inputs!$B$10</f>
        <v>55053.791316051</v>
      </c>
      <c r="AQ43" s="0" t="n">
        <f aca="false">AL43-AM43-AO43-AP43</f>
        <v>6242846.17258838</v>
      </c>
      <c r="AR43" s="0" t="n">
        <f aca="false">Inputs!$D$64-(A43-1)</f>
        <v>35</v>
      </c>
      <c r="AS43" s="0" t="n">
        <f aca="false">IF(AR43&lt;=0,0,IF(A43=1,Inputs!$B$64,AX42))</f>
        <v>12942882.2993696</v>
      </c>
      <c r="AT43" s="0" t="n">
        <f aca="false">AS43*Inputs!$B$9</f>
        <v>32810.8358320682</v>
      </c>
      <c r="AU43" s="0" t="n">
        <f aca="false">(AS43-AT43)*Inputs!$C$64/12</f>
        <v>105432.250285556</v>
      </c>
      <c r="AV43" s="0" t="n">
        <f aca="false">IF(AR43&lt;=0,0,IF(AR43=1,AS43-AT43,MIN((AS43-AT43)*(Inputs!$C$64/12)/(1-(1+Inputs!$C$64/12)^(-AR43))-AU43,AS43-AT43)))</f>
        <v>320144.959646984</v>
      </c>
      <c r="AW43" s="0" t="n">
        <f aca="false">(AS43-AT43-AV43)*Inputs!$B$10</f>
        <v>110056.239445236</v>
      </c>
      <c r="AX43" s="0" t="n">
        <f aca="false">AS43-AT43-AV43-AW43</f>
        <v>12479870.2644453</v>
      </c>
      <c r="AY43" s="0" t="n">
        <f aca="false">Inputs!$D$65-(A43-1)</f>
        <v>35</v>
      </c>
      <c r="AZ43" s="0" t="n">
        <f aca="false">IF(AY43&lt;=0,0,IF(A43=1,Inputs!$B$65,BE42))</f>
        <v>13471609.0381451</v>
      </c>
      <c r="BA43" s="0" t="n">
        <f aca="false">AZ43*Inputs!$B$9</f>
        <v>34151.1838182995</v>
      </c>
      <c r="BB43" s="0" t="n">
        <f aca="false">(AZ43-BA43)*Inputs!$C$65/12</f>
        <v>115338.179916305</v>
      </c>
      <c r="BC43" s="0" t="n">
        <f aca="false">IF(AY43&lt;=0,0,IF(AY43=1,AZ43-BA43,MIN((AZ43-BA43)*(Inputs!$C$65/12)/(1-(1+Inputs!$C$65/12)^(-AY43))-BB43,AZ43-BA43)))</f>
        <v>330774.477534763</v>
      </c>
      <c r="BD43" s="0" t="n">
        <f aca="false">(AZ43-BA43-BC43)*Inputs!$B$10</f>
        <v>114573.526986307</v>
      </c>
      <c r="BE43" s="0" t="n">
        <f aca="false">AZ43-BA43-BC43-BD43</f>
        <v>12992109.8498057</v>
      </c>
      <c r="BF43" s="0" t="n">
        <f aca="false">Inputs!$D$66-(A43-1)</f>
        <v>47</v>
      </c>
      <c r="BG43" s="0" t="n">
        <f aca="false">IF(BF43&lt;=0,0,IF(A43=1,Inputs!$B$66,BL42))</f>
        <v>15385077.0653262</v>
      </c>
      <c r="BH43" s="0" t="n">
        <f aca="false">BG43*Inputs!$B$9</f>
        <v>39001.9182882257</v>
      </c>
      <c r="BI43" s="0" t="n">
        <f aca="false">(BG43-BH43)*Inputs!$C$66/12</f>
        <v>134917.577334375</v>
      </c>
      <c r="BJ43" s="0" t="n">
        <f aca="false">IF(BF43&lt;=0,0,IF(BF43=1,BG43-BH43,MIN((BG43-BH43)*(Inputs!$C$66/12)/(1-(1+Inputs!$C$66/12)^(-BF43))-BI43,BG43-BH43)))</f>
        <v>265099.105091363</v>
      </c>
      <c r="BK43" s="0" t="n">
        <f aca="false">(BG43-BH43-BJ43)*Inputs!$B$10</f>
        <v>131832.025375799</v>
      </c>
      <c r="BL43" s="0" t="n">
        <f aca="false">BG43-BH43-BJ43-BK43</f>
        <v>14949144.0165708</v>
      </c>
      <c r="BM43" s="0" t="n">
        <f aca="false">Inputs!$D$67-(A43-1)</f>
        <v>47</v>
      </c>
      <c r="BN43" s="0" t="n">
        <f aca="false">IF(BM43&lt;=0,0,IF(A43=1,Inputs!$B$67,BS42))</f>
        <v>20282913.5998692</v>
      </c>
      <c r="BO43" s="0" t="n">
        <f aca="false">BN43*Inputs!$B$9</f>
        <v>51418.1720059178</v>
      </c>
      <c r="BP43" s="0" t="n">
        <f aca="false">(BN43-BO43)*Inputs!$C$67/12</f>
        <v>186298.353731575</v>
      </c>
      <c r="BQ43" s="0" t="n">
        <f aca="false">IF(BM43&lt;=0,0,IF(BM43=1,BN43-BO43,MIN((BN43-BO43)*(Inputs!$C$67/12)/(1-(1+Inputs!$C$67/12)^(-BM43))-BP43,BN43-BO43)))</f>
        <v>345954.728726219</v>
      </c>
      <c r="BR43" s="0" t="n">
        <f aca="false">(BN43-BO43-BQ43)*Inputs!$B$10</f>
        <v>173831.660415644</v>
      </c>
      <c r="BS43" s="0" t="n">
        <f aca="false">BN43-BO43-BQ43-BR43</f>
        <v>19711709.0387214</v>
      </c>
      <c r="BT43" s="0" t="n">
        <f aca="false">C43+J43+Q43+X43+AE43+AL43+AS43+AZ43+BG43+BN43</f>
        <v>109876206.3936</v>
      </c>
      <c r="BU43" s="0" t="n">
        <f aca="false">D43+K43+R43+Y43+AF43+AM43+AT43+BA43+BH43+BO43</f>
        <v>278541.524711729</v>
      </c>
      <c r="BV43" s="0" t="n">
        <f aca="false">E43+L43+S43+Z43+AG43+AN43+AU43+BB43+BI43+BP43</f>
        <v>885808.022378124</v>
      </c>
      <c r="BW43" s="0" t="n">
        <f aca="false">F43+M43+T43+AA43+AH43+AO43+AV43+BC43+BJ43+BQ43</f>
        <v>3955876.55304465</v>
      </c>
      <c r="BX43" s="0" t="n">
        <f aca="false">G43+N43+U43+AB43+AI43+AP43+AW43+BD43+BK43+BR43</f>
        <v>923479.414015528</v>
      </c>
      <c r="BY43" s="0" t="n">
        <f aca="false">H43+O43+V43+AC43+AJ43+AQ43+AX43+BE43+BL43+BS43</f>
        <v>104718308.901828</v>
      </c>
      <c r="BZ43" s="0" t="n">
        <f aca="false">IF(A43&gt;Inputs!$B$7,(1-Inputs!$B$6)*INDEX($BU$6:$BU$125,A43-Inputs!$B$7),0)</f>
        <v>222961.354847206</v>
      </c>
      <c r="CA43" s="0" t="n">
        <f aca="false">CA42+(1-Inputs!$B$6)*BU43-BZ43</f>
        <v>1136915.39129188</v>
      </c>
      <c r="CB43" s="0" t="n">
        <f aca="false">BY43+CA43</f>
        <v>105855224.29312</v>
      </c>
      <c r="CC43" s="0" t="n">
        <f aca="false">BV43+BW43+BX43+BZ43</f>
        <v>5988125.3442855</v>
      </c>
      <c r="CD43" s="0" t="n">
        <f aca="false">CD42+BU43-BZ43</f>
        <v>10477947.819574</v>
      </c>
    </row>
    <row r="44" customFormat="false" ht="15" hidden="false" customHeight="false" outlineLevel="0" collapsed="false">
      <c r="A44" s="0" t="n">
        <f aca="false">ROW()-5</f>
        <v>39</v>
      </c>
      <c r="B44" s="0" t="n">
        <f aca="false">Inputs!$D$58-(A44-1)</f>
        <v>-2</v>
      </c>
      <c r="C44" s="0" t="n">
        <f aca="false">IF(B44&lt;=0,0,IF(A44=1,Inputs!$B$58,H43))</f>
        <v>0</v>
      </c>
      <c r="D44" s="0" t="n">
        <f aca="false">C44*Inputs!$B$9</f>
        <v>0</v>
      </c>
      <c r="E44" s="0" t="n">
        <f aca="false">(C44-D44)*Inputs!$C$58/12</f>
        <v>0</v>
      </c>
      <c r="F44" s="0" t="n">
        <f aca="false">IF(B44&lt;=0,0,IF(B44=1,C44-D44,MIN((C44-D44)*(Inputs!$C$58/12)/(1-(1+Inputs!$C$58/12)^(-B44))-E44,C44-D44)))</f>
        <v>0</v>
      </c>
      <c r="G44" s="0" t="n">
        <f aca="false">(C44-D44-F44)*Inputs!$B$10</f>
        <v>0</v>
      </c>
      <c r="H44" s="0" t="n">
        <f aca="false">C44-D44-F44-G44</f>
        <v>0</v>
      </c>
      <c r="I44" s="0" t="n">
        <f aca="false">Inputs!$D$59-(A44-1)</f>
        <v>10</v>
      </c>
      <c r="J44" s="0" t="n">
        <f aca="false">IF(I44&lt;=0,0,IF(A44=1,Inputs!$B$59,O43))</f>
        <v>11526741.1455457</v>
      </c>
      <c r="K44" s="0" t="n">
        <f aca="false">J44*Inputs!$B$9</f>
        <v>29220.84916307</v>
      </c>
      <c r="L44" s="0" t="n">
        <f aca="false">(J44-K44)*Inputs!$C$59/12</f>
        <v>74733.8819264873</v>
      </c>
      <c r="M44" s="0" t="n">
        <f aca="false">IF(I44&lt;=0,0,IF(I44=1,J44-K44,MIN((J44-K44)*(Inputs!$C$59/12)/(1-(1+Inputs!$C$59/12)^(-I44))-L44,J44-K44)))</f>
        <v>1116521.21813463</v>
      </c>
      <c r="N44" s="0" t="n">
        <f aca="false">(J44-K44-M44)*Inputs!$B$10</f>
        <v>90746.6552631096</v>
      </c>
      <c r="O44" s="0" t="n">
        <f aca="false">J44-K44-M44-N44</f>
        <v>10290252.4229849</v>
      </c>
      <c r="P44" s="0" t="n">
        <f aca="false">Inputs!$D$60-(A44-1)</f>
        <v>10</v>
      </c>
      <c r="Q44" s="0" t="n">
        <f aca="false">IF(P44&lt;=0,0,IF(A44=1,Inputs!$B$60,V43))</f>
        <v>3322066.02133635</v>
      </c>
      <c r="R44" s="0" t="n">
        <f aca="false">Q44*Inputs!$B$9</f>
        <v>8421.59886246267</v>
      </c>
      <c r="S44" s="0" t="n">
        <f aca="false">(Q44-R44)*Inputs!$C$60/12</f>
        <v>22919.373922111</v>
      </c>
      <c r="T44" s="0" t="n">
        <f aca="false">IF(P44&lt;=0,0,IF(P44=1,Q44-R44,MIN((Q44-R44)*(Inputs!$C$60/12)/(1-(1+Inputs!$C$60/12)^(-P44))-S44,Q44-R44)))</f>
        <v>321181.047018563</v>
      </c>
      <c r="U44" s="0" t="n">
        <f aca="false">(Q44-R44-T44)*Inputs!$B$10</f>
        <v>26158.950624409</v>
      </c>
      <c r="V44" s="0" t="n">
        <f aca="false">Q44-R44-T44-U44</f>
        <v>2966304.42483091</v>
      </c>
      <c r="W44" s="0" t="n">
        <f aca="false">Inputs!$D$61-(A44-1)</f>
        <v>22</v>
      </c>
      <c r="X44" s="0" t="n">
        <f aca="false">IF(W44&lt;=0,0,IF(A44=1,Inputs!$B$61,AC43))</f>
        <v>18286837.5983647</v>
      </c>
      <c r="Y44" s="0" t="n">
        <f aca="false">X44*Inputs!$B$9</f>
        <v>46358.0223051911</v>
      </c>
      <c r="Z44" s="0" t="n">
        <f aca="false">(X44-Y44)*Inputs!$C$61/12</f>
        <v>133763.516891103</v>
      </c>
      <c r="AA44" s="0" t="n">
        <f aca="false">IF(W44&lt;=0,0,IF(W44=1,X44-Y44,MIN((X44-Y44)*(Inputs!$C$61/12)/(1-(1+Inputs!$C$61/12)^(-W44))-Z44,X44-Y44)))</f>
        <v>767058.370415514</v>
      </c>
      <c r="AB44" s="0" t="n">
        <f aca="false">(X44-Y44-AA44)*Inputs!$B$10</f>
        <v>152745.850227288</v>
      </c>
      <c r="AC44" s="0" t="n">
        <f aca="false">X44-Y44-AA44-AB44</f>
        <v>17320675.3554167</v>
      </c>
      <c r="AD44" s="0" t="n">
        <f aca="false">Inputs!$D$62-(A44-1)</f>
        <v>22</v>
      </c>
      <c r="AE44" s="0" t="n">
        <f aca="false">IF(AD44&lt;=0,0,IF(A44=1,Inputs!$B$62,AJ43))</f>
        <v>5206984.79444937</v>
      </c>
      <c r="AF44" s="0" t="n">
        <f aca="false">AE44*Inputs!$B$9</f>
        <v>13199.9595854376</v>
      </c>
      <c r="AG44" s="0" t="n">
        <f aca="false">(AE44-AF44)*Inputs!$C$62/12</f>
        <v>40251.8324701955</v>
      </c>
      <c r="AH44" s="0" t="n">
        <f aca="false">IF(AD44&lt;=0,0,IF(AD44=1,AE44-AF44,MIN((AE44-AF44)*(Inputs!$C$62/12)/(1-(1+Inputs!$C$62/12)^(-AD44))-AG44,AE44-AF44)))</f>
        <v>217438.282884894</v>
      </c>
      <c r="AI44" s="0" t="n">
        <f aca="false">(AE44-AF44-AH44)*Inputs!$B$10</f>
        <v>43501.2855331472</v>
      </c>
      <c r="AJ44" s="0" t="n">
        <f aca="false">AE44-AF44-AH44-AI44</f>
        <v>4932845.26644589</v>
      </c>
      <c r="AK44" s="0" t="n">
        <f aca="false">Inputs!$D$63-(A44-1)</f>
        <v>22</v>
      </c>
      <c r="AL44" s="0" t="n">
        <f aca="false">IF(AK44&lt;=0,0,IF(A44=1,Inputs!$B$63,AQ43))</f>
        <v>6242846.17258838</v>
      </c>
      <c r="AM44" s="0" t="n">
        <f aca="false">AL44*Inputs!$B$9</f>
        <v>15825.9185362158</v>
      </c>
      <c r="AN44" s="0" t="n">
        <f aca="false">(AL44-AM44)*Inputs!$C$63/12</f>
        <v>49556.7028551651</v>
      </c>
      <c r="AO44" s="0" t="n">
        <f aca="false">IF(AK44&lt;=0,0,IF(AK44=1,AL44-AM44,MIN((AL44-AM44)*(Inputs!$C$63/12)/(1-(1+Inputs!$C$63/12)^(-AK44))-AN44,AL44-AM44)))</f>
        <v>260112.643816516</v>
      </c>
      <c r="AP44" s="0" t="n">
        <f aca="false">(AL44-AM44-AO44)*Inputs!$B$10</f>
        <v>52160.3849312991</v>
      </c>
      <c r="AQ44" s="0" t="n">
        <f aca="false">AL44-AM44-AO44-AP44</f>
        <v>5914747.22530435</v>
      </c>
      <c r="AR44" s="0" t="n">
        <f aca="false">Inputs!$D$64-(A44-1)</f>
        <v>34</v>
      </c>
      <c r="AS44" s="0" t="n">
        <f aca="false">IF(AR44&lt;=0,0,IF(A44=1,Inputs!$B$64,AX43))</f>
        <v>12479870.2644453</v>
      </c>
      <c r="AT44" s="0" t="n">
        <f aca="false">AS44*Inputs!$B$9</f>
        <v>31637.0778147437</v>
      </c>
      <c r="AU44" s="0" t="n">
        <f aca="false">(AS44-AT44)*Inputs!$C$64/12</f>
        <v>101660.571024149</v>
      </c>
      <c r="AV44" s="0" t="n">
        <f aca="false">IF(AR44&lt;=0,0,IF(AR44=1,AS44-AT44,MIN((AS44-AT44)*(Inputs!$C$64/12)/(1-(1+Inputs!$C$64/12)^(-AR44))-AU44,AS44-AT44)))</f>
        <v>319126.980556775</v>
      </c>
      <c r="AW44" s="0" t="n">
        <f aca="false">(AS44-AT44-AV44)*Inputs!$B$10</f>
        <v>106027.927681694</v>
      </c>
      <c r="AX44" s="0" t="n">
        <f aca="false">AS44-AT44-AV44-AW44</f>
        <v>12023078.2783921</v>
      </c>
      <c r="AY44" s="0" t="n">
        <f aca="false">Inputs!$D$65-(A44-1)</f>
        <v>34</v>
      </c>
      <c r="AZ44" s="0" t="n">
        <f aca="false">IF(AY44&lt;=0,0,IF(A44=1,Inputs!$B$65,BE43))</f>
        <v>12992109.8498057</v>
      </c>
      <c r="BA44" s="0" t="n">
        <f aca="false">AZ44*Inputs!$B$9</f>
        <v>32935.630065564</v>
      </c>
      <c r="BB44" s="0" t="n">
        <f aca="false">(AZ44-BA44)*Inputs!$C$65/12</f>
        <v>111232.91205277</v>
      </c>
      <c r="BC44" s="0" t="n">
        <f aca="false">IF(AY44&lt;=0,0,IF(AY44=1,AZ44-BA44,MIN((AZ44-BA44)*(Inputs!$C$65/12)/(1-(1+Inputs!$C$65/12)^(-AY44))-BB44,AZ44-BA44)))</f>
        <v>329858.970869839</v>
      </c>
      <c r="BD44" s="0" t="n">
        <f aca="false">(AZ44-BA44-BC44)*Inputs!$B$10</f>
        <v>110400.560529843</v>
      </c>
      <c r="BE44" s="0" t="n">
        <f aca="false">AZ44-BA44-BC44-BD44</f>
        <v>12518914.6883405</v>
      </c>
      <c r="BF44" s="0" t="n">
        <f aca="false">Inputs!$D$66-(A44-1)</f>
        <v>46</v>
      </c>
      <c r="BG44" s="0" t="n">
        <f aca="false">IF(BF44&lt;=0,0,IF(A44=1,Inputs!$B$66,BL43))</f>
        <v>14949144.0165708</v>
      </c>
      <c r="BH44" s="0" t="n">
        <f aca="false">BG44*Inputs!$B$9</f>
        <v>37896.8068172527</v>
      </c>
      <c r="BI44" s="0" t="n">
        <f aca="false">(BG44-BH44)*Inputs!$C$66/12</f>
        <v>131094.715052416</v>
      </c>
      <c r="BJ44" s="0" t="n">
        <f aca="false">IF(BF44&lt;=0,0,IF(BF44=1,BG44-BH44,MIN((BG44-BH44)*(Inputs!$C$66/12)/(1-(1+Inputs!$C$66/12)^(-BF44))-BI44,BG44-BH44)))</f>
        <v>264419.979957055</v>
      </c>
      <c r="BK44" s="0" t="n">
        <f aca="false">(BG44-BH44-BJ44)*Inputs!$B$10</f>
        <v>128036.865363539</v>
      </c>
      <c r="BL44" s="0" t="n">
        <f aca="false">BG44-BH44-BJ44-BK44</f>
        <v>14518790.3644329</v>
      </c>
      <c r="BM44" s="0" t="n">
        <f aca="false">Inputs!$D$67-(A44-1)</f>
        <v>46</v>
      </c>
      <c r="BN44" s="0" t="n">
        <f aca="false">IF(BM44&lt;=0,0,IF(A44=1,Inputs!$B$67,BS43))</f>
        <v>19711709.0387214</v>
      </c>
      <c r="BO44" s="0" t="n">
        <f aca="false">BN44*Inputs!$B$9</f>
        <v>49970.1406749629</v>
      </c>
      <c r="BP44" s="0" t="n">
        <f aca="false">(BN44-BO44)*Inputs!$C$67/12</f>
        <v>181051.845686178</v>
      </c>
      <c r="BQ44" s="0" t="n">
        <f aca="false">IF(BM44&lt;=0,0,IF(BM44=1,BN44-BO44,MIN((BN44-BO44)*(Inputs!$C$67/12)/(1-(1+Inputs!$C$67/12)^(-BM44))-BP44,BN44-BO44)))</f>
        <v>345210.994902293</v>
      </c>
      <c r="BR44" s="0" t="n">
        <f aca="false">(BN44-BO44-BQ44)*Inputs!$B$10</f>
        <v>168857.57192483</v>
      </c>
      <c r="BS44" s="0" t="n">
        <f aca="false">BN44-BO44-BQ44-BR44</f>
        <v>19147670.3312193</v>
      </c>
      <c r="BT44" s="0" t="n">
        <f aca="false">C44+J44+Q44+X44+AE44+AL44+AS44+AZ44+BG44+BN44</f>
        <v>104718308.901828</v>
      </c>
      <c r="BU44" s="0" t="n">
        <f aca="false">D44+K44+R44+Y44+AF44+AM44+AT44+BA44+BH44+BO44</f>
        <v>265466.003824901</v>
      </c>
      <c r="BV44" s="0" t="n">
        <f aca="false">E44+L44+S44+Z44+AG44+AN44+AU44+BB44+BI44+BP44</f>
        <v>846265.351880576</v>
      </c>
      <c r="BW44" s="0" t="n">
        <f aca="false">F44+M44+T44+AA44+AH44+AO44+AV44+BC44+BJ44+BQ44</f>
        <v>3940928.48855608</v>
      </c>
      <c r="BX44" s="0" t="n">
        <f aca="false">G44+N44+U44+AB44+AI44+AP44+AW44+BD44+BK44+BR44</f>
        <v>878636.052079159</v>
      </c>
      <c r="BY44" s="0" t="n">
        <f aca="false">H44+O44+V44+AC44+AJ44+AQ44+AX44+BE44+BL44+BS44</f>
        <v>99633278.3573676</v>
      </c>
      <c r="BZ44" s="0" t="n">
        <f aca="false">IF(A44&gt;Inputs!$B$7,(1-Inputs!$B$6)*INDEX($BU$6:$BU$125,A44-Inputs!$B$7),0)</f>
        <v>213107.980211506</v>
      </c>
      <c r="CA44" s="0" t="n">
        <f aca="false">CA43+(1-Inputs!$B$6)*BU44-BZ44</f>
        <v>1083087.01337531</v>
      </c>
      <c r="CB44" s="0" t="n">
        <f aca="false">BY44+CA44</f>
        <v>100716365.370743</v>
      </c>
      <c r="CC44" s="0" t="n">
        <f aca="false">BV44+BW44+BX44+BZ44</f>
        <v>5878937.87272732</v>
      </c>
      <c r="CD44" s="0" t="n">
        <f aca="false">CD43+BU44-BZ44</f>
        <v>10530305.8431874</v>
      </c>
    </row>
    <row r="45" customFormat="false" ht="15" hidden="false" customHeight="false" outlineLevel="0" collapsed="false">
      <c r="A45" s="0" t="n">
        <f aca="false">ROW()-5</f>
        <v>40</v>
      </c>
      <c r="B45" s="0" t="n">
        <f aca="false">Inputs!$D$58-(A45-1)</f>
        <v>-3</v>
      </c>
      <c r="C45" s="0" t="n">
        <f aca="false">IF(B45&lt;=0,0,IF(A45=1,Inputs!$B$58,H44))</f>
        <v>0</v>
      </c>
      <c r="D45" s="0" t="n">
        <f aca="false">C45*Inputs!$B$9</f>
        <v>0</v>
      </c>
      <c r="E45" s="0" t="n">
        <f aca="false">(C45-D45)*Inputs!$C$58/12</f>
        <v>0</v>
      </c>
      <c r="F45" s="0" t="n">
        <f aca="false">IF(B45&lt;=0,0,IF(B45=1,C45-D45,MIN((C45-D45)*(Inputs!$C$58/12)/(1-(1+Inputs!$C$58/12)^(-B45))-E45,C45-D45)))</f>
        <v>0</v>
      </c>
      <c r="G45" s="0" t="n">
        <f aca="false">(C45-D45-F45)*Inputs!$B$10</f>
        <v>0</v>
      </c>
      <c r="H45" s="0" t="n">
        <f aca="false">C45-D45-F45-G45</f>
        <v>0</v>
      </c>
      <c r="I45" s="0" t="n">
        <f aca="false">Inputs!$D$59-(A45-1)</f>
        <v>9</v>
      </c>
      <c r="J45" s="0" t="n">
        <f aca="false">IF(I45&lt;=0,0,IF(A45=1,Inputs!$B$59,O44))</f>
        <v>10290252.4229849</v>
      </c>
      <c r="K45" s="0" t="n">
        <f aca="false">J45*Inputs!$B$9</f>
        <v>26086.2901409176</v>
      </c>
      <c r="L45" s="0" t="n">
        <f aca="false">(J45-K45)*Inputs!$C$59/12</f>
        <v>66717.0798634861</v>
      </c>
      <c r="M45" s="0" t="n">
        <f aca="false">IF(I45&lt;=0,0,IF(I45=1,J45-K45,MIN((J45-K45)*(Inputs!$C$59/12)/(1-(1+Inputs!$C$59/12)^(-I45))-L45,J45-K45)))</f>
        <v>1111131.04067489</v>
      </c>
      <c r="N45" s="0" t="n">
        <f aca="false">(J45-K45-M45)*Inputs!$B$10</f>
        <v>80012.2718304291</v>
      </c>
      <c r="O45" s="0" t="n">
        <f aca="false">J45-K45-M45-N45</f>
        <v>9073022.82033869</v>
      </c>
      <c r="P45" s="0" t="n">
        <f aca="false">Inputs!$D$60-(A45-1)</f>
        <v>9</v>
      </c>
      <c r="Q45" s="0" t="n">
        <f aca="false">IF(P45&lt;=0,0,IF(A45=1,Inputs!$B$60,V44))</f>
        <v>2966304.42483091</v>
      </c>
      <c r="R45" s="0" t="n">
        <f aca="false">Q45*Inputs!$B$9</f>
        <v>7519.72592038524</v>
      </c>
      <c r="S45" s="0" t="n">
        <f aca="false">(Q45-R45)*Inputs!$C$60/12</f>
        <v>20464.9275007978</v>
      </c>
      <c r="T45" s="0" t="n">
        <f aca="false">IF(P45&lt;=0,0,IF(P45=1,Q45-R45,MIN((Q45-R45)*(Inputs!$C$60/12)/(1-(1+Inputs!$C$60/12)^(-P45))-S45,Q45-R45)))</f>
        <v>319762.815541513</v>
      </c>
      <c r="U45" s="0" t="n">
        <f aca="false">(Q45-R45-T45)*Inputs!$B$10</f>
        <v>23069.3026053429</v>
      </c>
      <c r="V45" s="0" t="n">
        <f aca="false">Q45-R45-T45-U45</f>
        <v>2615952.58076367</v>
      </c>
      <c r="W45" s="0" t="n">
        <f aca="false">Inputs!$D$61-(A45-1)</f>
        <v>21</v>
      </c>
      <c r="X45" s="0" t="n">
        <f aca="false">IF(W45&lt;=0,0,IF(A45=1,Inputs!$B$61,AC44))</f>
        <v>17320675.3554167</v>
      </c>
      <c r="Y45" s="0" t="n">
        <f aca="false">X45*Inputs!$B$9</f>
        <v>43908.7540504645</v>
      </c>
      <c r="Z45" s="0" t="n">
        <f aca="false">(X45-Y45)*Inputs!$C$61/12</f>
        <v>126696.288410019</v>
      </c>
      <c r="AA45" s="0" t="n">
        <f aca="false">IF(W45&lt;=0,0,IF(W45=1,X45-Y45,MIN((X45-Y45)*(Inputs!$C$61/12)/(1-(1+Inputs!$C$61/12)^(-W45))-Z45,X45-Y45)))</f>
        <v>763987.299722777</v>
      </c>
      <c r="AB45" s="0" t="n">
        <f aca="false">(X45-Y45-AA45)*Inputs!$B$10</f>
        <v>144348.292435736</v>
      </c>
      <c r="AC45" s="0" t="n">
        <f aca="false">X45-Y45-AA45-AB45</f>
        <v>16368431.0092078</v>
      </c>
      <c r="AD45" s="0" t="n">
        <f aca="false">Inputs!$D$62-(A45-1)</f>
        <v>21</v>
      </c>
      <c r="AE45" s="0" t="n">
        <f aca="false">IF(AD45&lt;=0,0,IF(A45=1,Inputs!$B$62,AJ44))</f>
        <v>4932845.26644589</v>
      </c>
      <c r="AF45" s="0" t="n">
        <f aca="false">AE45*Inputs!$B$9</f>
        <v>12505.0025549745</v>
      </c>
      <c r="AG45" s="0" t="n">
        <f aca="false">(AE45-AF45)*Inputs!$C$62/12</f>
        <v>38132.6370451546</v>
      </c>
      <c r="AH45" s="0" t="n">
        <f aca="false">IF(AD45&lt;=0,0,IF(AD45=1,AE45-AF45,MIN((AE45-AF45)*(Inputs!$C$62/12)/(1-(1+Inputs!$C$62/12)^(-AD45))-AG45,AE45-AF45)))</f>
        <v>216657.305123182</v>
      </c>
      <c r="AI45" s="0" t="n">
        <f aca="false">(AE45-AF45-AH45)*Inputs!$B$10</f>
        <v>41117.7664797843</v>
      </c>
      <c r="AJ45" s="0" t="n">
        <f aca="false">AE45-AF45-AH45-AI45</f>
        <v>4662565.19228795</v>
      </c>
      <c r="AK45" s="0" t="n">
        <f aca="false">Inputs!$D$63-(A45-1)</f>
        <v>21</v>
      </c>
      <c r="AL45" s="0" t="n">
        <f aca="false">IF(AK45&lt;=0,0,IF(A45=1,Inputs!$B$63,AQ44))</f>
        <v>5914747.22530435</v>
      </c>
      <c r="AM45" s="0" t="n">
        <f aca="false">AL45*Inputs!$B$9</f>
        <v>14994.1717547022</v>
      </c>
      <c r="AN45" s="0" t="n">
        <f aca="false">(AL45-AM45)*Inputs!$C$63/12</f>
        <v>46952.2013844993</v>
      </c>
      <c r="AO45" s="0" t="n">
        <f aca="false">IF(AK45&lt;=0,0,IF(AK45=1,AL45-AM45,MIN((AL45-AM45)*(Inputs!$C$63/12)/(1-(1+Inputs!$C$63/12)^(-AK45))-AN45,AL45-AM45)))</f>
        <v>259231.971885249</v>
      </c>
      <c r="AP45" s="0" t="n">
        <f aca="false">(AL45-AM45-AO45)*Inputs!$B$10</f>
        <v>49307.2408776753</v>
      </c>
      <c r="AQ45" s="0" t="n">
        <f aca="false">AL45-AM45-AO45-AP45</f>
        <v>5591213.84078672</v>
      </c>
      <c r="AR45" s="0" t="n">
        <f aca="false">Inputs!$D$64-(A45-1)</f>
        <v>33</v>
      </c>
      <c r="AS45" s="0" t="n">
        <f aca="false">IF(AR45&lt;=0,0,IF(A45=1,Inputs!$B$64,AX44))</f>
        <v>12023078.2783921</v>
      </c>
      <c r="AT45" s="0" t="n">
        <f aca="false">AS45*Inputs!$B$9</f>
        <v>30479.0879236878</v>
      </c>
      <c r="AU45" s="0" t="n">
        <f aca="false">(AS45-AT45)*Inputs!$C$64/12</f>
        <v>97939.5600554919</v>
      </c>
      <c r="AV45" s="0" t="n">
        <f aca="false">IF(AR45&lt;=0,0,IF(AR45=1,AS45-AT45,MIN((AS45-AT45)*(Inputs!$C$64/12)/(1-(1+Inputs!$C$64/12)^(-AR45))-AU45,AS45-AT45)))</f>
        <v>318112.238379711</v>
      </c>
      <c r="AW45" s="0" t="n">
        <f aca="false">(AS45-AT45-AV45)*Inputs!$B$10</f>
        <v>102053.823030842</v>
      </c>
      <c r="AX45" s="0" t="n">
        <f aca="false">AS45-AT45-AV45-AW45</f>
        <v>11572433.1290578</v>
      </c>
      <c r="AY45" s="0" t="n">
        <f aca="false">Inputs!$D$65-(A45-1)</f>
        <v>33</v>
      </c>
      <c r="AZ45" s="0" t="n">
        <f aca="false">IF(AY45&lt;=0,0,IF(A45=1,Inputs!$B$65,BE44))</f>
        <v>12518914.6883405</v>
      </c>
      <c r="BA45" s="0" t="n">
        <f aca="false">AZ45*Inputs!$B$9</f>
        <v>31736.0573274173</v>
      </c>
      <c r="BB45" s="0" t="n">
        <f aca="false">(AZ45-BA45)*Inputs!$C$65/12</f>
        <v>107181.616582862</v>
      </c>
      <c r="BC45" s="0" t="n">
        <f aca="false">IF(AY45&lt;=0,0,IF(AY45=1,AZ45-BA45,MIN((AZ45-BA45)*(Inputs!$C$65/12)/(1-(1+Inputs!$C$65/12)^(-AY45))-BB45,AZ45-BA45)))</f>
        <v>328945.998114</v>
      </c>
      <c r="BD45" s="0" t="n">
        <f aca="false">(AZ45-BA45-BC45)*Inputs!$B$10</f>
        <v>106282.539573502</v>
      </c>
      <c r="BE45" s="0" t="n">
        <f aca="false">AZ45-BA45-BC45-BD45</f>
        <v>12051950.0933256</v>
      </c>
      <c r="BF45" s="0" t="n">
        <f aca="false">Inputs!$D$66-(A45-1)</f>
        <v>45</v>
      </c>
      <c r="BG45" s="0" t="n">
        <f aca="false">IF(BF45&lt;=0,0,IF(A45=1,Inputs!$B$66,BL44))</f>
        <v>14518790.3644329</v>
      </c>
      <c r="BH45" s="0" t="n">
        <f aca="false">BG45*Inputs!$B$9</f>
        <v>36805.8393879411</v>
      </c>
      <c r="BI45" s="0" t="n">
        <f aca="false">(BG45-BH45)*Inputs!$C$66/12</f>
        <v>127320.78061602</v>
      </c>
      <c r="BJ45" s="0" t="n">
        <f aca="false">IF(BF45&lt;=0,0,IF(BF45=1,BG45-BH45,MIN((BG45-BH45)*(Inputs!$C$66/12)/(1-(1+Inputs!$C$66/12)^(-BF45))-BI45,BG45-BH45)))</f>
        <v>263742.594590778</v>
      </c>
      <c r="BK45" s="0" t="n">
        <f aca="false">(BG45-BH45-BJ45)*Inputs!$B$10</f>
        <v>124290.339415787</v>
      </c>
      <c r="BL45" s="0" t="n">
        <f aca="false">BG45-BH45-BJ45-BK45</f>
        <v>14093951.5910384</v>
      </c>
      <c r="BM45" s="0" t="n">
        <f aca="false">Inputs!$D$67-(A45-1)</f>
        <v>45</v>
      </c>
      <c r="BN45" s="0" t="n">
        <f aca="false">IF(BM45&lt;=0,0,IF(A45=1,Inputs!$B$67,BS44))</f>
        <v>19147670.3312193</v>
      </c>
      <c r="BO45" s="0" t="n">
        <f aca="false">BN45*Inputs!$B$9</f>
        <v>48540.2751313595</v>
      </c>
      <c r="BP45" s="0" t="n">
        <f aca="false">(BN45-BO45)*Inputs!$C$67/12</f>
        <v>175871.155933144</v>
      </c>
      <c r="BQ45" s="0" t="n">
        <f aca="false">IF(BM45&lt;=0,0,IF(BM45=1,BN45-BO45,MIN((BN45-BO45)*(Inputs!$C$67/12)/(1-(1+Inputs!$C$67/12)^(-BM45))-BP45,BN45-BO45)))</f>
        <v>344468.859958091</v>
      </c>
      <c r="BR45" s="0" t="n">
        <f aca="false">(BN45-BO45-BQ45)*Inputs!$B$10</f>
        <v>163945.951763715</v>
      </c>
      <c r="BS45" s="0" t="n">
        <f aca="false">BN45-BO45-BQ45-BR45</f>
        <v>18590715.2443662</v>
      </c>
      <c r="BT45" s="0" t="n">
        <f aca="false">C45+J45+Q45+X45+AE45+AL45+AS45+AZ45+BG45+BN45</f>
        <v>99633278.3573676</v>
      </c>
      <c r="BU45" s="0" t="n">
        <f aca="false">D45+K45+R45+Y45+AF45+AM45+AT45+BA45+BH45+BO45</f>
        <v>252575.20419185</v>
      </c>
      <c r="BV45" s="0" t="n">
        <f aca="false">E45+L45+S45+Z45+AG45+AN45+AU45+BB45+BI45+BP45</f>
        <v>807276.247391475</v>
      </c>
      <c r="BW45" s="0" t="n">
        <f aca="false">F45+M45+T45+AA45+AH45+AO45+AV45+BC45+BJ45+BQ45</f>
        <v>3926040.12399019</v>
      </c>
      <c r="BX45" s="0" t="n">
        <f aca="false">G45+N45+U45+AB45+AI45+AP45+AW45+BD45+BK45+BR45</f>
        <v>834427.528012813</v>
      </c>
      <c r="BY45" s="0" t="n">
        <f aca="false">H45+O45+V45+AC45+AJ45+AQ45+AX45+BE45+BL45+BS45</f>
        <v>94620235.5011728</v>
      </c>
      <c r="BZ45" s="0" t="n">
        <f aca="false">IF(A45&gt;Inputs!$B$7,(1-Inputs!$B$6)*INDEX($BU$6:$BU$125,A45-Inputs!$B$7),0)</f>
        <v>203395.096413014</v>
      </c>
      <c r="CA45" s="0" t="n">
        <f aca="false">CA44+(1-Inputs!$B$6)*BU45-BZ45</f>
        <v>1031237.03947741</v>
      </c>
      <c r="CB45" s="0" t="n">
        <f aca="false">BY45+CA45</f>
        <v>95651472.5406502</v>
      </c>
      <c r="CC45" s="0" t="n">
        <f aca="false">BV45+BW45+BX45+BZ45</f>
        <v>5771138.99580749</v>
      </c>
      <c r="CD45" s="0" t="n">
        <f aca="false">CD44+BU45-BZ45</f>
        <v>10579485.9509663</v>
      </c>
    </row>
    <row r="46" customFormat="false" ht="15" hidden="false" customHeight="false" outlineLevel="0" collapsed="false">
      <c r="A46" s="0" t="n">
        <f aca="false">ROW()-5</f>
        <v>41</v>
      </c>
      <c r="B46" s="0" t="n">
        <f aca="false">Inputs!$D$58-(A46-1)</f>
        <v>-4</v>
      </c>
      <c r="C46" s="0" t="n">
        <f aca="false">IF(B46&lt;=0,0,IF(A46=1,Inputs!$B$58,H45))</f>
        <v>0</v>
      </c>
      <c r="D46" s="0" t="n">
        <f aca="false">C46*Inputs!$B$9</f>
        <v>0</v>
      </c>
      <c r="E46" s="0" t="n">
        <f aca="false">(C46-D46)*Inputs!$C$58/12</f>
        <v>0</v>
      </c>
      <c r="F46" s="0" t="n">
        <f aca="false">IF(B46&lt;=0,0,IF(B46=1,C46-D46,MIN((C46-D46)*(Inputs!$C$58/12)/(1-(1+Inputs!$C$58/12)^(-B46))-E46,C46-D46)))</f>
        <v>0</v>
      </c>
      <c r="G46" s="0" t="n">
        <f aca="false">(C46-D46-F46)*Inputs!$B$10</f>
        <v>0</v>
      </c>
      <c r="H46" s="0" t="n">
        <f aca="false">C46-D46-F46-G46</f>
        <v>0</v>
      </c>
      <c r="I46" s="0" t="n">
        <f aca="false">Inputs!$D$59-(A46-1)</f>
        <v>8</v>
      </c>
      <c r="J46" s="0" t="n">
        <f aca="false">IF(I46&lt;=0,0,IF(A46=1,Inputs!$B$59,O45))</f>
        <v>9073022.82033869</v>
      </c>
      <c r="K46" s="0" t="n">
        <f aca="false">J46*Inputs!$B$9</f>
        <v>23000.5539240082</v>
      </c>
      <c r="L46" s="0" t="n">
        <f aca="false">(J46-K46)*Inputs!$C$59/12</f>
        <v>58825.1447316955</v>
      </c>
      <c r="M46" s="0" t="n">
        <f aca="false">IF(I46&lt;=0,0,IF(I46=1,J46-K46,MIN((J46-K46)*(Inputs!$C$59/12)/(1-(1+Inputs!$C$59/12)^(-I46))-L46,J46-K46)))</f>
        <v>1105766.88512371</v>
      </c>
      <c r="N46" s="0" t="n">
        <f aca="false">(J46-K46-M46)*Inputs!$B$10</f>
        <v>69445.5898680016</v>
      </c>
      <c r="O46" s="0" t="n">
        <f aca="false">J46-K46-M46-N46</f>
        <v>7874809.79142298</v>
      </c>
      <c r="P46" s="0" t="n">
        <f aca="false">Inputs!$D$60-(A46-1)</f>
        <v>8</v>
      </c>
      <c r="Q46" s="0" t="n">
        <f aca="false">IF(P46&lt;=0,0,IF(A46=1,Inputs!$B$60,V45))</f>
        <v>2615952.58076367</v>
      </c>
      <c r="R46" s="0" t="n">
        <f aca="false">Q46*Inputs!$B$9</f>
        <v>6631.56696372745</v>
      </c>
      <c r="S46" s="0" t="n">
        <f aca="false">(Q46-R46)*Inputs!$C$60/12</f>
        <v>18047.8036787829</v>
      </c>
      <c r="T46" s="0" t="n">
        <f aca="false">IF(P46&lt;=0,0,IF(P46=1,Q46-R46,MIN((Q46-R46)*(Inputs!$C$60/12)/(1-(1+Inputs!$C$60/12)^(-P46))-S46,Q46-R46)))</f>
        <v>318350.846515317</v>
      </c>
      <c r="U46" s="0" t="n">
        <f aca="false">(Q46-R46-T46)*Inputs!$B$10</f>
        <v>20026.7699112187</v>
      </c>
      <c r="V46" s="0" t="n">
        <f aca="false">Q46-R46-T46-U46</f>
        <v>2270943.39737341</v>
      </c>
      <c r="W46" s="0" t="n">
        <f aca="false">Inputs!$D$61-(A46-1)</f>
        <v>20</v>
      </c>
      <c r="X46" s="0" t="n">
        <f aca="false">IF(W46&lt;=0,0,IF(A46=1,Inputs!$B$61,AC45))</f>
        <v>16368431.0092078</v>
      </c>
      <c r="Y46" s="0" t="n">
        <f aca="false">X46*Inputs!$B$9</f>
        <v>41494.7683405736</v>
      </c>
      <c r="Z46" s="0" t="n">
        <f aca="false">(X46-Y46)*Inputs!$C$61/12</f>
        <v>119730.865766359</v>
      </c>
      <c r="AA46" s="0" t="n">
        <f aca="false">IF(W46&lt;=0,0,IF(W46=1,X46-Y46,MIN((X46-Y46)*(Inputs!$C$61/12)/(1-(1+Inputs!$C$61/12)^(-W46))-Z46,X46-Y46)))</f>
        <v>760928.524672149</v>
      </c>
      <c r="AB46" s="0" t="n">
        <f aca="false">(X46-Y46-AA46)*Inputs!$B$10</f>
        <v>136071.983572784</v>
      </c>
      <c r="AC46" s="0" t="n">
        <f aca="false">X46-Y46-AA46-AB46</f>
        <v>15429935.7326223</v>
      </c>
      <c r="AD46" s="0" t="n">
        <f aca="false">Inputs!$D$62-(A46-1)</f>
        <v>20</v>
      </c>
      <c r="AE46" s="0" t="n">
        <f aca="false">IF(AD46&lt;=0,0,IF(A46=1,Inputs!$B$62,AJ45))</f>
        <v>4662565.19228795</v>
      </c>
      <c r="AF46" s="0" t="n">
        <f aca="false">AE46*Inputs!$B$9</f>
        <v>11819.8294276328</v>
      </c>
      <c r="AG46" s="0" t="n">
        <f aca="false">(AE46-AF46)*Inputs!$C$62/12</f>
        <v>36043.2765621674</v>
      </c>
      <c r="AH46" s="0" t="n">
        <f aca="false">IF(AD46&lt;=0,0,IF(AD46=1,AE46-AF46,MIN((AE46-AF46)*(Inputs!$C$62/12)/(1-(1+Inputs!$C$62/12)^(-AD46))-AG46,AE46-AF46)))</f>
        <v>215879.13241611</v>
      </c>
      <c r="AI46" s="0" t="n">
        <f aca="false">(AE46-AF46-AH46)*Inputs!$B$10</f>
        <v>38767.8752226656</v>
      </c>
      <c r="AJ46" s="0" t="n">
        <f aca="false">AE46-AF46-AH46-AI46</f>
        <v>4396098.35522154</v>
      </c>
      <c r="AK46" s="0" t="n">
        <f aca="false">Inputs!$D$63-(A46-1)</f>
        <v>20</v>
      </c>
      <c r="AL46" s="0" t="n">
        <f aca="false">IF(AK46&lt;=0,0,IF(A46=1,Inputs!$B$63,AQ45))</f>
        <v>5591213.84078672</v>
      </c>
      <c r="AM46" s="0" t="n">
        <f aca="false">AL46*Inputs!$B$9</f>
        <v>14173.9988967509</v>
      </c>
      <c r="AN46" s="0" t="n">
        <f aca="false">(AL46-AM46)*Inputs!$C$63/12</f>
        <v>44383.942075041</v>
      </c>
      <c r="AO46" s="0" t="n">
        <f aca="false">IF(AK46&lt;=0,0,IF(AK46=1,AL46-AM46,MIN((AL46-AM46)*(Inputs!$C$63/12)/(1-(1+Inputs!$C$63/12)^(-AK46))-AN46,AL46-AM46)))</f>
        <v>258354.281673899</v>
      </c>
      <c r="AP46" s="0" t="n">
        <f aca="false">(AL46-AM46-AO46)*Inputs!$B$10</f>
        <v>46493.8799577721</v>
      </c>
      <c r="AQ46" s="0" t="n">
        <f aca="false">AL46-AM46-AO46-AP46</f>
        <v>5272191.6802583</v>
      </c>
      <c r="AR46" s="0" t="n">
        <f aca="false">Inputs!$D$64-(A46-1)</f>
        <v>32</v>
      </c>
      <c r="AS46" s="0" t="n">
        <f aca="false">IF(AR46&lt;=0,0,IF(A46=1,Inputs!$B$64,AX45))</f>
        <v>11572433.1290578</v>
      </c>
      <c r="AT46" s="0" t="n">
        <f aca="false">AS46*Inputs!$B$9</f>
        <v>29336.6805625358</v>
      </c>
      <c r="AU46" s="0" t="n">
        <f aca="false">(AS46-AT46)*Inputs!$C$64/12</f>
        <v>94268.620996045</v>
      </c>
      <c r="AV46" s="0" t="n">
        <f aca="false">IF(AR46&lt;=0,0,IF(AR46=1,AS46-AT46,MIN((AS46-AT46)*(Inputs!$C$64/12)/(1-(1+Inputs!$C$64/12)^(-AR46))-AU46,AS46-AT46)))</f>
        <v>317100.722823235</v>
      </c>
      <c r="AW46" s="0" t="n">
        <f aca="false">(AS46-AT46-AV46)*Inputs!$B$10</f>
        <v>98133.2872129135</v>
      </c>
      <c r="AX46" s="0" t="n">
        <f aca="false">AS46-AT46-AV46-AW46</f>
        <v>11127862.4384592</v>
      </c>
      <c r="AY46" s="0" t="n">
        <f aca="false">Inputs!$D$65-(A46-1)</f>
        <v>32</v>
      </c>
      <c r="AZ46" s="0" t="n">
        <f aca="false">IF(AY46&lt;=0,0,IF(A46=1,Inputs!$B$65,BE45))</f>
        <v>12051950.0933256</v>
      </c>
      <c r="BA46" s="0" t="n">
        <f aca="false">AZ46*Inputs!$B$9</f>
        <v>30552.2793781139</v>
      </c>
      <c r="BB46" s="0" t="n">
        <f aca="false">(AZ46-BA46)*Inputs!$C$65/12</f>
        <v>103183.664569715</v>
      </c>
      <c r="BC46" s="0" t="n">
        <f aca="false">IF(AY46&lt;=0,0,IF(AY46=1,AZ46-BA46,MIN((AZ46-BA46)*(Inputs!$C$65/12)/(1-(1+Inputs!$C$65/12)^(-AY46))-BB46,AZ46-BA46)))</f>
        <v>328035.552253975</v>
      </c>
      <c r="BD46" s="0" t="n">
        <f aca="false">(AZ46-BA46-BC46)*Inputs!$B$10</f>
        <v>102218.823644057</v>
      </c>
      <c r="BE46" s="0" t="n">
        <f aca="false">AZ46-BA46-BC46-BD46</f>
        <v>11591143.4380494</v>
      </c>
      <c r="BF46" s="0" t="n">
        <f aca="false">Inputs!$D$66-(A46-1)</f>
        <v>44</v>
      </c>
      <c r="BG46" s="0" t="n">
        <f aca="false">IF(BF46&lt;=0,0,IF(A46=1,Inputs!$B$66,BL45))</f>
        <v>14093951.5910384</v>
      </c>
      <c r="BH46" s="0" t="n">
        <f aca="false">BG46*Inputs!$B$9</f>
        <v>35728.8524443433</v>
      </c>
      <c r="BI46" s="0" t="n">
        <f aca="false">(BG46-BH46)*Inputs!$C$66/12</f>
        <v>123595.208243473</v>
      </c>
      <c r="BJ46" s="0" t="n">
        <f aca="false">IF(BF46&lt;=0,0,IF(BF46=1,BG46-BH46,MIN((BG46-BH46)*(Inputs!$C$66/12)/(1-(1+Inputs!$C$66/12)^(-BF46))-BI46,BG46-BH46)))</f>
        <v>263066.944535633</v>
      </c>
      <c r="BK46" s="0" t="n">
        <f aca="false">(BG46-BH46-BJ46)*Inputs!$B$10</f>
        <v>120591.885011089</v>
      </c>
      <c r="BL46" s="0" t="n">
        <f aca="false">BG46-BH46-BJ46-BK46</f>
        <v>13674563.9090473</v>
      </c>
      <c r="BM46" s="0" t="n">
        <f aca="false">Inputs!$D$67-(A46-1)</f>
        <v>44</v>
      </c>
      <c r="BN46" s="0" t="n">
        <f aca="false">IF(BM46&lt;=0,0,IF(A46=1,Inputs!$B$67,BS45))</f>
        <v>18590715.2443662</v>
      </c>
      <c r="BO46" s="0" t="n">
        <f aca="false">BN46*Inputs!$B$9</f>
        <v>47128.3669104631</v>
      </c>
      <c r="BP46" s="0" t="n">
        <f aca="false">(BN46-BO46)*Inputs!$C$67/12</f>
        <v>170755.529163238</v>
      </c>
      <c r="BQ46" s="0" t="n">
        <f aca="false">IF(BM46&lt;=0,0,IF(BM46=1,BN46-BO46,MIN((BN46-BO46)*(Inputs!$C$67/12)/(1-(1+Inputs!$C$67/12)^(-BM46))-BP46,BN46-BO46)))</f>
        <v>343728.320456338</v>
      </c>
      <c r="BR46" s="0" t="n">
        <f aca="false">(BN46-BO46-BQ46)*Inputs!$B$10</f>
        <v>159096.082935797</v>
      </c>
      <c r="BS46" s="0" t="n">
        <f aca="false">BN46-BO46-BQ46-BR46</f>
        <v>18040762.4740636</v>
      </c>
      <c r="BT46" s="0" t="n">
        <f aca="false">C46+J46+Q46+X46+AE46+AL46+AS46+AZ46+BG46+BN46</f>
        <v>94620235.5011728</v>
      </c>
      <c r="BU46" s="0" t="n">
        <f aca="false">D46+K46+R46+Y46+AF46+AM46+AT46+BA46+BH46+BO46</f>
        <v>239866.896848149</v>
      </c>
      <c r="BV46" s="0" t="n">
        <f aca="false">E46+L46+S46+Z46+AG46+AN46+AU46+BB46+BI46+BP46</f>
        <v>768834.055786518</v>
      </c>
      <c r="BW46" s="0" t="n">
        <f aca="false">F46+M46+T46+AA46+AH46+AO46+AV46+BC46+BJ46+BQ46</f>
        <v>3911211.21047036</v>
      </c>
      <c r="BX46" s="0" t="n">
        <f aca="false">G46+N46+U46+AB46+AI46+AP46+AW46+BD46+BK46+BR46</f>
        <v>790846.177336298</v>
      </c>
      <c r="BY46" s="0" t="n">
        <f aca="false">H46+O46+V46+AC46+AJ46+AQ46+AX46+BE46+BL46+BS46</f>
        <v>89678311.216518</v>
      </c>
      <c r="BZ46" s="0" t="n">
        <f aca="false">IF(A46&gt;Inputs!$B$7,(1-Inputs!$B$6)*INDEX($BU$6:$BU$125,A46-Inputs!$B$7),0)</f>
        <v>193820.995888788</v>
      </c>
      <c r="CA46" s="0" t="n">
        <f aca="false">CA45+(1-Inputs!$B$6)*BU46-BZ46</f>
        <v>981336.181697509</v>
      </c>
      <c r="CB46" s="0" t="n">
        <f aca="false">BY46+CA46</f>
        <v>90659647.3982155</v>
      </c>
      <c r="CC46" s="0" t="n">
        <f aca="false">BV46+BW46+BX46+BZ46</f>
        <v>5664712.43948197</v>
      </c>
      <c r="CD46" s="0" t="n">
        <f aca="false">CD45+BU46-BZ46</f>
        <v>10625531.8519256</v>
      </c>
    </row>
    <row r="47" customFormat="false" ht="15" hidden="false" customHeight="false" outlineLevel="0" collapsed="false">
      <c r="A47" s="0" t="n">
        <f aca="false">ROW()-5</f>
        <v>42</v>
      </c>
      <c r="B47" s="0" t="n">
        <f aca="false">Inputs!$D$58-(A47-1)</f>
        <v>-5</v>
      </c>
      <c r="C47" s="0" t="n">
        <f aca="false">IF(B47&lt;=0,0,IF(A47=1,Inputs!$B$58,H46))</f>
        <v>0</v>
      </c>
      <c r="D47" s="0" t="n">
        <f aca="false">C47*Inputs!$B$9</f>
        <v>0</v>
      </c>
      <c r="E47" s="0" t="n">
        <f aca="false">(C47-D47)*Inputs!$C$58/12</f>
        <v>0</v>
      </c>
      <c r="F47" s="0" t="n">
        <f aca="false">IF(B47&lt;=0,0,IF(B47=1,C47-D47,MIN((C47-D47)*(Inputs!$C$58/12)/(1-(1+Inputs!$C$58/12)^(-B47))-E47,C47-D47)))</f>
        <v>0</v>
      </c>
      <c r="G47" s="0" t="n">
        <f aca="false">(C47-D47-F47)*Inputs!$B$10</f>
        <v>0</v>
      </c>
      <c r="H47" s="0" t="n">
        <f aca="false">C47-D47-F47-G47</f>
        <v>0</v>
      </c>
      <c r="I47" s="0" t="n">
        <f aca="false">Inputs!$D$59-(A47-1)</f>
        <v>7</v>
      </c>
      <c r="J47" s="0" t="n">
        <f aca="false">IF(I47&lt;=0,0,IF(A47=1,Inputs!$B$59,O46))</f>
        <v>7874809.79142298</v>
      </c>
      <c r="K47" s="0" t="n">
        <f aca="false">J47*Inputs!$B$9</f>
        <v>19963.0256459744</v>
      </c>
      <c r="L47" s="0" t="n">
        <f aca="false">(J47-K47)*Inputs!$C$59/12</f>
        <v>51056.5039775505</v>
      </c>
      <c r="M47" s="0" t="n">
        <f aca="false">IF(I47&lt;=0,0,IF(I47=1,J47-K47,MIN((J47-K47)*(Inputs!$C$59/12)/(1-(1+Inputs!$C$59/12)^(-I47))-L47,J47-K47)))</f>
        <v>1100428.62585633</v>
      </c>
      <c r="N47" s="0" t="n">
        <f aca="false">(J47-K47-M47)*Inputs!$B$10</f>
        <v>59044.4956045328</v>
      </c>
      <c r="O47" s="0" t="n">
        <f aca="false">J47-K47-M47-N47</f>
        <v>6695373.64431614</v>
      </c>
      <c r="P47" s="0" t="n">
        <f aca="false">Inputs!$D$60-(A47-1)</f>
        <v>7</v>
      </c>
      <c r="Q47" s="0" t="n">
        <f aca="false">IF(P47&lt;=0,0,IF(A47=1,Inputs!$B$60,V46))</f>
        <v>2270943.39737341</v>
      </c>
      <c r="R47" s="0" t="n">
        <f aca="false">Q47*Inputs!$B$9</f>
        <v>5756.95191161303</v>
      </c>
      <c r="S47" s="0" t="n">
        <f aca="false">(Q47-R47)*Inputs!$C$60/12</f>
        <v>15667.5395811107</v>
      </c>
      <c r="T47" s="0" t="n">
        <f aca="false">IF(P47&lt;=0,0,IF(P47=1,Q47-R47,MIN((Q47-R47)*(Inputs!$C$60/12)/(1-(1+Inputs!$C$60/12)^(-P47))-S47,Q47-R47)))</f>
        <v>316945.112287022</v>
      </c>
      <c r="U47" s="0" t="n">
        <f aca="false">(Q47-R47-T47)*Inputs!$B$10</f>
        <v>17030.7677804735</v>
      </c>
      <c r="V47" s="0" t="n">
        <f aca="false">Q47-R47-T47-U47</f>
        <v>1931210.5653943</v>
      </c>
      <c r="W47" s="0" t="n">
        <f aca="false">Inputs!$D$61-(A47-1)</f>
        <v>19</v>
      </c>
      <c r="X47" s="0" t="n">
        <f aca="false">IF(W47&lt;=0,0,IF(A47=1,Inputs!$B$61,AC46))</f>
        <v>15429935.7326223</v>
      </c>
      <c r="Y47" s="0" t="n">
        <f aca="false">X47*Inputs!$B$9</f>
        <v>39115.6371905732</v>
      </c>
      <c r="Z47" s="0" t="n">
        <f aca="false">(X47-Y47)*Inputs!$C$61/12</f>
        <v>112866.014033166</v>
      </c>
      <c r="AA47" s="0" t="n">
        <f aca="false">IF(W47&lt;=0,0,IF(W47=1,X47-Y47,MIN((X47-Y47)*(Inputs!$C$61/12)/(1-(1+Inputs!$C$61/12)^(-W47))-Z47,X47-Y47)))</f>
        <v>757881.996035583</v>
      </c>
      <c r="AB47" s="0" t="n">
        <f aca="false">(X47-Y47-AA47)*Inputs!$B$10</f>
        <v>127915.45198908</v>
      </c>
      <c r="AC47" s="0" t="n">
        <f aca="false">X47-Y47-AA47-AB47</f>
        <v>14505022.647407</v>
      </c>
      <c r="AD47" s="0" t="n">
        <f aca="false">Inputs!$D$62-(A47-1)</f>
        <v>19</v>
      </c>
      <c r="AE47" s="0" t="n">
        <f aca="false">IF(AD47&lt;=0,0,IF(A47=1,Inputs!$B$62,AJ46))</f>
        <v>4396098.35522154</v>
      </c>
      <c r="AF47" s="0" t="n">
        <f aca="false">AE47*Inputs!$B$9</f>
        <v>11144.3230416941</v>
      </c>
      <c r="AG47" s="0" t="n">
        <f aca="false">(AE47-AF47)*Inputs!$C$62/12</f>
        <v>33983.3937493938</v>
      </c>
      <c r="AH47" s="0" t="n">
        <f aca="false">IF(AD47&lt;=0,0,IF(AD47=1,AE47-AF47,MIN((AE47-AF47)*(Inputs!$C$62/12)/(1-(1+Inputs!$C$62/12)^(-AD47))-AG47,AE47-AF47)))</f>
        <v>215103.754688703</v>
      </c>
      <c r="AI47" s="0" t="n">
        <f aca="false">(AE47-AF47-AH47)*Inputs!$B$10</f>
        <v>36451.2088651617</v>
      </c>
      <c r="AJ47" s="0" t="n">
        <f aca="false">AE47-AF47-AH47-AI47</f>
        <v>4133399.06862598</v>
      </c>
      <c r="AK47" s="0" t="n">
        <f aca="false">Inputs!$D$63-(A47-1)</f>
        <v>19</v>
      </c>
      <c r="AL47" s="0" t="n">
        <f aca="false">IF(AK47&lt;=0,0,IF(A47=1,Inputs!$B$63,AQ46))</f>
        <v>5272191.6802583</v>
      </c>
      <c r="AM47" s="0" t="n">
        <f aca="false">AL47*Inputs!$B$9</f>
        <v>13365.2622109201</v>
      </c>
      <c r="AN47" s="0" t="n">
        <f aca="false">(AL47-AM47)*Inputs!$C$63/12</f>
        <v>41851.4935769604</v>
      </c>
      <c r="AO47" s="0" t="n">
        <f aca="false">IF(AK47&lt;=0,0,IF(AK47=1,AL47-AM47,MIN((AL47-AM47)*(Inputs!$C$63/12)/(1-(1+Inputs!$C$63/12)^(-AK47))-AN47,AL47-AM47)))</f>
        <v>257479.563087158</v>
      </c>
      <c r="AP47" s="0" t="n">
        <f aca="false">(AL47-AM47-AO47)*Inputs!$B$10</f>
        <v>43719.8284555583</v>
      </c>
      <c r="AQ47" s="0" t="n">
        <f aca="false">AL47-AM47-AO47-AP47</f>
        <v>4957627.02650466</v>
      </c>
      <c r="AR47" s="0" t="n">
        <f aca="false">Inputs!$D$64-(A47-1)</f>
        <v>31</v>
      </c>
      <c r="AS47" s="0" t="n">
        <f aca="false">IF(AR47&lt;=0,0,IF(A47=1,Inputs!$B$64,AX46))</f>
        <v>11127862.4384592</v>
      </c>
      <c r="AT47" s="0" t="n">
        <f aca="false">AS47*Inputs!$B$9</f>
        <v>28209.6722495812</v>
      </c>
      <c r="AU47" s="0" t="n">
        <f aca="false">(AS47-AT47)*Inputs!$C$64/12</f>
        <v>90647.1642573782</v>
      </c>
      <c r="AV47" s="0" t="n">
        <f aca="false">IF(AR47&lt;=0,0,IF(AR47=1,AS47-AT47,MIN((AS47-AT47)*(Inputs!$C$64/12)/(1-(1+Inputs!$C$64/12)^(-AR47))-AU47,AS47-AT47)))</f>
        <v>316092.42362752</v>
      </c>
      <c r="AW47" s="0" t="n">
        <f aca="false">(AS47-AT47-AV47)*Inputs!$B$10</f>
        <v>94265.6892213484</v>
      </c>
      <c r="AX47" s="0" t="n">
        <f aca="false">AS47-AT47-AV47-AW47</f>
        <v>10689294.6533607</v>
      </c>
      <c r="AY47" s="0" t="n">
        <f aca="false">Inputs!$D$65-(A47-1)</f>
        <v>31</v>
      </c>
      <c r="AZ47" s="0" t="n">
        <f aca="false">IF(AY47&lt;=0,0,IF(A47=1,Inputs!$B$65,BE46))</f>
        <v>11591143.4380494</v>
      </c>
      <c r="BA47" s="0" t="n">
        <f aca="false">AZ47*Inputs!$B$9</f>
        <v>29384.1121054094</v>
      </c>
      <c r="BB47" s="0" t="n">
        <f aca="false">(AZ47-BA47)*Inputs!$C$65/12</f>
        <v>99238.4342143526</v>
      </c>
      <c r="BC47" s="0" t="n">
        <f aca="false">IF(AY47&lt;=0,0,IF(AY47=1,AZ47-BA47,MIN((AZ47-BA47)*(Inputs!$C$65/12)/(1-(1+Inputs!$C$65/12)^(-AY47))-BB47,AZ47-BA47)))</f>
        <v>327127.626295906</v>
      </c>
      <c r="BD47" s="0" t="n">
        <f aca="false">(AZ47-BA47-BC47)*Inputs!$B$10</f>
        <v>98208.7795376268</v>
      </c>
      <c r="BE47" s="0" t="n">
        <f aca="false">AZ47-BA47-BC47-BD47</f>
        <v>11136422.9201105</v>
      </c>
      <c r="BF47" s="0" t="n">
        <f aca="false">Inputs!$D$66-(A47-1)</f>
        <v>43</v>
      </c>
      <c r="BG47" s="0" t="n">
        <f aca="false">IF(BF47&lt;=0,0,IF(A47=1,Inputs!$B$66,BL46))</f>
        <v>13674563.9090473</v>
      </c>
      <c r="BH47" s="0" t="n">
        <f aca="false">BG47*Inputs!$B$9</f>
        <v>34665.6842824517</v>
      </c>
      <c r="BI47" s="0" t="n">
        <f aca="false">(BG47-BH47)*Inputs!$C$66/12</f>
        <v>119917.438559391</v>
      </c>
      <c r="BJ47" s="0" t="n">
        <f aca="false">IF(BF47&lt;=0,0,IF(BF47=1,BG47-BH47,MIN((BG47-BH47)*(Inputs!$C$66/12)/(1-(1+Inputs!$C$66/12)^(-BF47))-BI47,BG47-BH47)))</f>
        <v>262393.025346135</v>
      </c>
      <c r="BK47" s="0" t="n">
        <f aca="false">(BG47-BH47-BJ47)*Inputs!$B$10</f>
        <v>116940.945997751</v>
      </c>
      <c r="BL47" s="0" t="n">
        <f aca="false">BG47-BH47-BJ47-BK47</f>
        <v>13260564.253421</v>
      </c>
      <c r="BM47" s="0" t="n">
        <f aca="false">Inputs!$D$67-(A47-1)</f>
        <v>43</v>
      </c>
      <c r="BN47" s="0" t="n">
        <f aca="false">IF(BM47&lt;=0,0,IF(A47=1,Inputs!$B$67,BS46))</f>
        <v>18040762.4740636</v>
      </c>
      <c r="BO47" s="0" t="n">
        <f aca="false">BN47*Inputs!$B$9</f>
        <v>45734.2099024318</v>
      </c>
      <c r="BP47" s="0" t="n">
        <f aca="false">(BN47-BO47)*Inputs!$C$67/12</f>
        <v>165704.218599151</v>
      </c>
      <c r="BQ47" s="0" t="n">
        <f aca="false">IF(BM47&lt;=0,0,IF(BM47=1,BN47-BO47,MIN((BN47-BO47)*(Inputs!$C$67/12)/(1-(1+Inputs!$C$67/12)^(-BM47))-BP47,BN47-BO47)))</f>
        <v>342989.372967151</v>
      </c>
      <c r="BR47" s="0" t="n">
        <f aca="false">(BN47-BO47-BQ47)*Inputs!$B$10</f>
        <v>154307.256543994</v>
      </c>
      <c r="BS47" s="0" t="n">
        <f aca="false">BN47-BO47-BQ47-BR47</f>
        <v>17497731.63465</v>
      </c>
      <c r="BT47" s="0" t="n">
        <f aca="false">C47+J47+Q47+X47+AE47+AL47+AS47+AZ47+BG47+BN47</f>
        <v>89678311.216518</v>
      </c>
      <c r="BU47" s="0" t="n">
        <f aca="false">D47+K47+R47+Y47+AF47+AM47+AT47+BA47+BH47+BO47</f>
        <v>227338.878540649</v>
      </c>
      <c r="BV47" s="0" t="n">
        <f aca="false">E47+L47+S47+Z47+AG47+AN47+AU47+BB47+BI47+BP47</f>
        <v>730932.200548454</v>
      </c>
      <c r="BW47" s="0" t="n">
        <f aca="false">F47+M47+T47+AA47+AH47+AO47+AV47+BC47+BJ47+BQ47</f>
        <v>3896441.50019151</v>
      </c>
      <c r="BX47" s="0" t="n">
        <f aca="false">G47+N47+U47+AB47+AI47+AP47+AW47+BD47+BK47+BR47</f>
        <v>747884.423995527</v>
      </c>
      <c r="BY47" s="0" t="n">
        <f aca="false">H47+O47+V47+AC47+AJ47+AQ47+AX47+BE47+BL47+BS47</f>
        <v>84806646.4137903</v>
      </c>
      <c r="BZ47" s="0" t="n">
        <f aca="false">IF(A47&gt;Inputs!$B$7,(1-Inputs!$B$6)*INDEX($BU$6:$BU$125,A47-Inputs!$B$7),0)</f>
        <v>184383.990857472</v>
      </c>
      <c r="CA47" s="0" t="n">
        <f aca="false">CA46+(1-Inputs!$B$6)*BU47-BZ47</f>
        <v>933355.517964427</v>
      </c>
      <c r="CB47" s="0" t="n">
        <f aca="false">BY47+CA47</f>
        <v>85740001.9317547</v>
      </c>
      <c r="CC47" s="0" t="n">
        <f aca="false">BV47+BW47+BX47+BZ47</f>
        <v>5559642.11559296</v>
      </c>
      <c r="CD47" s="0" t="n">
        <f aca="false">CD46+BU47-BZ47</f>
        <v>10668486.7396088</v>
      </c>
    </row>
    <row r="48" customFormat="false" ht="15" hidden="false" customHeight="false" outlineLevel="0" collapsed="false">
      <c r="A48" s="0" t="n">
        <f aca="false">ROW()-5</f>
        <v>43</v>
      </c>
      <c r="B48" s="0" t="n">
        <f aca="false">Inputs!$D$58-(A48-1)</f>
        <v>-6</v>
      </c>
      <c r="C48" s="0" t="n">
        <f aca="false">IF(B48&lt;=0,0,IF(A48=1,Inputs!$B$58,H47))</f>
        <v>0</v>
      </c>
      <c r="D48" s="0" t="n">
        <f aca="false">C48*Inputs!$B$9</f>
        <v>0</v>
      </c>
      <c r="E48" s="0" t="n">
        <f aca="false">(C48-D48)*Inputs!$C$58/12</f>
        <v>0</v>
      </c>
      <c r="F48" s="0" t="n">
        <f aca="false">IF(B48&lt;=0,0,IF(B48=1,C48-D48,MIN((C48-D48)*(Inputs!$C$58/12)/(1-(1+Inputs!$C$58/12)^(-B48))-E48,C48-D48)))</f>
        <v>0</v>
      </c>
      <c r="G48" s="0" t="n">
        <f aca="false">(C48-D48-F48)*Inputs!$B$10</f>
        <v>0</v>
      </c>
      <c r="H48" s="0" t="n">
        <f aca="false">C48-D48-F48-G48</f>
        <v>0</v>
      </c>
      <c r="I48" s="0" t="n">
        <f aca="false">Inputs!$D$59-(A48-1)</f>
        <v>6</v>
      </c>
      <c r="J48" s="0" t="n">
        <f aca="false">IF(I48&lt;=0,0,IF(A48=1,Inputs!$B$59,O47))</f>
        <v>6695373.64431614</v>
      </c>
      <c r="K48" s="0" t="n">
        <f aca="false">J48*Inputs!$B$9</f>
        <v>16973.0976761423</v>
      </c>
      <c r="L48" s="0" t="n">
        <f aca="false">(J48-K48)*Inputs!$C$59/12</f>
        <v>43409.60355316</v>
      </c>
      <c r="M48" s="0" t="n">
        <f aca="false">IF(I48&lt;=0,0,IF(I48=1,J48-K48,MIN((J48-K48)*(Inputs!$C$59/12)/(1-(1+Inputs!$C$59/12)^(-I48))-L48,J48-K48)))</f>
        <v>1095116.13785448</v>
      </c>
      <c r="N48" s="0" t="n">
        <f aca="false">(J48-K48-M48)*Inputs!$B$10</f>
        <v>48806.9001510269</v>
      </c>
      <c r="O48" s="0" t="n">
        <f aca="false">J48-K48-M48-N48</f>
        <v>5534477.50863449</v>
      </c>
      <c r="P48" s="0" t="n">
        <f aca="false">Inputs!$D$60-(A48-1)</f>
        <v>6</v>
      </c>
      <c r="Q48" s="0" t="n">
        <f aca="false">IF(P48&lt;=0,0,IF(A48=1,Inputs!$B$60,V47))</f>
        <v>1931210.5653943</v>
      </c>
      <c r="R48" s="0" t="n">
        <f aca="false">Q48*Inputs!$B$9</f>
        <v>4895.71266682958</v>
      </c>
      <c r="S48" s="0" t="n">
        <f aca="false">(Q48-R48)*Inputs!$C$60/12</f>
        <v>13323.677731365</v>
      </c>
      <c r="T48" s="0" t="n">
        <f aca="false">IF(P48&lt;=0,0,IF(P48=1,Q48-R48,MIN((Q48-R48)*(Inputs!$C$60/12)/(1-(1+Inputs!$C$60/12)^(-P48))-S48,Q48-R48)))</f>
        <v>315545.585325779</v>
      </c>
      <c r="U48" s="0" t="n">
        <f aca="false">(Q48-R48-T48)*Inputs!$B$10</f>
        <v>14080.7182734074</v>
      </c>
      <c r="V48" s="0" t="n">
        <f aca="false">Q48-R48-T48-U48</f>
        <v>1596688.54912828</v>
      </c>
      <c r="W48" s="0" t="n">
        <f aca="false">Inputs!$D$61-(A48-1)</f>
        <v>18</v>
      </c>
      <c r="X48" s="0" t="n">
        <f aca="false">IF(W48&lt;=0,0,IF(A48=1,Inputs!$B$61,AC47))</f>
        <v>14505022.647407</v>
      </c>
      <c r="Y48" s="0" t="n">
        <f aca="false">X48*Inputs!$B$9</f>
        <v>36770.9375559789</v>
      </c>
      <c r="Z48" s="0" t="n">
        <f aca="false">(X48-Y48)*Inputs!$C$61/12</f>
        <v>106100.512538908</v>
      </c>
      <c r="AA48" s="0" t="n">
        <f aca="false">IF(W48&lt;=0,0,IF(W48=1,X48-Y48,MIN((X48-Y48)*(Inputs!$C$61/12)/(1-(1+Inputs!$C$61/12)^(-W48))-Z48,X48-Y48)))</f>
        <v>754847.664782126</v>
      </c>
      <c r="AB48" s="0" t="n">
        <f aca="false">(X48-Y48-AA48)*Inputs!$B$10</f>
        <v>119877.243026557</v>
      </c>
      <c r="AC48" s="0" t="n">
        <f aca="false">X48-Y48-AA48-AB48</f>
        <v>13593526.8020424</v>
      </c>
      <c r="AD48" s="0" t="n">
        <f aca="false">Inputs!$D$62-(A48-1)</f>
        <v>18</v>
      </c>
      <c r="AE48" s="0" t="n">
        <f aca="false">IF(AD48&lt;=0,0,IF(A48=1,Inputs!$B$62,AJ47))</f>
        <v>4133399.06862598</v>
      </c>
      <c r="AF48" s="0" t="n">
        <f aca="false">AE48*Inputs!$B$9</f>
        <v>10478.3675793542</v>
      </c>
      <c r="AG48" s="0" t="n">
        <f aca="false">(AE48-AF48)*Inputs!$C$62/12</f>
        <v>31952.6354331114</v>
      </c>
      <c r="AH48" s="0" t="n">
        <f aca="false">IF(AD48&lt;=0,0,IF(AD48=1,AE48-AF48,MIN((AE48-AF48)*(Inputs!$C$62/12)/(1-(1+Inputs!$C$62/12)^(-AD48))-AG48,AE48-AF48)))</f>
        <v>214331.161902172</v>
      </c>
      <c r="AI48" s="0" t="n">
        <f aca="false">(AE48-AF48-AH48)*Inputs!$B$10</f>
        <v>34167.3691327982</v>
      </c>
      <c r="AJ48" s="0" t="n">
        <f aca="false">AE48-AF48-AH48-AI48</f>
        <v>3874422.17001166</v>
      </c>
      <c r="AK48" s="0" t="n">
        <f aca="false">Inputs!$D$63-(A48-1)</f>
        <v>18</v>
      </c>
      <c r="AL48" s="0" t="n">
        <f aca="false">IF(AK48&lt;=0,0,IF(A48=1,Inputs!$B$63,AQ47))</f>
        <v>4957627.02650466</v>
      </c>
      <c r="AM48" s="0" t="n">
        <f aca="false">AL48*Inputs!$B$9</f>
        <v>12567.8255214599</v>
      </c>
      <c r="AN48" s="0" t="n">
        <f aca="false">(AL48-AM48)*Inputs!$C$63/12</f>
        <v>39354.4294744913</v>
      </c>
      <c r="AO48" s="0" t="n">
        <f aca="false">IF(AK48&lt;=0,0,IF(AK48=1,AL48-AM48,MIN((AL48-AM48)*(Inputs!$C$63/12)/(1-(1+Inputs!$C$63/12)^(-AK48))-AN48,AL48-AM48)))</f>
        <v>256607.806063898</v>
      </c>
      <c r="AP48" s="0" t="n">
        <f aca="false">(AL48-AM48-AO48)*Inputs!$B$10</f>
        <v>40984.6180743897</v>
      </c>
      <c r="AQ48" s="0" t="n">
        <f aca="false">AL48-AM48-AO48-AP48</f>
        <v>4647466.77684491</v>
      </c>
      <c r="AR48" s="0" t="n">
        <f aca="false">Inputs!$D$64-(A48-1)</f>
        <v>30</v>
      </c>
      <c r="AS48" s="0" t="n">
        <f aca="false">IF(AR48&lt;=0,0,IF(A48=1,Inputs!$B$64,AX47))</f>
        <v>10689294.6533607</v>
      </c>
      <c r="AT48" s="0" t="n">
        <f aca="false">AS48*Inputs!$B$9</f>
        <v>27097.881593894</v>
      </c>
      <c r="AU48" s="0" t="n">
        <f aca="false">(AS48-AT48)*Inputs!$C$64/12</f>
        <v>87074.6069694289</v>
      </c>
      <c r="AV48" s="0" t="n">
        <f aca="false">IF(AR48&lt;=0,0,IF(AR48=1,AS48-AT48,MIN((AS48-AT48)*(Inputs!$C$64/12)/(1-(1+Inputs!$C$64/12)^(-AR48))-AU48,AS48-AT48)))</f>
        <v>315087.330565362</v>
      </c>
      <c r="AW48" s="0" t="n">
        <f aca="false">(AS48-AT48-AV48)*Inputs!$B$10</f>
        <v>90450.4052406524</v>
      </c>
      <c r="AX48" s="0" t="n">
        <f aca="false">AS48-AT48-AV48-AW48</f>
        <v>10256659.0359608</v>
      </c>
      <c r="AY48" s="0" t="n">
        <f aca="false">Inputs!$D$65-(A48-1)</f>
        <v>30</v>
      </c>
      <c r="AZ48" s="0" t="n">
        <f aca="false">IF(AY48&lt;=0,0,IF(A48=1,Inputs!$B$65,BE47))</f>
        <v>11136422.9201105</v>
      </c>
      <c r="BA48" s="0" t="n">
        <f aca="false">AZ48*Inputs!$B$9</f>
        <v>28231.3734867251</v>
      </c>
      <c r="BB48" s="0" t="n">
        <f aca="false">(AZ48-BA48)*Inputs!$C$65/12</f>
        <v>95345.3107751871</v>
      </c>
      <c r="BC48" s="0" t="n">
        <f aca="false">IF(AY48&lt;=0,0,IF(AY48=1,AZ48-BA48,MIN((AZ48-BA48)*(Inputs!$C$65/12)/(1-(1+Inputs!$C$65/12)^(-AY48))-BB48,AZ48-BA48)))</f>
        <v>326222.213265292</v>
      </c>
      <c r="BD48" s="0" t="n">
        <f aca="false">(AZ48-BA48-BC48)*Inputs!$B$10</f>
        <v>94251.7812376903</v>
      </c>
      <c r="BE48" s="0" t="n">
        <f aca="false">AZ48-BA48-BC48-BD48</f>
        <v>10687717.5521208</v>
      </c>
      <c r="BF48" s="0" t="n">
        <f aca="false">Inputs!$D$66-(A48-1)</f>
        <v>42</v>
      </c>
      <c r="BG48" s="0" t="n">
        <f aca="false">IF(BF48&lt;=0,0,IF(A48=1,Inputs!$B$66,BL47))</f>
        <v>13260564.253421</v>
      </c>
      <c r="BH48" s="0" t="n">
        <f aca="false">BG48*Inputs!$B$9</f>
        <v>33616.1750293273</v>
      </c>
      <c r="BI48" s="0" t="n">
        <f aca="false">(BG48-BH48)*Inputs!$C$66/12</f>
        <v>116286.918522527</v>
      </c>
      <c r="BJ48" s="0" t="n">
        <f aca="false">IF(BF48&lt;=0,0,IF(BF48=1,BG48-BH48,MIN((BG48-BH48)*(Inputs!$C$66/12)/(1-(1+Inputs!$C$66/12)^(-BF48))-BI48,BG48-BH48)))</f>
        <v>261720.832588192</v>
      </c>
      <c r="BK48" s="0" t="n">
        <f aca="false">(BG48-BH48-BJ48)*Inputs!$B$10</f>
        <v>113336.972522048</v>
      </c>
      <c r="BL48" s="0" t="n">
        <f aca="false">BG48-BH48-BJ48-BK48</f>
        <v>12851890.2732814</v>
      </c>
      <c r="BM48" s="0" t="n">
        <f aca="false">Inputs!$D$67-(A48-1)</f>
        <v>42</v>
      </c>
      <c r="BN48" s="0" t="n">
        <f aca="false">IF(BM48&lt;=0,0,IF(A48=1,Inputs!$B$67,BS47))</f>
        <v>17497731.63465</v>
      </c>
      <c r="BO48" s="0" t="n">
        <f aca="false">BN48*Inputs!$B$9</f>
        <v>44357.6003257059</v>
      </c>
      <c r="BP48" s="0" t="n">
        <f aca="false">(BN48-BO48)*Inputs!$C$67/12</f>
        <v>160716.485899403</v>
      </c>
      <c r="BQ48" s="0" t="n">
        <f aca="false">IF(BM48&lt;=0,0,IF(BM48=1,BN48-BO48,MIN((BN48-BO48)*(Inputs!$C$67/12)/(1-(1+Inputs!$C$67/12)^(-BM48))-BP48,BN48-BO48)))</f>
        <v>342252.01406802</v>
      </c>
      <c r="BR48" s="0" t="n">
        <f aca="false">(BN48-BO48-BQ48)*Inputs!$B$10</f>
        <v>149578.771699425</v>
      </c>
      <c r="BS48" s="0" t="n">
        <f aca="false">BN48-BO48-BQ48-BR48</f>
        <v>16961543.2485569</v>
      </c>
      <c r="BT48" s="0" t="n">
        <f aca="false">C48+J48+Q48+X48+AE48+AL48+AS48+AZ48+BG48+BN48</f>
        <v>84806646.4137903</v>
      </c>
      <c r="BU48" s="0" t="n">
        <f aca="false">D48+K48+R48+Y48+AF48+AM48+AT48+BA48+BH48+BO48</f>
        <v>214988.971435417</v>
      </c>
      <c r="BV48" s="0" t="n">
        <f aca="false">E48+L48+S48+Z48+AG48+AN48+AU48+BB48+BI48+BP48</f>
        <v>693564.180897581</v>
      </c>
      <c r="BW48" s="0" t="n">
        <f aca="false">F48+M48+T48+AA48+AH48+AO48+AV48+BC48+BJ48+BQ48</f>
        <v>3881730.74641532</v>
      </c>
      <c r="BX48" s="0" t="n">
        <f aca="false">G48+N48+U48+AB48+AI48+AP48+AW48+BD48+BK48+BR48</f>
        <v>705534.779357994</v>
      </c>
      <c r="BY48" s="0" t="n">
        <f aca="false">H48+O48+V48+AC48+AJ48+AQ48+AX48+BE48+BL48+BS48</f>
        <v>80004391.9165815</v>
      </c>
      <c r="BZ48" s="0" t="n">
        <f aca="false">IF(A48&gt;Inputs!$B$7,(1-Inputs!$B$6)*INDEX($BU$6:$BU$125,A48-Inputs!$B$7),0)</f>
        <v>175082.413094061</v>
      </c>
      <c r="CA48" s="0" t="n">
        <f aca="false">CA47+(1-Inputs!$B$6)*BU48-BZ48</f>
        <v>887266.487731616</v>
      </c>
      <c r="CB48" s="0" t="n">
        <f aca="false">BY48+CA48</f>
        <v>80891658.4043132</v>
      </c>
      <c r="CC48" s="0" t="n">
        <f aca="false">BV48+BW48+BX48+BZ48</f>
        <v>5455912.11976496</v>
      </c>
      <c r="CD48" s="0" t="n">
        <f aca="false">CD47+BU48-BZ48</f>
        <v>10708393.2979502</v>
      </c>
    </row>
    <row r="49" customFormat="false" ht="15" hidden="false" customHeight="false" outlineLevel="0" collapsed="false">
      <c r="A49" s="0" t="n">
        <f aca="false">ROW()-5</f>
        <v>44</v>
      </c>
      <c r="B49" s="0" t="n">
        <f aca="false">Inputs!$D$58-(A49-1)</f>
        <v>-7</v>
      </c>
      <c r="C49" s="0" t="n">
        <f aca="false">IF(B49&lt;=0,0,IF(A49=1,Inputs!$B$58,H48))</f>
        <v>0</v>
      </c>
      <c r="D49" s="0" t="n">
        <f aca="false">C49*Inputs!$B$9</f>
        <v>0</v>
      </c>
      <c r="E49" s="0" t="n">
        <f aca="false">(C49-D49)*Inputs!$C$58/12</f>
        <v>0</v>
      </c>
      <c r="F49" s="0" t="n">
        <f aca="false">IF(B49&lt;=0,0,IF(B49=1,C49-D49,MIN((C49-D49)*(Inputs!$C$58/12)/(1-(1+Inputs!$C$58/12)^(-B49))-E49,C49-D49)))</f>
        <v>0</v>
      </c>
      <c r="G49" s="0" t="n">
        <f aca="false">(C49-D49-F49)*Inputs!$B$10</f>
        <v>0</v>
      </c>
      <c r="H49" s="0" t="n">
        <f aca="false">C49-D49-F49-G49</f>
        <v>0</v>
      </c>
      <c r="I49" s="0" t="n">
        <f aca="false">Inputs!$D$59-(A49-1)</f>
        <v>5</v>
      </c>
      <c r="J49" s="0" t="n">
        <f aca="false">IF(I49&lt;=0,0,IF(A49=1,Inputs!$B$59,O48))</f>
        <v>5534477.50863449</v>
      </c>
      <c r="K49" s="0" t="n">
        <f aca="false">J49*Inputs!$B$9</f>
        <v>14030.1695365742</v>
      </c>
      <c r="L49" s="0" t="n">
        <f aca="false">(J49-K49)*Inputs!$C$59/12</f>
        <v>35882.9077041364</v>
      </c>
      <c r="M49" s="0" t="n">
        <f aca="false">IF(I49&lt;=0,0,IF(I49=1,J49-K49,MIN((J49-K49)*(Inputs!$C$59/12)/(1-(1+Inputs!$C$59/12)^(-I49))-L49,J49-K49)))</f>
        <v>1089829.29670342</v>
      </c>
      <c r="N49" s="0" t="n">
        <f aca="false">(J49-K49-M49)*Inputs!$B$10</f>
        <v>38730.7392154726</v>
      </c>
      <c r="O49" s="0" t="n">
        <f aca="false">J49-K49-M49-N49</f>
        <v>4391887.30317902</v>
      </c>
      <c r="P49" s="0" t="n">
        <f aca="false">Inputs!$D$60-(A49-1)</f>
        <v>5</v>
      </c>
      <c r="Q49" s="0" t="n">
        <f aca="false">IF(P49&lt;=0,0,IF(A49=1,Inputs!$B$60,V48))</f>
        <v>1596688.54912828</v>
      </c>
      <c r="R49" s="0" t="n">
        <f aca="false">Q49*Inputs!$B$9</f>
        <v>4047.68309319657</v>
      </c>
      <c r="S49" s="0" t="n">
        <f aca="false">(Q49-R49)*Inputs!$C$60/12</f>
        <v>11015.765990076</v>
      </c>
      <c r="T49" s="0" t="n">
        <f aca="false">IF(P49&lt;=0,0,IF(P49=1,Q49-R49,MIN((Q49-R49)*(Inputs!$C$60/12)/(1-(1+Inputs!$C$60/12)^(-P49))-S49,Q49-R49)))</f>
        <v>314152.238222308</v>
      </c>
      <c r="U49" s="0" t="n">
        <f aca="false">(Q49-R49-T49)*Inputs!$B$10</f>
        <v>11176.0501943434</v>
      </c>
      <c r="V49" s="0" t="n">
        <f aca="false">Q49-R49-T49-U49</f>
        <v>1267312.57761844</v>
      </c>
      <c r="W49" s="0" t="n">
        <f aca="false">Inputs!$D$61-(A49-1)</f>
        <v>17</v>
      </c>
      <c r="X49" s="0" t="n">
        <f aca="false">IF(W49&lt;=0,0,IF(A49=1,Inputs!$B$61,AC48))</f>
        <v>13593526.8020424</v>
      </c>
      <c r="Y49" s="0" t="n">
        <f aca="false">X49*Inputs!$B$9</f>
        <v>34460.2512766693</v>
      </c>
      <c r="Z49" s="0" t="n">
        <f aca="false">(X49-Y49)*Inputs!$C$61/12</f>
        <v>99433.154705615</v>
      </c>
      <c r="AA49" s="0" t="n">
        <f aca="false">IF(W49&lt;=0,0,IF(W49=1,X49-Y49,MIN((X49-Y49)*(Inputs!$C$61/12)/(1-(1+Inputs!$C$61/12)^(-W49))-Z49,X49-Y49)))</f>
        <v>751825.482077128</v>
      </c>
      <c r="AB49" s="0" t="n">
        <f aca="false">(X49-Y49-AA49)*Inputs!$B$10</f>
        <v>111955.91882549</v>
      </c>
      <c r="AC49" s="0" t="n">
        <f aca="false">X49-Y49-AA49-AB49</f>
        <v>12695285.1498631</v>
      </c>
      <c r="AD49" s="0" t="n">
        <f aca="false">Inputs!$D$62-(A49-1)</f>
        <v>17</v>
      </c>
      <c r="AE49" s="0" t="n">
        <f aca="false">IF(AD49&lt;=0,0,IF(A49=1,Inputs!$B$62,AJ48))</f>
        <v>3874422.17001166</v>
      </c>
      <c r="AF49" s="0" t="n">
        <f aca="false">AE49*Inputs!$B$9</f>
        <v>9821.84855150618</v>
      </c>
      <c r="AG49" s="0" t="n">
        <f aca="false">(AE49-AF49)*Inputs!$C$62/12</f>
        <v>29950.6524913162</v>
      </c>
      <c r="AH49" s="0" t="n">
        <f aca="false">IF(AD49&lt;=0,0,IF(AD49=1,AE49-AF49,MIN((AE49-AF49)*(Inputs!$C$62/12)/(1-(1+Inputs!$C$62/12)^(-AD49))-AG49,AE49-AF49)))</f>
        <v>213561.344053785</v>
      </c>
      <c r="AI49" s="0" t="n">
        <f aca="false">(AE49-AF49-AH49)*Inputs!$B$10</f>
        <v>31915.9623209202</v>
      </c>
      <c r="AJ49" s="0" t="n">
        <f aca="false">AE49-AF49-AH49-AI49</f>
        <v>3619123.01508545</v>
      </c>
      <c r="AK49" s="0" t="n">
        <f aca="false">Inputs!$D$63-(A49-1)</f>
        <v>17</v>
      </c>
      <c r="AL49" s="0" t="n">
        <f aca="false">IF(AK49&lt;=0,0,IF(A49=1,Inputs!$B$63,AQ48))</f>
        <v>4647466.77684491</v>
      </c>
      <c r="AM49" s="0" t="n">
        <f aca="false">AL49*Inputs!$B$9</f>
        <v>11781.5542104928</v>
      </c>
      <c r="AN49" s="0" t="n">
        <f aca="false">(AL49-AM49)*Inputs!$C$63/12</f>
        <v>36892.3282301323</v>
      </c>
      <c r="AO49" s="0" t="n">
        <f aca="false">IF(AK49&lt;=0,0,IF(AK49=1,AL49-AM49,MIN((AL49-AM49)*(Inputs!$C$63/12)/(1-(1+Inputs!$C$63/12)^(-AK49))-AN49,AL49-AM49)))</f>
        <v>255739.000577058</v>
      </c>
      <c r="AP49" s="0" t="n">
        <f aca="false">(AL49-AM49-AO49)*Inputs!$B$10</f>
        <v>38287.7858757192</v>
      </c>
      <c r="AQ49" s="0" t="n">
        <f aca="false">AL49-AM49-AO49-AP49</f>
        <v>4341658.43618165</v>
      </c>
      <c r="AR49" s="0" t="n">
        <f aca="false">Inputs!$D$64-(A49-1)</f>
        <v>29</v>
      </c>
      <c r="AS49" s="0" t="n">
        <f aca="false">IF(AR49&lt;=0,0,IF(A49=1,Inputs!$B$64,AX48))</f>
        <v>10256659.0359608</v>
      </c>
      <c r="AT49" s="0" t="n">
        <f aca="false">AS49*Inputs!$B$9</f>
        <v>26001.129271708</v>
      </c>
      <c r="AU49" s="0" t="n">
        <f aca="false">(AS49-AT49)*Inputs!$C$64/12</f>
        <v>83550.3729046275</v>
      </c>
      <c r="AV49" s="0" t="n">
        <f aca="false">IF(AR49&lt;=0,0,IF(AR49=1,AS49-AT49,MIN((AS49-AT49)*(Inputs!$C$64/12)/(1-(1+Inputs!$C$64/12)^(-AR49))-AU49,AS49-AT49)))</f>
        <v>314085.433442074</v>
      </c>
      <c r="AW49" s="0" t="n">
        <f aca="false">(AS49-AT49-AV49)*Inputs!$B$10</f>
        <v>86686.81856518</v>
      </c>
      <c r="AX49" s="0" t="n">
        <f aca="false">AS49-AT49-AV49-AW49</f>
        <v>9829885.65468183</v>
      </c>
      <c r="AY49" s="0" t="n">
        <f aca="false">Inputs!$D$65-(A49-1)</f>
        <v>29</v>
      </c>
      <c r="AZ49" s="0" t="n">
        <f aca="false">IF(AY49&lt;=0,0,IF(A49=1,Inputs!$B$65,BE48))</f>
        <v>10687717.5521208</v>
      </c>
      <c r="BA49" s="0" t="n">
        <f aca="false">AZ49*Inputs!$B$9</f>
        <v>27093.8835655818</v>
      </c>
      <c r="BB49" s="0" t="n">
        <f aca="false">(AZ49-BA49)*Inputs!$C$65/12</f>
        <v>91503.6864884319</v>
      </c>
      <c r="BC49" s="0" t="n">
        <f aca="false">IF(AY49&lt;=0,0,IF(AY49=1,AZ49-BA49,MIN((AZ49-BA49)*(Inputs!$C$65/12)/(1-(1+Inputs!$C$65/12)^(-AY49))-BB49,AZ49-BA49)))</f>
        <v>325319.306206934</v>
      </c>
      <c r="BD49" s="0" t="n">
        <f aca="false">(AZ49-BA49-BC49)*Inputs!$B$10</f>
        <v>90347.2098340282</v>
      </c>
      <c r="BE49" s="0" t="n">
        <f aca="false">AZ49-BA49-BC49-BD49</f>
        <v>10244957.1525142</v>
      </c>
      <c r="BF49" s="0" t="n">
        <f aca="false">Inputs!$D$66-(A49-1)</f>
        <v>41</v>
      </c>
      <c r="BG49" s="0" t="n">
        <f aca="false">IF(BF49&lt;=0,0,IF(A49=1,Inputs!$B$66,BL48))</f>
        <v>12851890.2732814</v>
      </c>
      <c r="BH49" s="0" t="n">
        <f aca="false">BG49*Inputs!$B$9</f>
        <v>32580.1666224633</v>
      </c>
      <c r="BI49" s="0" t="n">
        <f aca="false">(BG49-BH49)*Inputs!$C$66/12</f>
        <v>112703.101354377</v>
      </c>
      <c r="BJ49" s="0" t="n">
        <f aca="false">IF(BF49&lt;=0,0,IF(BF49=1,BG49-BH49,MIN((BG49-BH49)*(Inputs!$C$66/12)/(1-(1+Inputs!$C$66/12)^(-BF49))-BI49,BG49-BH49)))</f>
        <v>261050.361839069</v>
      </c>
      <c r="BK49" s="0" t="n">
        <f aca="false">(BG49-BH49-BJ49)*Inputs!$B$10</f>
        <v>109779.420957245</v>
      </c>
      <c r="BL49" s="0" t="n">
        <f aca="false">BG49-BH49-BJ49-BK49</f>
        <v>12448480.3238627</v>
      </c>
      <c r="BM49" s="0" t="n">
        <f aca="false">Inputs!$D$67-(A49-1)</f>
        <v>41</v>
      </c>
      <c r="BN49" s="0" t="n">
        <f aca="false">IF(BM49&lt;=0,0,IF(A49=1,Inputs!$B$67,BS48))</f>
        <v>16961543.2485569</v>
      </c>
      <c r="BO49" s="0" t="n">
        <f aca="false">BN49*Inputs!$B$9</f>
        <v>42998.3367007851</v>
      </c>
      <c r="BP49" s="0" t="n">
        <f aca="false">(BN49-BO49)*Inputs!$C$67/12</f>
        <v>155791.601063341</v>
      </c>
      <c r="BQ49" s="0" t="n">
        <f aca="false">IF(BM49&lt;=0,0,IF(BM49=1,BN49-BO49,MIN((BN49-BO49)*(Inputs!$C$67/12)/(1-(1+Inputs!$C$67/12)^(-BM49))-BP49,BN49-BO49)))</f>
        <v>341516.240343793</v>
      </c>
      <c r="BR49" s="0" t="n">
        <f aca="false">(BN49-BO49-BQ49)*Inputs!$B$10</f>
        <v>144909.935431213</v>
      </c>
      <c r="BS49" s="0" t="n">
        <f aca="false">BN49-BO49-BQ49-BR49</f>
        <v>16432118.7360811</v>
      </c>
      <c r="BT49" s="0" t="n">
        <f aca="false">C49+J49+Q49+X49+AE49+AL49+AS49+AZ49+BG49+BN49</f>
        <v>80004391.9165815</v>
      </c>
      <c r="BU49" s="0" t="n">
        <f aca="false">D49+K49+R49+Y49+AF49+AM49+AT49+BA49+BH49+BO49</f>
        <v>202815.022828977</v>
      </c>
      <c r="BV49" s="0" t="n">
        <f aca="false">E49+L49+S49+Z49+AG49+AN49+AU49+BB49+BI49+BP49</f>
        <v>656723.570932054</v>
      </c>
      <c r="BW49" s="0" t="n">
        <f aca="false">F49+M49+T49+AA49+AH49+AO49+AV49+BC49+BJ49+BQ49</f>
        <v>3867078.70346557</v>
      </c>
      <c r="BX49" s="0" t="n">
        <f aca="false">G49+N49+U49+AB49+AI49+AP49+AW49+BD49+BK49+BR49</f>
        <v>663789.841219611</v>
      </c>
      <c r="BY49" s="0" t="n">
        <f aca="false">H49+O49+V49+AC49+AJ49+AQ49+AX49+BE49+BL49+BS49</f>
        <v>75270708.3490674</v>
      </c>
      <c r="BZ49" s="0" t="n">
        <f aca="false">IF(A49&gt;Inputs!$B$7,(1-Inputs!$B$6)*INDEX($BU$6:$BU$125,A49-Inputs!$B$7),0)</f>
        <v>167124.914827037</v>
      </c>
      <c r="CA49" s="0" t="n">
        <f aca="false">CA48+(1-Inputs!$B$6)*BU49-BZ49</f>
        <v>841830.586601965</v>
      </c>
      <c r="CB49" s="0" t="n">
        <f aca="false">BY49+CA49</f>
        <v>76112538.9356694</v>
      </c>
      <c r="CC49" s="0" t="n">
        <f aca="false">BV49+BW49+BX49+BZ49</f>
        <v>5354717.03044427</v>
      </c>
      <c r="CD49" s="0" t="n">
        <f aca="false">CD48+BU49-BZ49</f>
        <v>10744083.4059521</v>
      </c>
    </row>
    <row r="50" customFormat="false" ht="15" hidden="false" customHeight="false" outlineLevel="0" collapsed="false">
      <c r="A50" s="0" t="n">
        <f aca="false">ROW()-5</f>
        <v>45</v>
      </c>
      <c r="B50" s="0" t="n">
        <f aca="false">Inputs!$D$58-(A50-1)</f>
        <v>-8</v>
      </c>
      <c r="C50" s="0" t="n">
        <f aca="false">IF(B50&lt;=0,0,IF(A50=1,Inputs!$B$58,H49))</f>
        <v>0</v>
      </c>
      <c r="D50" s="0" t="n">
        <f aca="false">C50*Inputs!$B$9</f>
        <v>0</v>
      </c>
      <c r="E50" s="0" t="n">
        <f aca="false">(C50-D50)*Inputs!$C$58/12</f>
        <v>0</v>
      </c>
      <c r="F50" s="0" t="n">
        <f aca="false">IF(B50&lt;=0,0,IF(B50=1,C50-D50,MIN((C50-D50)*(Inputs!$C$58/12)/(1-(1+Inputs!$C$58/12)^(-B50))-E50,C50-D50)))</f>
        <v>0</v>
      </c>
      <c r="G50" s="0" t="n">
        <f aca="false">(C50-D50-F50)*Inputs!$B$10</f>
        <v>0</v>
      </c>
      <c r="H50" s="0" t="n">
        <f aca="false">C50-D50-F50-G50</f>
        <v>0</v>
      </c>
      <c r="I50" s="0" t="n">
        <f aca="false">Inputs!$D$59-(A50-1)</f>
        <v>4</v>
      </c>
      <c r="J50" s="0" t="n">
        <f aca="false">IF(I50&lt;=0,0,IF(A50=1,Inputs!$B$59,O49))</f>
        <v>4391887.30317902</v>
      </c>
      <c r="K50" s="0" t="n">
        <f aca="false">J50*Inputs!$B$9</f>
        <v>11133.6478200509</v>
      </c>
      <c r="L50" s="0" t="n">
        <f aca="false">(J50-K50)*Inputs!$C$59/12</f>
        <v>28474.8987598333</v>
      </c>
      <c r="M50" s="0" t="n">
        <f aca="false">IF(I50&lt;=0,0,IF(I50=1,J50-K50,MIN((J50-K50)*(Inputs!$C$59/12)/(1-(1+Inputs!$C$59/12)^(-I50))-L50,J50-K50)))</f>
        <v>1084567.97858904</v>
      </c>
      <c r="N50" s="0" t="n">
        <f aca="false">(J50-K50-M50)*Inputs!$B$10</f>
        <v>28813.9728207664</v>
      </c>
      <c r="O50" s="0" t="n">
        <f aca="false">J50-K50-M50-N50</f>
        <v>3267371.70394916</v>
      </c>
      <c r="P50" s="0" t="n">
        <f aca="false">Inputs!$D$60-(A50-1)</f>
        <v>4</v>
      </c>
      <c r="Q50" s="0" t="n">
        <f aca="false">IF(P50&lt;=0,0,IF(A50=1,Inputs!$B$60,V49))</f>
        <v>1267312.57761844</v>
      </c>
      <c r="R50" s="0" t="n">
        <f aca="false">Q50*Inputs!$B$9</f>
        <v>3212.69899318941</v>
      </c>
      <c r="S50" s="0" t="n">
        <f aca="false">(Q50-R50)*Inputs!$C$60/12</f>
        <v>8743.35749382462</v>
      </c>
      <c r="T50" s="0" t="n">
        <f aca="false">IF(P50&lt;=0,0,IF(P50=1,Q50-R50,MIN((Q50-R50)*(Inputs!$C$60/12)/(1-(1+Inputs!$C$60/12)^(-P50))-S50,Q50-R50)))</f>
        <v>312765.043688358</v>
      </c>
      <c r="U50" s="0" t="n">
        <f aca="false">(Q50-R50-T50)*Inputs!$B$10</f>
        <v>8316.1990146689</v>
      </c>
      <c r="V50" s="0" t="n">
        <f aca="false">Q50-R50-T50-U50</f>
        <v>943018.635922219</v>
      </c>
      <c r="W50" s="0" t="n">
        <f aca="false">Inputs!$D$61-(A50-1)</f>
        <v>16</v>
      </c>
      <c r="X50" s="0" t="n">
        <f aca="false">IF(W50&lt;=0,0,IF(A50=1,Inputs!$B$61,AC49))</f>
        <v>12695285.1498631</v>
      </c>
      <c r="Y50" s="0" t="n">
        <f aca="false">X50*Inputs!$B$9</f>
        <v>32183.1650214219</v>
      </c>
      <c r="Z50" s="0" t="n">
        <f aca="false">(X50-Y50)*Inputs!$C$61/12</f>
        <v>92862.7478888387</v>
      </c>
      <c r="AA50" s="0" t="n">
        <f aca="false">IF(W50&lt;=0,0,IF(W50=1,X50-Y50,MIN((X50-Y50)*(Inputs!$C$61/12)/(1-(1+Inputs!$C$61/12)^(-W50))-Z50,X50-Y50)))</f>
        <v>748815.39928146</v>
      </c>
      <c r="AB50" s="0" t="n">
        <f aca="false">(X50-Y50-AA50)*Inputs!$B$10</f>
        <v>104150.058133729</v>
      </c>
      <c r="AC50" s="0" t="n">
        <f aca="false">X50-Y50-AA50-AB50</f>
        <v>11810136.5274265</v>
      </c>
      <c r="AD50" s="0" t="n">
        <f aca="false">Inputs!$D$62-(A50-1)</f>
        <v>16</v>
      </c>
      <c r="AE50" s="0" t="n">
        <f aca="false">IF(AD50&lt;=0,0,IF(A50=1,Inputs!$B$62,AJ49))</f>
        <v>3619123.01508545</v>
      </c>
      <c r="AF50" s="0" t="n">
        <f aca="false">AE50*Inputs!$B$9</f>
        <v>9174.65278269681</v>
      </c>
      <c r="AG50" s="0" t="n">
        <f aca="false">(AE50-AF50)*Inputs!$C$62/12</f>
        <v>27977.0998078463</v>
      </c>
      <c r="AH50" s="0" t="n">
        <f aca="false">IF(AD50&lt;=0,0,IF(AD50=1,AE50-AF50,MIN((AE50-AF50)*(Inputs!$C$62/12)/(1-(1+Inputs!$C$62/12)^(-AD50))-AG50,AE50-AF50)))</f>
        <v>212794.291176736</v>
      </c>
      <c r="AI50" s="0" t="n">
        <f aca="false">(AE50-AF50-AH50)*Inputs!$B$10</f>
        <v>29696.5992429477</v>
      </c>
      <c r="AJ50" s="0" t="n">
        <f aca="false">AE50-AF50-AH50-AI50</f>
        <v>3367457.47188307</v>
      </c>
      <c r="AK50" s="0" t="n">
        <f aca="false">Inputs!$D$63-(A50-1)</f>
        <v>16</v>
      </c>
      <c r="AL50" s="0" t="n">
        <f aca="false">IF(AK50&lt;=0,0,IF(A50=1,Inputs!$B$63,AQ49))</f>
        <v>4341658.43618165</v>
      </c>
      <c r="AM50" s="0" t="n">
        <f aca="false">AL50*Inputs!$B$9</f>
        <v>11006.3152003946</v>
      </c>
      <c r="AN50" s="0" t="n">
        <f aca="false">(AL50-AM50)*Inputs!$C$63/12</f>
        <v>34464.7731294758</v>
      </c>
      <c r="AO50" s="0" t="n">
        <f aca="false">IF(AK50&lt;=0,0,IF(AK50=1,AL50-AM50,MIN((AL50-AM50)*(Inputs!$C$63/12)/(1-(1+Inputs!$C$63/12)^(-AK50))-AN50,AL50-AM50)))</f>
        <v>254873.136633522</v>
      </c>
      <c r="AP50" s="0" t="n">
        <f aca="false">(AL50-AM50-AO50)*Inputs!$B$10</f>
        <v>35628.8742184968</v>
      </c>
      <c r="AQ50" s="0" t="n">
        <f aca="false">AL50-AM50-AO50-AP50</f>
        <v>4040150.11012923</v>
      </c>
      <c r="AR50" s="0" t="n">
        <f aca="false">Inputs!$D$64-(A50-1)</f>
        <v>28</v>
      </c>
      <c r="AS50" s="0" t="n">
        <f aca="false">IF(AR50&lt;=0,0,IF(A50=1,Inputs!$B$64,AX49))</f>
        <v>9829885.65468183</v>
      </c>
      <c r="AT50" s="0" t="n">
        <f aca="false">AS50*Inputs!$B$9</f>
        <v>24919.2380030743</v>
      </c>
      <c r="AU50" s="0" t="n">
        <f aca="false">(AS50-AT50)*Inputs!$C$64/12</f>
        <v>80073.8924028765</v>
      </c>
      <c r="AV50" s="0" t="n">
        <f aca="false">IF(AR50&lt;=0,0,IF(AR50=1,AS50-AT50,MIN((AS50-AT50)*(Inputs!$C$64/12)/(1-(1+Inputs!$C$64/12)^(-AR50))-AU50,AS50-AT50)))</f>
        <v>313086.72209539</v>
      </c>
      <c r="AW50" s="0" t="n">
        <f aca="false">(AS50-AT50-AV50)*Inputs!$B$10</f>
        <v>82974.3195188333</v>
      </c>
      <c r="AX50" s="0" t="n">
        <f aca="false">AS50-AT50-AV50-AW50</f>
        <v>9408905.37506453</v>
      </c>
      <c r="AY50" s="0" t="n">
        <f aca="false">Inputs!$D$65-(A50-1)</f>
        <v>28</v>
      </c>
      <c r="AZ50" s="0" t="n">
        <f aca="false">IF(AY50&lt;=0,0,IF(A50=1,Inputs!$B$65,BE49))</f>
        <v>10244957.1525142</v>
      </c>
      <c r="BA50" s="0" t="n">
        <f aca="false">AZ50*Inputs!$B$9</f>
        <v>25971.4644282974</v>
      </c>
      <c r="BB50" s="0" t="n">
        <f aca="false">(AZ50-BA50)*Inputs!$C$65/12</f>
        <v>87712.9604894041</v>
      </c>
      <c r="BC50" s="0" t="n">
        <f aca="false">IF(AY50&lt;=0,0,IF(AY50=1,AZ50-BA50,MIN((AZ50-BA50)*(Inputs!$C$65/12)/(1-(1+Inputs!$C$65/12)^(-AY50))-BB50,AZ50-BA50)))</f>
        <v>324418.898184887</v>
      </c>
      <c r="BD50" s="0" t="n">
        <f aca="false">(AZ50-BA50-BC50)*Inputs!$B$10</f>
        <v>86494.4534425772</v>
      </c>
      <c r="BE50" s="0" t="n">
        <f aca="false">AZ50-BA50-BC50-BD50</f>
        <v>9808072.33645845</v>
      </c>
      <c r="BF50" s="0" t="n">
        <f aca="false">Inputs!$D$66-(A50-1)</f>
        <v>40</v>
      </c>
      <c r="BG50" s="0" t="n">
        <f aca="false">IF(BF50&lt;=0,0,IF(A50=1,Inputs!$B$66,BL49))</f>
        <v>12448480.3238627</v>
      </c>
      <c r="BH50" s="0" t="n">
        <f aca="false">BG50*Inputs!$B$9</f>
        <v>31557.5027893813</v>
      </c>
      <c r="BI50" s="0" t="n">
        <f aca="false">(BG50-BH50)*Inputs!$C$66/12</f>
        <v>109165.446468603</v>
      </c>
      <c r="BJ50" s="0" t="n">
        <f aca="false">IF(BF50&lt;=0,0,IF(BF50=1,BG50-BH50,MIN((BG50-BH50)*(Inputs!$C$66/12)/(1-(1+Inputs!$C$66/12)^(-BF50))-BI50,BG50-BH50)))</f>
        <v>260381.60868736</v>
      </c>
      <c r="BK50" s="0" t="n">
        <f aca="false">(BG50-BH50-BJ50)*Inputs!$B$10</f>
        <v>106267.753833415</v>
      </c>
      <c r="BL50" s="0" t="n">
        <f aca="false">BG50-BH50-BJ50-BK50</f>
        <v>12050273.4585525</v>
      </c>
      <c r="BM50" s="0" t="n">
        <f aca="false">Inputs!$D$67-(A50-1)</f>
        <v>40</v>
      </c>
      <c r="BN50" s="0" t="n">
        <f aca="false">IF(BM50&lt;=0,0,IF(A50=1,Inputs!$B$67,BS49))</f>
        <v>16432118.7360811</v>
      </c>
      <c r="BO50" s="0" t="n">
        <f aca="false">BN50*Inputs!$B$9</f>
        <v>41656.2198243022</v>
      </c>
      <c r="BP50" s="0" t="n">
        <f aca="false">(BN50-BO50)*Inputs!$C$67/12</f>
        <v>150928.842337198</v>
      </c>
      <c r="BQ50" s="0" t="n">
        <f aca="false">IF(BM50&lt;=0,0,IF(BM50=1,BN50-BO50,MIN((BN50-BO50)*(Inputs!$C$67/12)/(1-(1+Inputs!$C$67/12)^(-BM50))-BP50,BN50-BO50)))</f>
        <v>340782.048386658</v>
      </c>
      <c r="BR50" s="0" t="n">
        <f aca="false">(BN50-BO50-BQ50)*Inputs!$B$10</f>
        <v>140300.062597315</v>
      </c>
      <c r="BS50" s="0" t="n">
        <f aca="false">BN50-BO50-BQ50-BR50</f>
        <v>15909380.4052728</v>
      </c>
      <c r="BT50" s="0" t="n">
        <f aca="false">C50+J50+Q50+X50+AE50+AL50+AS50+AZ50+BG50+BN50</f>
        <v>75270708.3490674</v>
      </c>
      <c r="BU50" s="0" t="n">
        <f aca="false">D50+K50+R50+Y50+AF50+AM50+AT50+BA50+BH50+BO50</f>
        <v>190814.904862809</v>
      </c>
      <c r="BV50" s="0" t="n">
        <f aca="false">E50+L50+S50+Z50+AG50+AN50+AU50+BB50+BI50+BP50</f>
        <v>620404.0187779</v>
      </c>
      <c r="BW50" s="0" t="n">
        <f aca="false">F50+M50+T50+AA50+AH50+AO50+AV50+BC50+BJ50+BQ50</f>
        <v>3852485.12672341</v>
      </c>
      <c r="BX50" s="0" t="n">
        <f aca="false">G50+N50+U50+AB50+AI50+AP50+AW50+BD50+BK50+BR50</f>
        <v>622642.29282275</v>
      </c>
      <c r="BY50" s="0" t="n">
        <f aca="false">H50+O50+V50+AC50+AJ50+AQ50+AX50+BE50+BL50+BS50</f>
        <v>70604766.0246584</v>
      </c>
      <c r="BZ50" s="0" t="n">
        <f aca="false">IF(A50&gt;Inputs!$B$7,(1-Inputs!$B$6)*INDEX($BU$6:$BU$125,A50-Inputs!$B$7),0)</f>
        <v>159279.60229494</v>
      </c>
      <c r="CA50" s="0" t="n">
        <f aca="false">CA49+(1-Inputs!$B$6)*BU50-BZ50</f>
        <v>797039.92722471</v>
      </c>
      <c r="CB50" s="0" t="n">
        <f aca="false">BY50+CA50</f>
        <v>71401805.9518831</v>
      </c>
      <c r="CC50" s="0" t="n">
        <f aca="false">BV50+BW50+BX50+BZ50</f>
        <v>5254811.040619</v>
      </c>
      <c r="CD50" s="0" t="n">
        <f aca="false">CD49+BU50-BZ50</f>
        <v>10775618.70852</v>
      </c>
    </row>
    <row r="51" customFormat="false" ht="15" hidden="false" customHeight="false" outlineLevel="0" collapsed="false">
      <c r="A51" s="0" t="n">
        <f aca="false">ROW()-5</f>
        <v>46</v>
      </c>
      <c r="B51" s="0" t="n">
        <f aca="false">Inputs!$D$58-(A51-1)</f>
        <v>-9</v>
      </c>
      <c r="C51" s="0" t="n">
        <f aca="false">IF(B51&lt;=0,0,IF(A51=1,Inputs!$B$58,H50))</f>
        <v>0</v>
      </c>
      <c r="D51" s="0" t="n">
        <f aca="false">C51*Inputs!$B$9</f>
        <v>0</v>
      </c>
      <c r="E51" s="0" t="n">
        <f aca="false">(C51-D51)*Inputs!$C$58/12</f>
        <v>0</v>
      </c>
      <c r="F51" s="0" t="n">
        <f aca="false">IF(B51&lt;=0,0,IF(B51=1,C51-D51,MIN((C51-D51)*(Inputs!$C$58/12)/(1-(1+Inputs!$C$58/12)^(-B51))-E51,C51-D51)))</f>
        <v>0</v>
      </c>
      <c r="G51" s="0" t="n">
        <f aca="false">(C51-D51-F51)*Inputs!$B$10</f>
        <v>0</v>
      </c>
      <c r="H51" s="0" t="n">
        <f aca="false">C51-D51-F51-G51</f>
        <v>0</v>
      </c>
      <c r="I51" s="0" t="n">
        <f aca="false">Inputs!$D$59-(A51-1)</f>
        <v>3</v>
      </c>
      <c r="J51" s="0" t="n">
        <f aca="false">IF(I51&lt;=0,0,IF(A51=1,Inputs!$B$59,O50))</f>
        <v>3267371.70394916</v>
      </c>
      <c r="K51" s="0" t="n">
        <f aca="false">J51*Inputs!$B$9</f>
        <v>8282.94610898553</v>
      </c>
      <c r="L51" s="0" t="n">
        <f aca="false">(J51-K51)*Inputs!$C$59/12</f>
        <v>21184.0769259611</v>
      </c>
      <c r="M51" s="0" t="n">
        <f aca="false">IF(I51&lt;=0,0,IF(I51=1,J51-K51,MIN((J51-K51)*(Inputs!$C$59/12)/(1-(1+Inputs!$C$59/12)^(-I51))-L51,J51-K51)))</f>
        <v>1079332.06029496</v>
      </c>
      <c r="N51" s="0" t="n">
        <f aca="false">(J51-K51-M51)*Inputs!$B$10</f>
        <v>19054.5850258347</v>
      </c>
      <c r="O51" s="0" t="n">
        <f aca="false">J51-K51-M51-N51</f>
        <v>2160702.11251937</v>
      </c>
      <c r="P51" s="0" t="n">
        <f aca="false">Inputs!$D$60-(A51-1)</f>
        <v>3</v>
      </c>
      <c r="Q51" s="0" t="n">
        <f aca="false">IF(P51&lt;=0,0,IF(A51=1,Inputs!$B$60,V50))</f>
        <v>943018.635922219</v>
      </c>
      <c r="R51" s="0" t="n">
        <f aca="false">Q51*Inputs!$B$9</f>
        <v>2390.59808581679</v>
      </c>
      <c r="S51" s="0" t="n">
        <f aca="false">(Q51-R51)*Inputs!$C$60/12</f>
        <v>6506.01059503512</v>
      </c>
      <c r="T51" s="0" t="n">
        <f aca="false">IF(P51&lt;=0,0,IF(P51=1,Q51-R51,MIN((Q51-R51)*(Inputs!$C$60/12)/(1-(1+Inputs!$C$60/12)^(-P51))-S51,Q51-R51)))</f>
        <v>311383.974556173</v>
      </c>
      <c r="U51" s="0" t="n">
        <f aca="false">(Q51-R51-T51)*Inputs!$B$10</f>
        <v>5500.60679674833</v>
      </c>
      <c r="V51" s="0" t="n">
        <f aca="false">Q51-R51-T51-U51</f>
        <v>623743.456483481</v>
      </c>
      <c r="W51" s="0" t="n">
        <f aca="false">Inputs!$D$61-(A51-1)</f>
        <v>15</v>
      </c>
      <c r="X51" s="0" t="n">
        <f aca="false">IF(W51&lt;=0,0,IF(A51=1,Inputs!$B$61,AC50))</f>
        <v>11810136.5274265</v>
      </c>
      <c r="Y51" s="0" t="n">
        <f aca="false">X51*Inputs!$B$9</f>
        <v>29939.2702330745</v>
      </c>
      <c r="Z51" s="0" t="n">
        <f aca="false">(X51-Y51)*Inputs!$C$61/12</f>
        <v>86388.1132194181</v>
      </c>
      <c r="AA51" s="0" t="n">
        <f aca="false">IF(W51&lt;=0,0,IF(W51=1,X51-Y51,MIN((X51-Y51)*(Inputs!$C$61/12)/(1-(1+Inputs!$C$61/12)^(-W51))-Z51,X51-Y51)))</f>
        <v>745817.367950732</v>
      </c>
      <c r="AB51" s="0" t="n">
        <f aca="false">(X51-Y51-AA51)*Inputs!$B$10</f>
        <v>96458.2561180888</v>
      </c>
      <c r="AC51" s="0" t="n">
        <f aca="false">X51-Y51-AA51-AB51</f>
        <v>10937921.6331246</v>
      </c>
      <c r="AD51" s="0" t="n">
        <f aca="false">Inputs!$D$62-(A51-1)</f>
        <v>15</v>
      </c>
      <c r="AE51" s="0" t="n">
        <f aca="false">IF(AD51&lt;=0,0,IF(A51=1,Inputs!$B$62,AJ50))</f>
        <v>3367457.47188307</v>
      </c>
      <c r="AF51" s="0" t="n">
        <f aca="false">AE51*Inputs!$B$9</f>
        <v>8536.66839625116</v>
      </c>
      <c r="AG51" s="0" t="n">
        <f aca="false">(AE51-AF51)*Inputs!$C$62/12</f>
        <v>26031.6362270228</v>
      </c>
      <c r="AH51" s="0" t="n">
        <f aca="false">IF(AD51&lt;=0,0,IF(AD51=1,AE51-AF51,MIN((AE51-AF51)*(Inputs!$C$62/12)/(1-(1+Inputs!$C$62/12)^(-AD51))-AG51,AE51-AF51)))</f>
        <v>212029.99334002</v>
      </c>
      <c r="AI51" s="0" t="n">
        <f aca="false">(AE51-AF51-AH51)*Inputs!$B$10</f>
        <v>27508.8951792137</v>
      </c>
      <c r="AJ51" s="0" t="n">
        <f aca="false">AE51-AF51-AH51-AI51</f>
        <v>3119381.91496758</v>
      </c>
      <c r="AK51" s="0" t="n">
        <f aca="false">Inputs!$D$63-(A51-1)</f>
        <v>15</v>
      </c>
      <c r="AL51" s="0" t="n">
        <f aca="false">IF(AK51&lt;=0,0,IF(A51=1,Inputs!$B$63,AQ50))</f>
        <v>4040150.11012923</v>
      </c>
      <c r="AM51" s="0" t="n">
        <f aca="false">AL51*Inputs!$B$9</f>
        <v>10241.9769363752</v>
      </c>
      <c r="AN51" s="0" t="n">
        <f aca="false">(AL51-AM51)*Inputs!$C$63/12</f>
        <v>32071.3522266598</v>
      </c>
      <c r="AO51" s="0" t="n">
        <f aca="false">IF(AK51&lt;=0,0,IF(AK51=1,AL51-AM51,MIN((AL51-AM51)*(Inputs!$C$63/12)/(1-(1+Inputs!$C$63/12)^(-AK51))-AN51,AL51-AM51)))</f>
        <v>254010.204274013</v>
      </c>
      <c r="AP51" s="0" t="n">
        <f aca="false">(AL51-AM51-AO51)*Inputs!$B$10</f>
        <v>33007.4306992536</v>
      </c>
      <c r="AQ51" s="0" t="n">
        <f aca="false">AL51-AM51-AO51-AP51</f>
        <v>3742890.49821959</v>
      </c>
      <c r="AR51" s="0" t="n">
        <f aca="false">Inputs!$D$64-(A51-1)</f>
        <v>27</v>
      </c>
      <c r="AS51" s="0" t="n">
        <f aca="false">IF(AR51&lt;=0,0,IF(A51=1,Inputs!$B$64,AX50))</f>
        <v>9408905.37506453</v>
      </c>
      <c r="AT51" s="0" t="n">
        <f aca="false">AS51*Inputs!$B$9</f>
        <v>23852.0325287779</v>
      </c>
      <c r="AU51" s="0" t="n">
        <f aca="false">(AS51-AT51)*Inputs!$C$64/12</f>
        <v>76644.6022973753</v>
      </c>
      <c r="AV51" s="0" t="n">
        <f aca="false">IF(AR51&lt;=0,0,IF(AR51=1,AS51-AT51,MIN((AS51-AT51)*(Inputs!$C$64/12)/(1-(1+Inputs!$C$64/12)^(-AR51))-AU51,AS51-AT51)))</f>
        <v>312091.186395354</v>
      </c>
      <c r="AW51" s="0" t="n">
        <f aca="false">(AS51-AT51-AV51)*Inputs!$B$10</f>
        <v>79312.3053756657</v>
      </c>
      <c r="AX51" s="0" t="n">
        <f aca="false">AS51-AT51-AV51-AW51</f>
        <v>8993649.85076474</v>
      </c>
      <c r="AY51" s="0" t="n">
        <f aca="false">Inputs!$D$65-(A51-1)</f>
        <v>27</v>
      </c>
      <c r="AZ51" s="0" t="n">
        <f aca="false">IF(AY51&lt;=0,0,IF(A51=1,Inputs!$B$65,BE50))</f>
        <v>9808072.33645845</v>
      </c>
      <c r="BA51" s="0" t="n">
        <f aca="false">AZ51*Inputs!$B$9</f>
        <v>24863.940180949</v>
      </c>
      <c r="BB51" s="0" t="n">
        <f aca="false">(AZ51-BA51)*Inputs!$C$65/12</f>
        <v>83972.5387347152</v>
      </c>
      <c r="BC51" s="0" t="n">
        <f aca="false">IF(AY51&lt;=0,0,IF(AY51=1,AZ51-BA51,MIN((AZ51-BA51)*(Inputs!$C$65/12)/(1-(1+Inputs!$C$65/12)^(-AY51))-BB51,AZ51-BA51)))</f>
        <v>323520.982282399</v>
      </c>
      <c r="BD51" s="0" t="n">
        <f aca="false">(AZ51-BA51-BC51)*Inputs!$B$10</f>
        <v>82692.9071261863</v>
      </c>
      <c r="BE51" s="0" t="n">
        <f aca="false">AZ51-BA51-BC51-BD51</f>
        <v>9376994.50686891</v>
      </c>
      <c r="BF51" s="0" t="n">
        <f aca="false">Inputs!$D$66-(A51-1)</f>
        <v>39</v>
      </c>
      <c r="BG51" s="0" t="n">
        <f aca="false">IF(BF51&lt;=0,0,IF(A51=1,Inputs!$B$66,BL50))</f>
        <v>12050273.4585525</v>
      </c>
      <c r="BH51" s="0" t="n">
        <f aca="false">BG51*Inputs!$B$9</f>
        <v>30548.0290274566</v>
      </c>
      <c r="BI51" s="0" t="n">
        <f aca="false">(BG51-BH51)*Inputs!$C$66/12</f>
        <v>105673.419401241</v>
      </c>
      <c r="BJ51" s="0" t="n">
        <f aca="false">IF(BF51&lt;=0,0,IF(BF51=1,BG51-BH51,MIN((BG51-BH51)*(Inputs!$C$66/12)/(1-(1+Inputs!$C$66/12)^(-BF51))-BI51,BG51-BH51)))</f>
        <v>259714.568732962</v>
      </c>
      <c r="BK51" s="0" t="n">
        <f aca="false">(BG51-BH51-BJ51)*Inputs!$B$10</f>
        <v>102801.439768053</v>
      </c>
      <c r="BL51" s="0" t="n">
        <f aca="false">BG51-BH51-BJ51-BK51</f>
        <v>11657209.421024</v>
      </c>
      <c r="BM51" s="0" t="n">
        <f aca="false">Inputs!$D$67-(A51-1)</f>
        <v>39</v>
      </c>
      <c r="BN51" s="0" t="n">
        <f aca="false">IF(BM51&lt;=0,0,IF(A51=1,Inputs!$B$67,BS50))</f>
        <v>15909380.4052728</v>
      </c>
      <c r="BO51" s="0" t="n">
        <f aca="false">BN51*Inputs!$B$9</f>
        <v>40331.0527433874</v>
      </c>
      <c r="BP51" s="0" t="n">
        <f aca="false">(BN51-BO51)*Inputs!$C$67/12</f>
        <v>146127.496121208</v>
      </c>
      <c r="BQ51" s="0" t="n">
        <f aca="false">IF(BM51&lt;=0,0,IF(BM51=1,BN51-BO51,MIN((BN51-BO51)*(Inputs!$C$67/12)/(1-(1+Inputs!$C$67/12)^(-BM51))-BP51,BN51-BO51)))</f>
        <v>340049.434796131</v>
      </c>
      <c r="BR51" s="0" t="n">
        <f aca="false">(BN51-BO51-BQ51)*Inputs!$B$10</f>
        <v>135748.475796342</v>
      </c>
      <c r="BS51" s="0" t="n">
        <f aca="false">BN51-BO51-BQ51-BR51</f>
        <v>15393251.4419369</v>
      </c>
      <c r="BT51" s="0" t="n">
        <f aca="false">C51+J51+Q51+X51+AE51+AL51+AS51+AZ51+BG51+BN51</f>
        <v>70604766.0246584</v>
      </c>
      <c r="BU51" s="0" t="n">
        <f aca="false">D51+K51+R51+Y51+AF51+AM51+AT51+BA51+BH51+BO51</f>
        <v>178986.514241074</v>
      </c>
      <c r="BV51" s="0" t="n">
        <f aca="false">E51+L51+S51+Z51+AG51+AN51+AU51+BB51+BI51+BP51</f>
        <v>584599.245748637</v>
      </c>
      <c r="BW51" s="0" t="n">
        <f aca="false">F51+M51+T51+AA51+AH51+AO51+AV51+BC51+BJ51+BQ51</f>
        <v>3837949.77262275</v>
      </c>
      <c r="BX51" s="0" t="n">
        <f aca="false">G51+N51+U51+AB51+AI51+AP51+AW51+BD51+BK51+BR51</f>
        <v>582084.901885385</v>
      </c>
      <c r="BY51" s="0" t="n">
        <f aca="false">H51+O51+V51+AC51+AJ51+AQ51+AX51+BE51+BL51+BS51</f>
        <v>66005744.8359092</v>
      </c>
      <c r="BZ51" s="0" t="n">
        <f aca="false">IF(A51&gt;Inputs!$B$7,(1-Inputs!$B$6)*INDEX($BU$6:$BU$125,A51-Inputs!$B$7),0)</f>
        <v>151545.12251511</v>
      </c>
      <c r="CA51" s="0" t="n">
        <f aca="false">CA50+(1-Inputs!$B$6)*BU51-BZ51</f>
        <v>752886.713254245</v>
      </c>
      <c r="CB51" s="0" t="n">
        <f aca="false">BY51+CA51</f>
        <v>66758631.5491635</v>
      </c>
      <c r="CC51" s="0" t="n">
        <f aca="false">BV51+BW51+BX51+BZ51</f>
        <v>5156179.04277188</v>
      </c>
      <c r="CD51" s="0" t="n">
        <f aca="false">CD50+BU51-BZ51</f>
        <v>10803060.1002459</v>
      </c>
    </row>
    <row r="52" customFormat="false" ht="15" hidden="false" customHeight="false" outlineLevel="0" collapsed="false">
      <c r="A52" s="0" t="n">
        <f aca="false">ROW()-5</f>
        <v>47</v>
      </c>
      <c r="B52" s="0" t="n">
        <f aca="false">Inputs!$D$58-(A52-1)</f>
        <v>-10</v>
      </c>
      <c r="C52" s="0" t="n">
        <f aca="false">IF(B52&lt;=0,0,IF(A52=1,Inputs!$B$58,H51))</f>
        <v>0</v>
      </c>
      <c r="D52" s="0" t="n">
        <f aca="false">C52*Inputs!$B$9</f>
        <v>0</v>
      </c>
      <c r="E52" s="0" t="n">
        <f aca="false">(C52-D52)*Inputs!$C$58/12</f>
        <v>0</v>
      </c>
      <c r="F52" s="0" t="n">
        <f aca="false">IF(B52&lt;=0,0,IF(B52=1,C52-D52,MIN((C52-D52)*(Inputs!$C$58/12)/(1-(1+Inputs!$C$58/12)^(-B52))-E52,C52-D52)))</f>
        <v>0</v>
      </c>
      <c r="G52" s="0" t="n">
        <f aca="false">(C52-D52-F52)*Inputs!$B$10</f>
        <v>0</v>
      </c>
      <c r="H52" s="0" t="n">
        <f aca="false">C52-D52-F52-G52</f>
        <v>0</v>
      </c>
      <c r="I52" s="0" t="n">
        <f aca="false">Inputs!$D$59-(A52-1)</f>
        <v>2</v>
      </c>
      <c r="J52" s="0" t="n">
        <f aca="false">IF(I52&lt;=0,0,IF(A52=1,Inputs!$B$59,O51))</f>
        <v>2160702.11251937</v>
      </c>
      <c r="K52" s="0" t="n">
        <f aca="false">J52*Inputs!$B$9</f>
        <v>5477.48489525624</v>
      </c>
      <c r="L52" s="0" t="n">
        <f aca="false">(J52-K52)*Inputs!$C$59/12</f>
        <v>14008.9600795568</v>
      </c>
      <c r="M52" s="0" t="n">
        <f aca="false">IF(I52&lt;=0,0,IF(I52=1,J52-K52,MIN((J52-K52)*(Inputs!$C$59/12)/(1-(1+Inputs!$C$59/12)^(-I52))-L52,J52-K52)))</f>
        <v>1074121.41919967</v>
      </c>
      <c r="N52" s="0" t="n">
        <f aca="false">(J52-K52-M52)*Inputs!$B$10</f>
        <v>9450.58364992095</v>
      </c>
      <c r="O52" s="0" t="n">
        <f aca="false">J52-K52-M52-N52</f>
        <v>1071652.62477453</v>
      </c>
      <c r="P52" s="0" t="n">
        <f aca="false">Inputs!$D$60-(A52-1)</f>
        <v>2</v>
      </c>
      <c r="Q52" s="0" t="n">
        <f aca="false">IF(P52&lt;=0,0,IF(A52=1,Inputs!$B$60,V51))</f>
        <v>623743.456483481</v>
      </c>
      <c r="R52" s="0" t="n">
        <f aca="false">Q52*Inputs!$B$9</f>
        <v>1581.21998474815</v>
      </c>
      <c r="S52" s="0" t="n">
        <f aca="false">(Q52-R52)*Inputs!$C$60/12</f>
        <v>4303.28880244957</v>
      </c>
      <c r="T52" s="0" t="n">
        <f aca="false">IF(P52&lt;=0,0,IF(P52=1,Q52-R52,MIN((Q52-R52)*(Inputs!$C$60/12)/(1-(1+Inputs!$C$60/12)^(-P52))-S52,Q52-R52)))</f>
        <v>310009.003777968</v>
      </c>
      <c r="U52" s="0" t="n">
        <f aca="false">(Q52-R52-T52)*Inputs!$B$10</f>
        <v>2728.72211869583</v>
      </c>
      <c r="V52" s="0" t="n">
        <f aca="false">Q52-R52-T52-U52</f>
        <v>309424.510602069</v>
      </c>
      <c r="W52" s="0" t="n">
        <f aca="false">Inputs!$D$61-(A52-1)</f>
        <v>14</v>
      </c>
      <c r="X52" s="0" t="n">
        <f aca="false">IF(W52&lt;=0,0,IF(A52=1,Inputs!$B$61,AC51))</f>
        <v>10937921.6331246</v>
      </c>
      <c r="Y52" s="0" t="n">
        <f aca="false">X52*Inputs!$B$9</f>
        <v>27728.1630743067</v>
      </c>
      <c r="Z52" s="0" t="n">
        <f aca="false">(X52-Y52)*Inputs!$C$61/12</f>
        <v>80008.0854470352</v>
      </c>
      <c r="AA52" s="0" t="n">
        <f aca="false">IF(W52&lt;=0,0,IF(W52=1,X52-Y52,MIN((X52-Y52)*(Inputs!$C$61/12)/(1-(1+Inputs!$C$61/12)^(-W52))-Z52,X52-Y52)))</f>
        <v>742831.339834505</v>
      </c>
      <c r="AB52" s="0" t="n">
        <f aca="false">(X52-Y52-AA52)*Inputs!$B$10</f>
        <v>88879.1241778626</v>
      </c>
      <c r="AC52" s="0" t="n">
        <f aca="false">X52-Y52-AA52-AB52</f>
        <v>10078483.0060379</v>
      </c>
      <c r="AD52" s="0" t="n">
        <f aca="false">Inputs!$D$62-(A52-1)</f>
        <v>14</v>
      </c>
      <c r="AE52" s="0" t="n">
        <f aca="false">IF(AD52&lt;=0,0,IF(A52=1,Inputs!$B$62,AJ51))</f>
        <v>3119381.91496758</v>
      </c>
      <c r="AF52" s="0" t="n">
        <f aca="false">AE52*Inputs!$B$9</f>
        <v>7907.7847995658</v>
      </c>
      <c r="AG52" s="0" t="n">
        <f aca="false">(AE52-AF52)*Inputs!$C$62/12</f>
        <v>24113.9245088021</v>
      </c>
      <c r="AH52" s="0" t="n">
        <f aca="false">IF(AD52&lt;=0,0,IF(AD52=1,AE52-AF52,MIN((AE52-AF52)*(Inputs!$C$62/12)/(1-(1+Inputs!$C$62/12)^(-AD52))-AG52,AE52-AF52)))</f>
        <v>211268.440648297</v>
      </c>
      <c r="AI52" s="0" t="n">
        <f aca="false">(AE52-AF52-AH52)*Inputs!$B$10</f>
        <v>25352.4698263793</v>
      </c>
      <c r="AJ52" s="0" t="n">
        <f aca="false">AE52-AF52-AH52-AI52</f>
        <v>2874853.21969334</v>
      </c>
      <c r="AK52" s="0" t="n">
        <f aca="false">Inputs!$D$63-(A52-1)</f>
        <v>14</v>
      </c>
      <c r="AL52" s="0" t="n">
        <f aca="false">IF(AK52&lt;=0,0,IF(A52=1,Inputs!$B$63,AQ51))</f>
        <v>3742890.49821959</v>
      </c>
      <c r="AM52" s="0" t="n">
        <f aca="false">AL52*Inputs!$B$9</f>
        <v>9488.40936925408</v>
      </c>
      <c r="AN52" s="0" t="n">
        <f aca="false">(AL52-AM52)*Inputs!$C$63/12</f>
        <v>29711.6582904339</v>
      </c>
      <c r="AO52" s="0" t="n">
        <f aca="false">IF(AK52&lt;=0,0,IF(AK52=1,AL52-AM52,MIN((AL52-AM52)*(Inputs!$C$63/12)/(1-(1+Inputs!$C$63/12)^(-AK52))-AN52,AL52-AM52)))</f>
        <v>253150.193572967</v>
      </c>
      <c r="AP52" s="0" t="n">
        <f aca="false">(AL52-AM52-AO52)*Inputs!$B$10</f>
        <v>30423.0080928607</v>
      </c>
      <c r="AQ52" s="0" t="n">
        <f aca="false">AL52-AM52-AO52-AP52</f>
        <v>3449828.88718451</v>
      </c>
      <c r="AR52" s="0" t="n">
        <f aca="false">Inputs!$D$64-(A52-1)</f>
        <v>26</v>
      </c>
      <c r="AS52" s="0" t="n">
        <f aca="false">IF(AR52&lt;=0,0,IF(A52=1,Inputs!$B$64,AX51))</f>
        <v>8993649.85076474</v>
      </c>
      <c r="AT52" s="0" t="n">
        <f aca="false">AS52*Inputs!$B$9</f>
        <v>22799.3395875137</v>
      </c>
      <c r="AU52" s="0" t="n">
        <f aca="false">(AS52-AT52)*Inputs!$C$64/12</f>
        <v>73261.9458412807</v>
      </c>
      <c r="AV52" s="0" t="n">
        <f aca="false">IF(AR52&lt;=0,0,IF(AR52=1,AS52-AT52,MIN((AS52-AT52)*(Inputs!$C$64/12)/(1-(1+Inputs!$C$64/12)^(-AR52))-AU52,AS52-AT52)))</f>
        <v>311098.816244222</v>
      </c>
      <c r="AW52" s="0" t="n">
        <f aca="false">(AS52-AT52-AV52)*Inputs!$B$10</f>
        <v>75700.1802813798</v>
      </c>
      <c r="AX52" s="0" t="n">
        <f aca="false">AS52-AT52-AV52-AW52</f>
        <v>8584051.51465162</v>
      </c>
      <c r="AY52" s="0" t="n">
        <f aca="false">Inputs!$D$65-(A52-1)</f>
        <v>26</v>
      </c>
      <c r="AZ52" s="0" t="n">
        <f aca="false">IF(AY52&lt;=0,0,IF(A52=1,Inputs!$B$65,BE51))</f>
        <v>9376994.50686891</v>
      </c>
      <c r="BA52" s="0" t="n">
        <f aca="false">AZ52*Inputs!$B$9</f>
        <v>23771.1369265923</v>
      </c>
      <c r="BB52" s="0" t="n">
        <f aca="false">(AZ52-BA52)*Inputs!$C$65/12</f>
        <v>80281.8339253383</v>
      </c>
      <c r="BC52" s="0" t="n">
        <f aca="false">IF(AY52&lt;=0,0,IF(AY52=1,AZ52-BA52,MIN((AZ52-BA52)*(Inputs!$C$65/12)/(1-(1+Inputs!$C$65/12)^(-AY52))-BB52,AZ52-BA52)))</f>
        <v>322625.551601865</v>
      </c>
      <c r="BD52" s="0" t="n">
        <f aca="false">(AZ52-BA52-BC52)*Inputs!$B$10</f>
        <v>78941.9728162653</v>
      </c>
      <c r="BE52" s="0" t="n">
        <f aca="false">AZ52-BA52-BC52-BD52</f>
        <v>8951655.84552419</v>
      </c>
      <c r="BF52" s="0" t="n">
        <f aca="false">Inputs!$D$66-(A52-1)</f>
        <v>38</v>
      </c>
      <c r="BG52" s="0" t="n">
        <f aca="false">IF(BF52&lt;=0,0,IF(A52=1,Inputs!$B$66,BL51))</f>
        <v>11657209.421024</v>
      </c>
      <c r="BH52" s="0" t="n">
        <f aca="false">BG52*Inputs!$B$9</f>
        <v>29551.592583971</v>
      </c>
      <c r="BI52" s="0" t="n">
        <f aca="false">(BG52-BH52)*Inputs!$C$66/12</f>
        <v>102226.491741702</v>
      </c>
      <c r="BJ52" s="0" t="n">
        <f aca="false">IF(BF52&lt;=0,0,IF(BF52=1,BG52-BH52,MIN((BG52-BH52)*(Inputs!$C$66/12)/(1-(1+Inputs!$C$66/12)^(-BF52))-BI52,BG52-BH52)))</f>
        <v>259049.237587044</v>
      </c>
      <c r="BK52" s="0" t="n">
        <f aca="false">(BG52-BH52-BJ52)*Inputs!$B$10</f>
        <v>99379.95339746</v>
      </c>
      <c r="BL52" s="0" t="n">
        <f aca="false">BG52-BH52-BJ52-BK52</f>
        <v>11269228.6374556</v>
      </c>
      <c r="BM52" s="0" t="n">
        <f aca="false">Inputs!$D$67-(A52-1)</f>
        <v>38</v>
      </c>
      <c r="BN52" s="0" t="n">
        <f aca="false">IF(BM52&lt;=0,0,IF(A52=1,Inputs!$B$67,BS51))</f>
        <v>15393251.4419369</v>
      </c>
      <c r="BO52" s="0" t="n">
        <f aca="false">BN52*Inputs!$B$9</f>
        <v>39022.6407303218</v>
      </c>
      <c r="BP52" s="0" t="n">
        <f aca="false">(BN52-BO52)*Inputs!$C$67/12</f>
        <v>141386.856877778</v>
      </c>
      <c r="BQ52" s="0" t="n">
        <f aca="false">IF(BM52&lt;=0,0,IF(BM52=1,BN52-BO52,MIN((BN52-BO52)*(Inputs!$C$67/12)/(1-(1+Inputs!$C$67/12)^(-BM52))-BP52,BN52-BO52)))</f>
        <v>339318.396179038</v>
      </c>
      <c r="BR52" s="0" t="n">
        <f aca="false">(BN52-BO52-BQ52)*Inputs!$B$10</f>
        <v>131254.505280379</v>
      </c>
      <c r="BS52" s="0" t="n">
        <f aca="false">BN52-BO52-BQ52-BR52</f>
        <v>14883655.8997472</v>
      </c>
      <c r="BT52" s="0" t="n">
        <f aca="false">C52+J52+Q52+X52+AE52+AL52+AS52+AZ52+BG52+BN52</f>
        <v>66005744.8359092</v>
      </c>
      <c r="BU52" s="0" t="n">
        <f aca="false">D52+K52+R52+Y52+AF52+AM52+AT52+BA52+BH52+BO52</f>
        <v>167327.77195153</v>
      </c>
      <c r="BV52" s="0" t="n">
        <f aca="false">E52+L52+S52+Z52+AG52+AN52+AU52+BB52+BI52+BP52</f>
        <v>549303.045514376</v>
      </c>
      <c r="BW52" s="0" t="n">
        <f aca="false">F52+M52+T52+AA52+AH52+AO52+AV52+BC52+BJ52+BQ52</f>
        <v>3823472.39864557</v>
      </c>
      <c r="BX52" s="0" t="n">
        <f aca="false">G52+N52+U52+AB52+AI52+AP52+AW52+BD52+BK52+BR52</f>
        <v>542110.519641203</v>
      </c>
      <c r="BY52" s="0" t="n">
        <f aca="false">H52+O52+V52+AC52+AJ52+AQ52+AX52+BE52+BL52+BS52</f>
        <v>61472834.1456709</v>
      </c>
      <c r="BZ52" s="0" t="n">
        <f aca="false">IF(A52&gt;Inputs!$B$7,(1-Inputs!$B$6)*INDEX($BU$6:$BU$125,A52-Inputs!$B$7),0)</f>
        <v>143920.138108889</v>
      </c>
      <c r="CA52" s="0" t="n">
        <f aca="false">CA51+(1-Inputs!$B$6)*BU52-BZ52</f>
        <v>709363.238316273</v>
      </c>
      <c r="CB52" s="0" t="n">
        <f aca="false">BY52+CA52</f>
        <v>62182197.3839872</v>
      </c>
      <c r="CC52" s="0" t="n">
        <f aca="false">BV52+BW52+BX52+BZ52</f>
        <v>5058806.10191004</v>
      </c>
      <c r="CD52" s="0" t="n">
        <f aca="false">CD51+BU52-BZ52</f>
        <v>10826467.7340886</v>
      </c>
    </row>
    <row r="53" customFormat="false" ht="15" hidden="false" customHeight="false" outlineLevel="0" collapsed="false">
      <c r="A53" s="0" t="n">
        <f aca="false">ROW()-5</f>
        <v>48</v>
      </c>
      <c r="B53" s="0" t="n">
        <f aca="false">Inputs!$D$58-(A53-1)</f>
        <v>-11</v>
      </c>
      <c r="C53" s="0" t="n">
        <f aca="false">IF(B53&lt;=0,0,IF(A53=1,Inputs!$B$58,H52))</f>
        <v>0</v>
      </c>
      <c r="D53" s="0" t="n">
        <f aca="false">C53*Inputs!$B$9</f>
        <v>0</v>
      </c>
      <c r="E53" s="0" t="n">
        <f aca="false">(C53-D53)*Inputs!$C$58/12</f>
        <v>0</v>
      </c>
      <c r="F53" s="0" t="n">
        <f aca="false">IF(B53&lt;=0,0,IF(B53=1,C53-D53,MIN((C53-D53)*(Inputs!$C$58/12)/(1-(1+Inputs!$C$58/12)^(-B53))-E53,C53-D53)))</f>
        <v>0</v>
      </c>
      <c r="G53" s="0" t="n">
        <f aca="false">(C53-D53-F53)*Inputs!$B$10</f>
        <v>0</v>
      </c>
      <c r="H53" s="0" t="n">
        <f aca="false">C53-D53-F53-G53</f>
        <v>0</v>
      </c>
      <c r="I53" s="0" t="n">
        <f aca="false">Inputs!$D$59-(A53-1)</f>
        <v>1</v>
      </c>
      <c r="J53" s="0" t="n">
        <f aca="false">IF(I53&lt;=0,0,IF(A53=1,Inputs!$B$59,O52))</f>
        <v>1071652.62477453</v>
      </c>
      <c r="K53" s="0" t="n">
        <f aca="false">J53*Inputs!$B$9</f>
        <v>2716.69150094912</v>
      </c>
      <c r="L53" s="0" t="n">
        <f aca="false">(J53-K53)*Inputs!$C$59/12</f>
        <v>6948.08356627827</v>
      </c>
      <c r="M53" s="0" t="n">
        <f aca="false">IF(I53&lt;=0,0,IF(I53=1,J53-K53,MIN((J53-K53)*(Inputs!$C$59/12)/(1-(1+Inputs!$C$59/12)^(-I53))-L53,J53-K53)))</f>
        <v>1068935.93327358</v>
      </c>
      <c r="N53" s="0" t="n">
        <f aca="false">(J53-K53-M53)*Inputs!$B$10</f>
        <v>0</v>
      </c>
      <c r="O53" s="0" t="n">
        <f aca="false">J53-K53-M53-N53</f>
        <v>0</v>
      </c>
      <c r="P53" s="0" t="n">
        <f aca="false">Inputs!$D$60-(A53-1)</f>
        <v>1</v>
      </c>
      <c r="Q53" s="0" t="n">
        <f aca="false">IF(P53&lt;=0,0,IF(A53=1,Inputs!$B$60,V52))</f>
        <v>309424.510602069</v>
      </c>
      <c r="R53" s="0" t="n">
        <f aca="false">Q53*Inputs!$B$9</f>
        <v>784.40617668887</v>
      </c>
      <c r="S53" s="0" t="n">
        <f aca="false">(Q53-R53)*Inputs!$C$60/12</f>
        <v>2134.76072227555</v>
      </c>
      <c r="T53" s="0" t="n">
        <f aca="false">IF(P53&lt;=0,0,IF(P53=1,Q53-R53,MIN((Q53-R53)*(Inputs!$C$60/12)/(1-(1+Inputs!$C$60/12)^(-P53))-S53,Q53-R53)))</f>
        <v>308640.10442538</v>
      </c>
      <c r="U53" s="0" t="n">
        <f aca="false">(Q53-R53-T53)*Inputs!$B$10</f>
        <v>0</v>
      </c>
      <c r="V53" s="0" t="n">
        <f aca="false">Q53-R53-T53-U53</f>
        <v>0</v>
      </c>
      <c r="W53" s="0" t="n">
        <f aca="false">Inputs!$D$61-(A53-1)</f>
        <v>13</v>
      </c>
      <c r="X53" s="0" t="n">
        <f aca="false">IF(W53&lt;=0,0,IF(A53=1,Inputs!$B$61,AC52))</f>
        <v>10078483.0060379</v>
      </c>
      <c r="Y53" s="0" t="n">
        <f aca="false">X53*Inputs!$B$9</f>
        <v>25549.444374033</v>
      </c>
      <c r="Z53" s="0" t="n">
        <f aca="false">(X53-Y53)*Inputs!$C$61/12</f>
        <v>73721.5127855349</v>
      </c>
      <c r="AA53" s="0" t="n">
        <f aca="false">IF(W53&lt;=0,0,IF(W53=1,X53-Y53,MIN((X53-Y53)*(Inputs!$C$61/12)/(1-(1+Inputs!$C$61/12)^(-W53))-Z53,X53-Y53)))</f>
        <v>739857.266875525</v>
      </c>
      <c r="AB53" s="0" t="n">
        <f aca="false">(X53-Y53-AA53)*Inputs!$B$10</f>
        <v>81411.289760448</v>
      </c>
      <c r="AC53" s="0" t="n">
        <f aca="false">X53-Y53-AA53-AB53</f>
        <v>9231665.00502788</v>
      </c>
      <c r="AD53" s="0" t="n">
        <f aca="false">Inputs!$D$62-(A53-1)</f>
        <v>13</v>
      </c>
      <c r="AE53" s="0" t="n">
        <f aca="false">IF(AD53&lt;=0,0,IF(A53=1,Inputs!$B$62,AJ52))</f>
        <v>2874853.21969334</v>
      </c>
      <c r="AF53" s="0" t="n">
        <f aca="false">AE53*Inputs!$B$9</f>
        <v>7287.89266956754</v>
      </c>
      <c r="AG53" s="0" t="n">
        <f aca="false">(AE53-AF53)*Inputs!$C$62/12</f>
        <v>22223.6312844342</v>
      </c>
      <c r="AH53" s="0" t="n">
        <f aca="false">IF(AD53&lt;=0,0,IF(AD53=1,AE53-AF53,MIN((AE53-AF53)*(Inputs!$C$62/12)/(1-(1+Inputs!$C$62/12)^(-AD53))-AG53,AE53-AF53)))</f>
        <v>210509.623241773</v>
      </c>
      <c r="AI53" s="0" t="n">
        <f aca="false">(AE53-AF53-AH53)*Inputs!$B$10</f>
        <v>23226.9472474201</v>
      </c>
      <c r="AJ53" s="0" t="n">
        <f aca="false">AE53-AF53-AH53-AI53</f>
        <v>2633828.75653458</v>
      </c>
      <c r="AK53" s="0" t="n">
        <f aca="false">Inputs!$D$63-(A53-1)</f>
        <v>13</v>
      </c>
      <c r="AL53" s="0" t="n">
        <f aca="false">IF(AK53&lt;=0,0,IF(A53=1,Inputs!$B$63,AQ52))</f>
        <v>3449828.88718451</v>
      </c>
      <c r="AM53" s="0" t="n">
        <f aca="false">AL53*Inputs!$B$9</f>
        <v>8745.48393843085</v>
      </c>
      <c r="AN53" s="0" t="n">
        <f aca="false">(AL53-AM53)*Inputs!$C$63/12</f>
        <v>27385.2887508334</v>
      </c>
      <c r="AO53" s="0" t="n">
        <f aca="false">IF(AK53&lt;=0,0,IF(AK53=1,AL53-AM53,MIN((AL53-AM53)*(Inputs!$C$63/12)/(1-(1+Inputs!$C$63/12)^(-AK53))-AN53,AL53-AM53)))</f>
        <v>252293.094638431</v>
      </c>
      <c r="AP53" s="0" t="n">
        <f aca="false">(AL53-AM53-AO53)*Inputs!$B$10</f>
        <v>27875.1642939553</v>
      </c>
      <c r="AQ53" s="0" t="n">
        <f aca="false">AL53-AM53-AO53-AP53</f>
        <v>3160915.14431369</v>
      </c>
      <c r="AR53" s="0" t="n">
        <f aca="false">Inputs!$D$64-(A53-1)</f>
        <v>25</v>
      </c>
      <c r="AS53" s="0" t="n">
        <f aca="false">IF(AR53&lt;=0,0,IF(A53=1,Inputs!$B$64,AX52))</f>
        <v>8584051.51465162</v>
      </c>
      <c r="AT53" s="0" t="n">
        <f aca="false">AS53*Inputs!$B$9</f>
        <v>21760.9878933203</v>
      </c>
      <c r="AU53" s="0" t="n">
        <f aca="false">(AS53-AT53)*Inputs!$C$64/12</f>
        <v>69925.3726351928</v>
      </c>
      <c r="AV53" s="0" t="n">
        <f aca="false">IF(AR53&lt;=0,0,IF(AR53=1,AS53-AT53,MIN((AS53-AT53)*(Inputs!$C$64/12)/(1-(1+Inputs!$C$64/12)^(-AR53))-AU53,AS53-AT53)))</f>
        <v>310109.601576358</v>
      </c>
      <c r="AW53" s="0" t="n">
        <f aca="false">(AS53-AT53-AV53)*Inputs!$B$10</f>
        <v>72137.3551757098</v>
      </c>
      <c r="AX53" s="0" t="n">
        <f aca="false">AS53-AT53-AV53-AW53</f>
        <v>8180043.57000623</v>
      </c>
      <c r="AY53" s="0" t="n">
        <f aca="false">Inputs!$D$65-(A53-1)</f>
        <v>25</v>
      </c>
      <c r="AZ53" s="0" t="n">
        <f aca="false">IF(AY53&lt;=0,0,IF(A53=1,Inputs!$B$65,BE52))</f>
        <v>8951655.84552419</v>
      </c>
      <c r="BA53" s="0" t="n">
        <f aca="false">AZ53*Inputs!$B$9</f>
        <v>22692.8827427392</v>
      </c>
      <c r="BB53" s="0" t="n">
        <f aca="false">(AZ53-BA53)*Inputs!$C$65/12</f>
        <v>76640.2654305408</v>
      </c>
      <c r="BC53" s="0" t="n">
        <f aca="false">IF(AY53&lt;=0,0,IF(AY53=1,AZ53-BA53,MIN((AZ53-BA53)*(Inputs!$C$65/12)/(1-(1+Inputs!$C$65/12)^(-AY53))-BB53,AZ53-BA53)))</f>
        <v>321732.599264769</v>
      </c>
      <c r="BD53" s="0" t="n">
        <f aca="false">(AZ53-BA53-BC53)*Inputs!$B$10</f>
        <v>75241.0592353157</v>
      </c>
      <c r="BE53" s="0" t="n">
        <f aca="false">AZ53-BA53-BC53-BD53</f>
        <v>8531989.30428137</v>
      </c>
      <c r="BF53" s="0" t="n">
        <f aca="false">Inputs!$D$66-(A53-1)</f>
        <v>37</v>
      </c>
      <c r="BG53" s="0" t="n">
        <f aca="false">IF(BF53&lt;=0,0,IF(A53=1,Inputs!$B$66,BL52))</f>
        <v>11269228.6374556</v>
      </c>
      <c r="BH53" s="0" t="n">
        <f aca="false">BG53*Inputs!$B$9</f>
        <v>28568.0424363904</v>
      </c>
      <c r="BI53" s="0" t="n">
        <f aca="false">(BG53-BH53)*Inputs!$C$66/12</f>
        <v>98824.1410645435</v>
      </c>
      <c r="BJ53" s="0" t="n">
        <f aca="false">IF(BF53&lt;=0,0,IF(BF53=1,BG53-BH53,MIN((BG53-BH53)*(Inputs!$C$66/12)/(1-(1+Inputs!$C$66/12)^(-BF53))-BI53,BG53-BH53)))</f>
        <v>258385.610872016</v>
      </c>
      <c r="BK53" s="0" t="n">
        <f aca="false">(BG53-BH53-BJ53)*Inputs!$B$10</f>
        <v>96002.7753089125</v>
      </c>
      <c r="BL53" s="0" t="n">
        <f aca="false">BG53-BH53-BJ53-BK53</f>
        <v>10886272.2088382</v>
      </c>
      <c r="BM53" s="0" t="n">
        <f aca="false">Inputs!$D$67-(A53-1)</f>
        <v>37</v>
      </c>
      <c r="BN53" s="0" t="n">
        <f aca="false">IF(BM53&lt;=0,0,IF(A53=1,Inputs!$B$67,BS52))</f>
        <v>14883655.8997472</v>
      </c>
      <c r="BO53" s="0" t="n">
        <f aca="false">BN53*Inputs!$B$9</f>
        <v>37730.7912574764</v>
      </c>
      <c r="BP53" s="0" t="n">
        <f aca="false">(BN53-BO53)*Inputs!$C$67/12</f>
        <v>136706.227040676</v>
      </c>
      <c r="BQ53" s="0" t="n">
        <f aca="false">IF(BM53&lt;=0,0,IF(BM53=1,BN53-BO53,MIN((BN53-BO53)*(Inputs!$C$67/12)/(1-(1+Inputs!$C$67/12)^(-BM53))-BP53,BN53-BO53)))</f>
        <v>338588.9291495</v>
      </c>
      <c r="BR53" s="0" t="n">
        <f aca="false">(BN53-BO53-BQ53)*Inputs!$B$10</f>
        <v>126817.488868789</v>
      </c>
      <c r="BS53" s="0" t="n">
        <f aca="false">BN53-BO53-BQ53-BR53</f>
        <v>14380518.6904714</v>
      </c>
      <c r="BT53" s="0" t="n">
        <f aca="false">C53+J53+Q53+X53+AE53+AL53+AS53+AZ53+BG53+BN53</f>
        <v>61472834.1456709</v>
      </c>
      <c r="BU53" s="0" t="n">
        <f aca="false">D53+K53+R53+Y53+AF53+AM53+AT53+BA53+BH53+BO53</f>
        <v>155836.622989596</v>
      </c>
      <c r="BV53" s="0" t="n">
        <f aca="false">E53+L53+S53+Z53+AG53+AN53+AU53+BB53+BI53+BP53</f>
        <v>514509.28328031</v>
      </c>
      <c r="BW53" s="0" t="n">
        <f aca="false">F53+M53+T53+AA53+AH53+AO53+AV53+BC53+BJ53+BQ53</f>
        <v>3809052.76331733</v>
      </c>
      <c r="BX53" s="0" t="n">
        <f aca="false">G53+N53+U53+AB53+AI53+AP53+AW53+BD53+BK53+BR53</f>
        <v>502712.07989055</v>
      </c>
      <c r="BY53" s="0" t="n">
        <f aca="false">H53+O53+V53+AC53+AJ53+AQ53+AX53+BE53+BL53+BS53</f>
        <v>57005232.6794734</v>
      </c>
      <c r="BZ53" s="0" t="n">
        <f aca="false">IF(A53&gt;Inputs!$B$7,(1-Inputs!$B$6)*INDEX($BU$6:$BU$125,A53-Inputs!$B$7),0)</f>
        <v>136403.327124389</v>
      </c>
      <c r="CA53" s="0" t="n">
        <f aca="false">CA52+(1-Inputs!$B$6)*BU53-BZ53</f>
        <v>666461.884985641</v>
      </c>
      <c r="CB53" s="0" t="n">
        <f aca="false">BY53+CA53</f>
        <v>57671694.5644591</v>
      </c>
      <c r="CC53" s="0" t="n">
        <f aca="false">BV53+BW53+BX53+BZ53</f>
        <v>4962677.45361258</v>
      </c>
      <c r="CD53" s="0" t="n">
        <f aca="false">CD52+BU53-BZ53</f>
        <v>10845901.0299538</v>
      </c>
    </row>
    <row r="54" customFormat="false" ht="15" hidden="false" customHeight="false" outlineLevel="0" collapsed="false">
      <c r="A54" s="0" t="n">
        <f aca="false">ROW()-5</f>
        <v>49</v>
      </c>
      <c r="B54" s="0" t="n">
        <f aca="false">Inputs!$D$58-(A54-1)</f>
        <v>-12</v>
      </c>
      <c r="C54" s="0" t="n">
        <f aca="false">IF(B54&lt;=0,0,IF(A54=1,Inputs!$B$58,H53))</f>
        <v>0</v>
      </c>
      <c r="D54" s="0" t="n">
        <f aca="false">C54*Inputs!$B$9</f>
        <v>0</v>
      </c>
      <c r="E54" s="0" t="n">
        <f aca="false">(C54-D54)*Inputs!$C$58/12</f>
        <v>0</v>
      </c>
      <c r="F54" s="0" t="n">
        <f aca="false">IF(B54&lt;=0,0,IF(B54=1,C54-D54,MIN((C54-D54)*(Inputs!$C$58/12)/(1-(1+Inputs!$C$58/12)^(-B54))-E54,C54-D54)))</f>
        <v>0</v>
      </c>
      <c r="G54" s="0" t="n">
        <f aca="false">(C54-D54-F54)*Inputs!$B$10</f>
        <v>0</v>
      </c>
      <c r="H54" s="0" t="n">
        <f aca="false">C54-D54-F54-G54</f>
        <v>0</v>
      </c>
      <c r="I54" s="0" t="n">
        <f aca="false">Inputs!$D$59-(A54-1)</f>
        <v>0</v>
      </c>
      <c r="J54" s="0" t="n">
        <f aca="false">IF(I54&lt;=0,0,IF(A54=1,Inputs!$B$59,O53))</f>
        <v>0</v>
      </c>
      <c r="K54" s="0" t="n">
        <f aca="false">J54*Inputs!$B$9</f>
        <v>0</v>
      </c>
      <c r="L54" s="0" t="n">
        <f aca="false">(J54-K54)*Inputs!$C$59/12</f>
        <v>0</v>
      </c>
      <c r="M54" s="0" t="n">
        <f aca="false">IF(I54&lt;=0,0,IF(I54=1,J54-K54,MIN((J54-K54)*(Inputs!$C$59/12)/(1-(1+Inputs!$C$59/12)^(-I54))-L54,J54-K54)))</f>
        <v>0</v>
      </c>
      <c r="N54" s="0" t="n">
        <f aca="false">(J54-K54-M54)*Inputs!$B$10</f>
        <v>0</v>
      </c>
      <c r="O54" s="0" t="n">
        <f aca="false">J54-K54-M54-N54</f>
        <v>0</v>
      </c>
      <c r="P54" s="0" t="n">
        <f aca="false">Inputs!$D$60-(A54-1)</f>
        <v>0</v>
      </c>
      <c r="Q54" s="0" t="n">
        <f aca="false">IF(P54&lt;=0,0,IF(A54=1,Inputs!$B$60,V53))</f>
        <v>0</v>
      </c>
      <c r="R54" s="0" t="n">
        <f aca="false">Q54*Inputs!$B$9</f>
        <v>0</v>
      </c>
      <c r="S54" s="0" t="n">
        <f aca="false">(Q54-R54)*Inputs!$C$60/12</f>
        <v>0</v>
      </c>
      <c r="T54" s="0" t="n">
        <f aca="false">IF(P54&lt;=0,0,IF(P54=1,Q54-R54,MIN((Q54-R54)*(Inputs!$C$60/12)/(1-(1+Inputs!$C$60/12)^(-P54))-S54,Q54-R54)))</f>
        <v>0</v>
      </c>
      <c r="U54" s="0" t="n">
        <f aca="false">(Q54-R54-T54)*Inputs!$B$10</f>
        <v>0</v>
      </c>
      <c r="V54" s="0" t="n">
        <f aca="false">Q54-R54-T54-U54</f>
        <v>0</v>
      </c>
      <c r="W54" s="0" t="n">
        <f aca="false">Inputs!$D$61-(A54-1)</f>
        <v>12</v>
      </c>
      <c r="X54" s="0" t="n">
        <f aca="false">IF(W54&lt;=0,0,IF(A54=1,Inputs!$B$61,AC53))</f>
        <v>9231665.00502788</v>
      </c>
      <c r="Y54" s="0" t="n">
        <f aca="false">X54*Inputs!$B$9</f>
        <v>23402.7195744006</v>
      </c>
      <c r="Z54" s="0" t="n">
        <f aca="false">(X54-Y54)*Inputs!$C$61/12</f>
        <v>67527.2567599922</v>
      </c>
      <c r="AA54" s="0" t="n">
        <f aca="false">IF(W54&lt;=0,0,IF(W54=1,X54-Y54,MIN((X54-Y54)*(Inputs!$C$61/12)/(1-(1+Inputs!$C$61/12)^(-W54))-Z54,X54-Y54)))</f>
        <v>736895.101208941</v>
      </c>
      <c r="AB54" s="0" t="n">
        <f aca="false">(X54-Y54-AA54)*Inputs!$B$10</f>
        <v>74053.3961790504</v>
      </c>
      <c r="AC54" s="0" t="n">
        <f aca="false">X54-Y54-AA54-AB54</f>
        <v>8397313.78806549</v>
      </c>
      <c r="AD54" s="0" t="n">
        <f aca="false">Inputs!$D$62-(A54-1)</f>
        <v>12</v>
      </c>
      <c r="AE54" s="0" t="n">
        <f aca="false">IF(AD54&lt;=0,0,IF(A54=1,Inputs!$B$62,AJ53))</f>
        <v>2633828.75653458</v>
      </c>
      <c r="AF54" s="0" t="n">
        <f aca="false">AE54*Inputs!$B$9</f>
        <v>6676.88393833619</v>
      </c>
      <c r="AG54" s="0" t="n">
        <f aca="false">(AE54-AF54)*Inputs!$C$62/12</f>
        <v>20360.4270126209</v>
      </c>
      <c r="AH54" s="0" t="n">
        <f aca="false">IF(AD54&lt;=0,0,IF(AD54=1,AE54-AF54,MIN((AE54-AF54)*(Inputs!$C$62/12)/(1-(1+Inputs!$C$62/12)^(-AD54))-AG54,AE54-AF54)))</f>
        <v>209753.531296063</v>
      </c>
      <c r="AI54" s="0" t="n">
        <f aca="false">(AE54-AF54-AH54)*Inputs!$B$10</f>
        <v>21131.9558221753</v>
      </c>
      <c r="AJ54" s="0" t="n">
        <f aca="false">AE54-AF54-AH54-AI54</f>
        <v>2396266.385478</v>
      </c>
      <c r="AK54" s="0" t="n">
        <f aca="false">Inputs!$D$63-(A54-1)</f>
        <v>12</v>
      </c>
      <c r="AL54" s="0" t="n">
        <f aca="false">IF(AK54&lt;=0,0,IF(A54=1,Inputs!$B$63,AQ53))</f>
        <v>3160915.14431369</v>
      </c>
      <c r="AM54" s="0" t="n">
        <f aca="false">AL54*Inputs!$B$9</f>
        <v>8013.07355504781</v>
      </c>
      <c r="AN54" s="0" t="n">
        <f aca="false">(AL54-AM54)*Inputs!$C$63/12</f>
        <v>25091.8456464542</v>
      </c>
      <c r="AO54" s="0" t="n">
        <f aca="false">IF(AK54&lt;=0,0,IF(AK54=1,AL54-AM54,MIN((AL54-AM54)*(Inputs!$C$63/12)/(1-(1+Inputs!$C$63/12)^(-AK54))-AN54,AL54-AM54)))</f>
        <v>251438.897611942</v>
      </c>
      <c r="AP54" s="0" t="n">
        <f aca="false">(AL54-AM54-AO54)*Inputs!$B$10</f>
        <v>25363.4622590283</v>
      </c>
      <c r="AQ54" s="0" t="n">
        <f aca="false">AL54-AM54-AO54-AP54</f>
        <v>2876099.71088767</v>
      </c>
      <c r="AR54" s="0" t="n">
        <f aca="false">Inputs!$D$64-(A54-1)</f>
        <v>24</v>
      </c>
      <c r="AS54" s="0" t="n">
        <f aca="false">IF(AR54&lt;=0,0,IF(A54=1,Inputs!$B$64,AX53))</f>
        <v>8180043.57000623</v>
      </c>
      <c r="AT54" s="0" t="n">
        <f aca="false">AS54*Inputs!$B$9</f>
        <v>20736.808113268</v>
      </c>
      <c r="AU54" s="0" t="n">
        <f aca="false">(AS54-AT54)*Inputs!$C$64/12</f>
        <v>66634.3385554592</v>
      </c>
      <c r="AV54" s="0" t="n">
        <f aca="false">IF(AR54&lt;=0,0,IF(AR54=1,AS54-AT54,MIN((AS54-AT54)*(Inputs!$C$64/12)/(1-(1+Inputs!$C$64/12)^(-AR54))-AU54,AS54-AT54)))</f>
        <v>309123.532358133</v>
      </c>
      <c r="AW54" s="0" t="n">
        <f aca="false">(AS54-AT54-AV54)*Inputs!$B$10</f>
        <v>68623.2477156782</v>
      </c>
      <c r="AX54" s="0" t="n">
        <f aca="false">AS54-AT54-AV54-AW54</f>
        <v>7781559.98181915</v>
      </c>
      <c r="AY54" s="0" t="n">
        <f aca="false">Inputs!$D$65-(A54-1)</f>
        <v>24</v>
      </c>
      <c r="AZ54" s="0" t="n">
        <f aca="false">IF(AY54&lt;=0,0,IF(A54=1,Inputs!$B$65,BE53))</f>
        <v>8531989.30428137</v>
      </c>
      <c r="BA54" s="0" t="n">
        <f aca="false">AZ54*Inputs!$B$9</f>
        <v>21629.0076590879</v>
      </c>
      <c r="BB54" s="0" t="n">
        <f aca="false">(AZ54-BA54)*Inputs!$C$65/12</f>
        <v>73047.2592126746</v>
      </c>
      <c r="BC54" s="0" t="n">
        <f aca="false">IF(AY54&lt;=0,0,IF(AY54=1,AZ54-BA54,MIN((AZ54-BA54)*(Inputs!$C$65/12)/(1-(1+Inputs!$C$65/12)^(-AY54))-BB54,AZ54-BA54)))</f>
        <v>320842.118411635</v>
      </c>
      <c r="BD54" s="0" t="n">
        <f aca="false">(AZ54-BA54-BC54)*Inputs!$B$10</f>
        <v>71589.5818203341</v>
      </c>
      <c r="BE54" s="0" t="n">
        <f aca="false">AZ54-BA54-BC54-BD54</f>
        <v>8117928.59639031</v>
      </c>
      <c r="BF54" s="0" t="n">
        <f aca="false">Inputs!$D$66-(A54-1)</f>
        <v>36</v>
      </c>
      <c r="BG54" s="0" t="n">
        <f aca="false">IF(BF54&lt;=0,0,IF(A54=1,Inputs!$B$66,BL53))</f>
        <v>10886272.2088382</v>
      </c>
      <c r="BH54" s="0" t="n">
        <f aca="false">BG54*Inputs!$B$9</f>
        <v>27597.2292728642</v>
      </c>
      <c r="BI54" s="0" t="n">
        <f aca="false">(BG54-BH54)*Inputs!$C$66/12</f>
        <v>95465.8508620123</v>
      </c>
      <c r="BJ54" s="0" t="n">
        <f aca="false">IF(BF54&lt;=0,0,IF(BF54=1,BG54-BH54,MIN((BG54-BH54)*(Inputs!$C$66/12)/(1-(1+Inputs!$C$66/12)^(-BF54))-BI54,BG54-BH54)))</f>
        <v>257723.684221505</v>
      </c>
      <c r="BK54" s="0" t="n">
        <f aca="false">(BG54-BH54-BJ54)*Inputs!$B$10</f>
        <v>92669.3919735844</v>
      </c>
      <c r="BL54" s="0" t="n">
        <f aca="false">BG54-BH54-BJ54-BK54</f>
        <v>10508281.9033703</v>
      </c>
      <c r="BM54" s="0" t="n">
        <f aca="false">Inputs!$D$67-(A54-1)</f>
        <v>36</v>
      </c>
      <c r="BN54" s="0" t="n">
        <f aca="false">IF(BM54&lt;=0,0,IF(A54=1,Inputs!$B$67,BS53))</f>
        <v>14380518.6904714</v>
      </c>
      <c r="BO54" s="0" t="n">
        <f aca="false">BN54*Inputs!$B$9</f>
        <v>36455.3139725322</v>
      </c>
      <c r="BP54" s="0" t="n">
        <f aca="false">(BN54-BO54)*Inputs!$C$67/12</f>
        <v>132084.916925261</v>
      </c>
      <c r="BQ54" s="0" t="n">
        <f aca="false">IF(BM54&lt;=0,0,IF(BM54=1,BN54-BO54,MIN((BN54-BO54)*(Inputs!$C$67/12)/(1-(1+Inputs!$C$67/12)^(-BM54))-BP54,BN54-BO54)))</f>
        <v>337861.030328916</v>
      </c>
      <c r="BR54" s="0" t="n">
        <f aca="false">(BN54-BO54-BQ54)*Inputs!$B$10</f>
        <v>122436.771862978</v>
      </c>
      <c r="BS54" s="0" t="n">
        <f aca="false">BN54-BO54-BQ54-BR54</f>
        <v>13883765.574307</v>
      </c>
      <c r="BT54" s="0" t="n">
        <f aca="false">C54+J54+Q54+X54+AE54+AL54+AS54+AZ54+BG54+BN54</f>
        <v>57005232.6794734</v>
      </c>
      <c r="BU54" s="0" t="n">
        <f aca="false">D54+K54+R54+Y54+AF54+AM54+AT54+BA54+BH54+BO54</f>
        <v>144511.036085537</v>
      </c>
      <c r="BV54" s="0" t="n">
        <f aca="false">E54+L54+S54+Z54+AG54+AN54+AU54+BB54+BI54+BP54</f>
        <v>480211.894974474</v>
      </c>
      <c r="BW54" s="0" t="n">
        <f aca="false">F54+M54+T54+AA54+AH54+AO54+AV54+BC54+BJ54+BQ54</f>
        <v>2423637.89543714</v>
      </c>
      <c r="BX54" s="0" t="n">
        <f aca="false">G54+N54+U54+AB54+AI54+AP54+AW54+BD54+BK54+BR54</f>
        <v>475867.807632829</v>
      </c>
      <c r="BY54" s="0" t="n">
        <f aca="false">H54+O54+V54+AC54+AJ54+AQ54+AX54+BE54+BL54+BS54</f>
        <v>53961215.9403179</v>
      </c>
      <c r="BZ54" s="0" t="n">
        <f aca="false">IF(A54&gt;Inputs!$B$7,(1-Inputs!$B$6)*INDEX($BU$6:$BU$125,A54-Inputs!$B$7),0)</f>
        <v>128993.38286125</v>
      </c>
      <c r="CA54" s="0" t="n">
        <f aca="false">CA53+(1-Inputs!$B$6)*BU54-BZ54</f>
        <v>624175.123775713</v>
      </c>
      <c r="CB54" s="0" t="n">
        <f aca="false">BY54+CA54</f>
        <v>54585391.0640936</v>
      </c>
      <c r="CC54" s="0" t="n">
        <f aca="false">BV54+BW54+BX54+BZ54</f>
        <v>3508710.98090569</v>
      </c>
      <c r="CD54" s="0" t="n">
        <f aca="false">CD53+BU54-BZ54</f>
        <v>10861418.6831781</v>
      </c>
    </row>
    <row r="55" customFormat="false" ht="15" hidden="false" customHeight="false" outlineLevel="0" collapsed="false">
      <c r="A55" s="0" t="n">
        <f aca="false">ROW()-5</f>
        <v>50</v>
      </c>
      <c r="B55" s="0" t="n">
        <f aca="false">Inputs!$D$58-(A55-1)</f>
        <v>-13</v>
      </c>
      <c r="C55" s="0" t="n">
        <f aca="false">IF(B55&lt;=0,0,IF(A55=1,Inputs!$B$58,H54))</f>
        <v>0</v>
      </c>
      <c r="D55" s="0" t="n">
        <f aca="false">C55*Inputs!$B$9</f>
        <v>0</v>
      </c>
      <c r="E55" s="0" t="n">
        <f aca="false">(C55-D55)*Inputs!$C$58/12</f>
        <v>0</v>
      </c>
      <c r="F55" s="0" t="n">
        <f aca="false">IF(B55&lt;=0,0,IF(B55=1,C55-D55,MIN((C55-D55)*(Inputs!$C$58/12)/(1-(1+Inputs!$C$58/12)^(-B55))-E55,C55-D55)))</f>
        <v>0</v>
      </c>
      <c r="G55" s="0" t="n">
        <f aca="false">(C55-D55-F55)*Inputs!$B$10</f>
        <v>0</v>
      </c>
      <c r="H55" s="0" t="n">
        <f aca="false">C55-D55-F55-G55</f>
        <v>0</v>
      </c>
      <c r="I55" s="0" t="n">
        <f aca="false">Inputs!$D$59-(A55-1)</f>
        <v>-1</v>
      </c>
      <c r="J55" s="0" t="n">
        <f aca="false">IF(I55&lt;=0,0,IF(A55=1,Inputs!$B$59,O54))</f>
        <v>0</v>
      </c>
      <c r="K55" s="0" t="n">
        <f aca="false">J55*Inputs!$B$9</f>
        <v>0</v>
      </c>
      <c r="L55" s="0" t="n">
        <f aca="false">(J55-K55)*Inputs!$C$59/12</f>
        <v>0</v>
      </c>
      <c r="M55" s="0" t="n">
        <f aca="false">IF(I55&lt;=0,0,IF(I55=1,J55-K55,MIN((J55-K55)*(Inputs!$C$59/12)/(1-(1+Inputs!$C$59/12)^(-I55))-L55,J55-K55)))</f>
        <v>0</v>
      </c>
      <c r="N55" s="0" t="n">
        <f aca="false">(J55-K55-M55)*Inputs!$B$10</f>
        <v>0</v>
      </c>
      <c r="O55" s="0" t="n">
        <f aca="false">J55-K55-M55-N55</f>
        <v>0</v>
      </c>
      <c r="P55" s="0" t="n">
        <f aca="false">Inputs!$D$60-(A55-1)</f>
        <v>-1</v>
      </c>
      <c r="Q55" s="0" t="n">
        <f aca="false">IF(P55&lt;=0,0,IF(A55=1,Inputs!$B$60,V54))</f>
        <v>0</v>
      </c>
      <c r="R55" s="0" t="n">
        <f aca="false">Q55*Inputs!$B$9</f>
        <v>0</v>
      </c>
      <c r="S55" s="0" t="n">
        <f aca="false">(Q55-R55)*Inputs!$C$60/12</f>
        <v>0</v>
      </c>
      <c r="T55" s="0" t="n">
        <f aca="false">IF(P55&lt;=0,0,IF(P55=1,Q55-R55,MIN((Q55-R55)*(Inputs!$C$60/12)/(1-(1+Inputs!$C$60/12)^(-P55))-S55,Q55-R55)))</f>
        <v>0</v>
      </c>
      <c r="U55" s="0" t="n">
        <f aca="false">(Q55-R55-T55)*Inputs!$B$10</f>
        <v>0</v>
      </c>
      <c r="V55" s="0" t="n">
        <f aca="false">Q55-R55-T55-U55</f>
        <v>0</v>
      </c>
      <c r="W55" s="0" t="n">
        <f aca="false">Inputs!$D$61-(A55-1)</f>
        <v>11</v>
      </c>
      <c r="X55" s="0" t="n">
        <f aca="false">IF(W55&lt;=0,0,IF(A55=1,Inputs!$B$61,AC54))</f>
        <v>8397313.78806549</v>
      </c>
      <c r="Y55" s="0" t="n">
        <f aca="false">X55*Inputs!$B$9</f>
        <v>21287.5986783871</v>
      </c>
      <c r="Z55" s="0" t="n">
        <f aca="false">(X55-Y55)*Inputs!$C$61/12</f>
        <v>61424.1920555054</v>
      </c>
      <c r="AA55" s="0" t="n">
        <f aca="false">IF(W55&lt;=0,0,IF(W55=1,X55-Y55,MIN((X55-Y55)*(Inputs!$C$61/12)/(1-(1+Inputs!$C$61/12)^(-W55))-Z55,X55-Y55)))</f>
        <v>733944.795161543</v>
      </c>
      <c r="AB55" s="0" t="n">
        <f aca="false">(X55-Y55-AA55)*Inputs!$B$10</f>
        <v>66804.1024324462</v>
      </c>
      <c r="AC55" s="0" t="n">
        <f aca="false">X55-Y55-AA55-AB55</f>
        <v>7575277.29179311</v>
      </c>
      <c r="AD55" s="0" t="n">
        <f aca="false">Inputs!$D$62-(A55-1)</f>
        <v>11</v>
      </c>
      <c r="AE55" s="0" t="n">
        <f aca="false">IF(AD55&lt;=0,0,IF(A55=1,Inputs!$B$62,AJ54))</f>
        <v>2396266.385478</v>
      </c>
      <c r="AF55" s="0" t="n">
        <f aca="false">AE55*Inputs!$B$9</f>
        <v>6074.65177888946</v>
      </c>
      <c r="AG55" s="0" t="n">
        <f aca="false">(AE55-AF55)*Inputs!$C$62/12</f>
        <v>18523.9859361681</v>
      </c>
      <c r="AH55" s="0" t="n">
        <f aca="false">IF(AD55&lt;=0,0,IF(AD55=1,AE55-AF55,MIN((AE55-AF55)*(Inputs!$C$62/12)/(1-(1+Inputs!$C$62/12)^(-AD55))-AG55,AE55-AF55)))</f>
        <v>209000.155022072</v>
      </c>
      <c r="AI55" s="0" t="n">
        <f aca="false">(AE55-AF55-AH55)*Inputs!$B$10</f>
        <v>19067.1281984555</v>
      </c>
      <c r="AJ55" s="0" t="n">
        <f aca="false">AE55-AF55-AH55-AI55</f>
        <v>2162124.45047859</v>
      </c>
      <c r="AK55" s="0" t="n">
        <f aca="false">Inputs!$D$63-(A55-1)</f>
        <v>11</v>
      </c>
      <c r="AL55" s="0" t="n">
        <f aca="false">IF(AK55&lt;=0,0,IF(A55=1,Inputs!$B$63,AQ54))</f>
        <v>2876099.71088767</v>
      </c>
      <c r="AM55" s="0" t="n">
        <f aca="false">AL55*Inputs!$B$9</f>
        <v>7291.05258534189</v>
      </c>
      <c r="AN55" s="0" t="n">
        <f aca="false">(AL55-AM55)*Inputs!$C$63/12</f>
        <v>22830.9355723227</v>
      </c>
      <c r="AO55" s="0" t="n">
        <f aca="false">IF(AK55&lt;=0,0,IF(AK55=1,AL55-AM55,MIN((AL55-AM55)*(Inputs!$C$63/12)/(1-(1+Inputs!$C$63/12)^(-AK55))-AN55,AL55-AM55)))</f>
        <v>250587.592668413</v>
      </c>
      <c r="AP55" s="0" t="n">
        <f aca="false">(AL55-AM55-AO55)*Inputs!$B$10</f>
        <v>22887.4699491632</v>
      </c>
      <c r="AQ55" s="0" t="n">
        <f aca="false">AL55-AM55-AO55-AP55</f>
        <v>2595333.59568475</v>
      </c>
      <c r="AR55" s="0" t="n">
        <f aca="false">Inputs!$D$64-(A55-1)</f>
        <v>23</v>
      </c>
      <c r="AS55" s="0" t="n">
        <f aca="false">IF(AR55&lt;=0,0,IF(A55=1,Inputs!$B$64,AX54))</f>
        <v>7781559.98181915</v>
      </c>
      <c r="AT55" s="0" t="n">
        <f aca="false">AS55*Inputs!$B$9</f>
        <v>19726.6328453977</v>
      </c>
      <c r="AU55" s="0" t="n">
        <f aca="false">(AS55-AT55)*Inputs!$C$64/12</f>
        <v>63388.3056832857</v>
      </c>
      <c r="AV55" s="0" t="n">
        <f aca="false">IF(AR55&lt;=0,0,IF(AR55=1,AS55-AT55,MIN((AS55-AT55)*(Inputs!$C$64/12)/(1-(1+Inputs!$C$64/12)^(-AR55))-AU55,AS55-AT55)))</f>
        <v>308140.598587822</v>
      </c>
      <c r="AW55" s="0" t="n">
        <f aca="false">(AS55-AT55-AV55)*Inputs!$B$10</f>
        <v>65157.2821997172</v>
      </c>
      <c r="AX55" s="0" t="n">
        <f aca="false">AS55-AT55-AV55-AW55</f>
        <v>7388535.46818622</v>
      </c>
      <c r="AY55" s="0" t="n">
        <f aca="false">Inputs!$D$65-(A55-1)</f>
        <v>23</v>
      </c>
      <c r="AZ55" s="0" t="n">
        <f aca="false">IF(AY55&lt;=0,0,IF(A55=1,Inputs!$B$65,BE54))</f>
        <v>8117928.59639031</v>
      </c>
      <c r="BA55" s="0" t="n">
        <f aca="false">AZ55*Inputs!$B$9</f>
        <v>20579.3436355045</v>
      </c>
      <c r="BB55" s="0" t="n">
        <f aca="false">(AZ55-BA55)*Inputs!$C$65/12</f>
        <v>69502.2477528121</v>
      </c>
      <c r="BC55" s="0" t="n">
        <f aca="false">IF(AY55&lt;=0,0,IF(AY55=1,AZ55-BA55,MIN((AZ55-BA55)*(Inputs!$C$65/12)/(1-(1+Inputs!$C$65/12)^(-AY55))-BB55,AZ55-BA55)))</f>
        <v>319954.102201971</v>
      </c>
      <c r="BD55" s="0" t="n">
        <f aca="false">(AZ55-BA55-BC55)*Inputs!$B$10</f>
        <v>67986.9626470778</v>
      </c>
      <c r="BE55" s="0" t="n">
        <f aca="false">AZ55-BA55-BC55-BD55</f>
        <v>7709408.18790576</v>
      </c>
      <c r="BF55" s="0" t="n">
        <f aca="false">Inputs!$D$66-(A55-1)</f>
        <v>35</v>
      </c>
      <c r="BG55" s="0" t="n">
        <f aca="false">IF(BF55&lt;=0,0,IF(A55=1,Inputs!$B$66,BL54))</f>
        <v>10508281.9033703</v>
      </c>
      <c r="BH55" s="0" t="n">
        <f aca="false">BG55*Inputs!$B$9</f>
        <v>26639.005472944</v>
      </c>
      <c r="BI55" s="0" t="n">
        <f aca="false">(BG55-BH55)*Inputs!$C$66/12</f>
        <v>92151.1104773475</v>
      </c>
      <c r="BJ55" s="0" t="n">
        <f aca="false">IF(BF55&lt;=0,0,IF(BF55=1,BG55-BH55,MIN((BG55-BH55)*(Inputs!$C$66/12)/(1-(1+Inputs!$C$66/12)^(-BF55))-BI55,BG55-BH55)))</f>
        <v>257063.453280322</v>
      </c>
      <c r="BK55" s="0" t="n">
        <f aca="false">(BG55-BH55-BJ55)*Inputs!$B$10</f>
        <v>89379.2956802311</v>
      </c>
      <c r="BL55" s="0" t="n">
        <f aca="false">BG55-BH55-BJ55-BK55</f>
        <v>10135200.1489368</v>
      </c>
      <c r="BM55" s="0" t="n">
        <f aca="false">Inputs!$D$67-(A55-1)</f>
        <v>35</v>
      </c>
      <c r="BN55" s="0" t="n">
        <f aca="false">IF(BM55&lt;=0,0,IF(A55=1,Inputs!$B$67,BS54))</f>
        <v>13883765.574307</v>
      </c>
      <c r="BO55" s="0" t="n">
        <f aca="false">BN55*Inputs!$B$9</f>
        <v>35196.0206739805</v>
      </c>
      <c r="BP55" s="0" t="n">
        <f aca="false">(BN55-BO55)*Inputs!$C$67/12</f>
        <v>127522.244639704</v>
      </c>
      <c r="BQ55" s="0" t="n">
        <f aca="false">IF(BM55&lt;=0,0,IF(BM55=1,BN55-BO55,MIN((BN55-BO55)*(Inputs!$C$67/12)/(1-(1+Inputs!$C$67/12)^(-BM55))-BP55,BN55-BO55)))</f>
        <v>337134.696345949</v>
      </c>
      <c r="BR55" s="0" t="n">
        <f aca="false">(BN55-BO55-BQ55)*Inputs!$B$10</f>
        <v>118111.706962132</v>
      </c>
      <c r="BS55" s="0" t="n">
        <f aca="false">BN55-BO55-BQ55-BR55</f>
        <v>13393323.1503249</v>
      </c>
      <c r="BT55" s="0" t="n">
        <f aca="false">C55+J55+Q55+X55+AE55+AL55+AS55+AZ55+BG55+BN55</f>
        <v>53961215.9403179</v>
      </c>
      <c r="BU55" s="0" t="n">
        <f aca="false">D55+K55+R55+Y55+AF55+AM55+AT55+BA55+BH55+BO55</f>
        <v>136794.305670445</v>
      </c>
      <c r="BV55" s="0" t="n">
        <f aca="false">E55+L55+S55+Z55+AG55+AN55+AU55+BB55+BI55+BP55</f>
        <v>455343.022117146</v>
      </c>
      <c r="BW55" s="0" t="n">
        <f aca="false">F55+M55+T55+AA55+AH55+AO55+AV55+BC55+BJ55+BQ55</f>
        <v>2415825.39326809</v>
      </c>
      <c r="BX55" s="0" t="n">
        <f aca="false">G55+N55+U55+AB55+AI55+AP55+AW55+BD55+BK55+BR55</f>
        <v>449393.948069223</v>
      </c>
      <c r="BY55" s="0" t="n">
        <f aca="false">H55+O55+V55+AC55+AJ55+AQ55+AX55+BE55+BL55+BS55</f>
        <v>50959202.2933102</v>
      </c>
      <c r="BZ55" s="0" t="n">
        <f aca="false">IF(A55&gt;Inputs!$B$7,(1-Inputs!$B$6)*INDEX($BU$6:$BU$125,A55-Inputs!$B$7),0)</f>
        <v>121689.013697386</v>
      </c>
      <c r="CA55" s="0" t="n">
        <f aca="false">CA54+(1-Inputs!$B$6)*BU55-BZ55</f>
        <v>584562.693480594</v>
      </c>
      <c r="CB55" s="0" t="n">
        <f aca="false">BY55+CA55</f>
        <v>51543764.9867908</v>
      </c>
      <c r="CC55" s="0" t="n">
        <f aca="false">BV55+BW55+BX55+BZ55</f>
        <v>3442251.37715185</v>
      </c>
      <c r="CD55" s="0" t="n">
        <f aca="false">CD54+BU55-BZ55</f>
        <v>10876523.9751511</v>
      </c>
    </row>
    <row r="56" customFormat="false" ht="15" hidden="false" customHeight="false" outlineLevel="0" collapsed="false">
      <c r="A56" s="0" t="n">
        <f aca="false">ROW()-5</f>
        <v>51</v>
      </c>
      <c r="B56" s="0" t="n">
        <f aca="false">Inputs!$D$58-(A56-1)</f>
        <v>-14</v>
      </c>
      <c r="C56" s="0" t="n">
        <f aca="false">IF(B56&lt;=0,0,IF(A56=1,Inputs!$B$58,H55))</f>
        <v>0</v>
      </c>
      <c r="D56" s="0" t="n">
        <f aca="false">C56*Inputs!$B$9</f>
        <v>0</v>
      </c>
      <c r="E56" s="0" t="n">
        <f aca="false">(C56-D56)*Inputs!$C$58/12</f>
        <v>0</v>
      </c>
      <c r="F56" s="0" t="n">
        <f aca="false">IF(B56&lt;=0,0,IF(B56=1,C56-D56,MIN((C56-D56)*(Inputs!$C$58/12)/(1-(1+Inputs!$C$58/12)^(-B56))-E56,C56-D56)))</f>
        <v>0</v>
      </c>
      <c r="G56" s="0" t="n">
        <f aca="false">(C56-D56-F56)*Inputs!$B$10</f>
        <v>0</v>
      </c>
      <c r="H56" s="0" t="n">
        <f aca="false">C56-D56-F56-G56</f>
        <v>0</v>
      </c>
      <c r="I56" s="0" t="n">
        <f aca="false">Inputs!$D$59-(A56-1)</f>
        <v>-2</v>
      </c>
      <c r="J56" s="0" t="n">
        <f aca="false">IF(I56&lt;=0,0,IF(A56=1,Inputs!$B$59,O55))</f>
        <v>0</v>
      </c>
      <c r="K56" s="0" t="n">
        <f aca="false">J56*Inputs!$B$9</f>
        <v>0</v>
      </c>
      <c r="L56" s="0" t="n">
        <f aca="false">(J56-K56)*Inputs!$C$59/12</f>
        <v>0</v>
      </c>
      <c r="M56" s="0" t="n">
        <f aca="false">IF(I56&lt;=0,0,IF(I56=1,J56-K56,MIN((J56-K56)*(Inputs!$C$59/12)/(1-(1+Inputs!$C$59/12)^(-I56))-L56,J56-K56)))</f>
        <v>0</v>
      </c>
      <c r="N56" s="0" t="n">
        <f aca="false">(J56-K56-M56)*Inputs!$B$10</f>
        <v>0</v>
      </c>
      <c r="O56" s="0" t="n">
        <f aca="false">J56-K56-M56-N56</f>
        <v>0</v>
      </c>
      <c r="P56" s="0" t="n">
        <f aca="false">Inputs!$D$60-(A56-1)</f>
        <v>-2</v>
      </c>
      <c r="Q56" s="0" t="n">
        <f aca="false">IF(P56&lt;=0,0,IF(A56=1,Inputs!$B$60,V55))</f>
        <v>0</v>
      </c>
      <c r="R56" s="0" t="n">
        <f aca="false">Q56*Inputs!$B$9</f>
        <v>0</v>
      </c>
      <c r="S56" s="0" t="n">
        <f aca="false">(Q56-R56)*Inputs!$C$60/12</f>
        <v>0</v>
      </c>
      <c r="T56" s="0" t="n">
        <f aca="false">IF(P56&lt;=0,0,IF(P56=1,Q56-R56,MIN((Q56-R56)*(Inputs!$C$60/12)/(1-(1+Inputs!$C$60/12)^(-P56))-S56,Q56-R56)))</f>
        <v>0</v>
      </c>
      <c r="U56" s="0" t="n">
        <f aca="false">(Q56-R56-T56)*Inputs!$B$10</f>
        <v>0</v>
      </c>
      <c r="V56" s="0" t="n">
        <f aca="false">Q56-R56-T56-U56</f>
        <v>0</v>
      </c>
      <c r="W56" s="0" t="n">
        <f aca="false">Inputs!$D$61-(A56-1)</f>
        <v>10</v>
      </c>
      <c r="X56" s="0" t="n">
        <f aca="false">IF(W56&lt;=0,0,IF(A56=1,Inputs!$B$61,AC55))</f>
        <v>7575277.29179311</v>
      </c>
      <c r="Y56" s="0" t="n">
        <f aca="false">X56*Inputs!$B$9</f>
        <v>19203.6961979887</v>
      </c>
      <c r="Z56" s="0" t="n">
        <f aca="false">(X56-Y56)*Inputs!$C$61/12</f>
        <v>55411.2063676976</v>
      </c>
      <c r="AA56" s="0" t="n">
        <f aca="false">IF(W56&lt;=0,0,IF(W56=1,X56-Y56,MIN((X56-Y56)*(Inputs!$C$61/12)/(1-(1+Inputs!$C$61/12)^(-W56))-Z56,X56-Y56)))</f>
        <v>731006.301250987</v>
      </c>
      <c r="AB56" s="0" t="n">
        <f aca="false">(X56-Y56-AA56)*Inputs!$B$10</f>
        <v>59662.083026781</v>
      </c>
      <c r="AC56" s="0" t="n">
        <f aca="false">X56-Y56-AA56-AB56</f>
        <v>6765405.21131736</v>
      </c>
      <c r="AD56" s="0" t="n">
        <f aca="false">Inputs!$D$62-(A56-1)</f>
        <v>10</v>
      </c>
      <c r="AE56" s="0" t="n">
        <f aca="false">IF(AD56&lt;=0,0,IF(A56=1,Inputs!$B$62,AJ55))</f>
        <v>2162124.45047859</v>
      </c>
      <c r="AF56" s="0" t="n">
        <f aca="false">AE56*Inputs!$B$9</f>
        <v>5481.09059112815</v>
      </c>
      <c r="AG56" s="0" t="n">
        <f aca="false">(AE56-AF56)*Inputs!$C$62/12</f>
        <v>16713.9860391278</v>
      </c>
      <c r="AH56" s="0" t="n">
        <f aca="false">IF(AD56&lt;=0,0,IF(AD56=1,AE56-AF56,MIN((AE56-AF56)*(Inputs!$C$62/12)/(1-(1+Inputs!$C$62/12)^(-AD56))-AG56,AE56-AF56)))</f>
        <v>208249.484665864</v>
      </c>
      <c r="AI56" s="0" t="n">
        <f aca="false">(AE56-AF56-AH56)*Inputs!$B$10</f>
        <v>17032.1012437011</v>
      </c>
      <c r="AJ56" s="0" t="n">
        <f aca="false">AE56-AF56-AH56-AI56</f>
        <v>1931361.77397789</v>
      </c>
      <c r="AK56" s="0" t="n">
        <f aca="false">Inputs!$D$63-(A56-1)</f>
        <v>10</v>
      </c>
      <c r="AL56" s="0" t="n">
        <f aca="false">IF(AK56&lt;=0,0,IF(A56=1,Inputs!$B$63,AQ55))</f>
        <v>2595333.59568475</v>
      </c>
      <c r="AM56" s="0" t="n">
        <f aca="false">AL56*Inputs!$B$9</f>
        <v>6579.29683418442</v>
      </c>
      <c r="AN56" s="0" t="n">
        <f aca="false">(AL56-AM56)*Inputs!$C$63/12</f>
        <v>20602.1696283525</v>
      </c>
      <c r="AO56" s="0" t="n">
        <f aca="false">IF(AK56&lt;=0,0,IF(AK56=1,AL56-AM56,MIN((AL56-AM56)*(Inputs!$C$63/12)/(1-(1+Inputs!$C$63/12)^(-AK56))-AN56,AL56-AM56)))</f>
        <v>249739.170016024</v>
      </c>
      <c r="AP56" s="0" t="n">
        <f aca="false">(AL56-AM56-AO56)*Inputs!$B$10</f>
        <v>20446.7602734214</v>
      </c>
      <c r="AQ56" s="0" t="n">
        <f aca="false">AL56-AM56-AO56-AP56</f>
        <v>2318568.36856112</v>
      </c>
      <c r="AR56" s="0" t="n">
        <f aca="false">Inputs!$D$64-(A56-1)</f>
        <v>22</v>
      </c>
      <c r="AS56" s="0" t="n">
        <f aca="false">IF(AR56&lt;=0,0,IF(A56=1,Inputs!$B$64,AX55))</f>
        <v>7388535.46818622</v>
      </c>
      <c r="AT56" s="0" t="n">
        <f aca="false">AS56*Inputs!$B$9</f>
        <v>18730.2965969087</v>
      </c>
      <c r="AU56" s="0" t="n">
        <f aca="false">(AS56-AT56)*Inputs!$C$64/12</f>
        <v>60186.742234646</v>
      </c>
      <c r="AV56" s="0" t="n">
        <f aca="false">IF(AR56&lt;=0,0,IF(AR56=1,AS56-AT56,MIN((AS56-AT56)*(Inputs!$C$64/12)/(1-(1+Inputs!$C$64/12)^(-AR56))-AU56,AS56-AT56)))</f>
        <v>307160.790295501</v>
      </c>
      <c r="AW56" s="0" t="n">
        <f aca="false">(AS56-AT56-AV56)*Inputs!$B$10</f>
        <v>61738.8894926452</v>
      </c>
      <c r="AX56" s="0" t="n">
        <f aca="false">AS56-AT56-AV56-AW56</f>
        <v>7000905.49180116</v>
      </c>
      <c r="AY56" s="0" t="n">
        <f aca="false">Inputs!$D$65-(A56-1)</f>
        <v>22</v>
      </c>
      <c r="AZ56" s="0" t="n">
        <f aca="false">IF(AY56&lt;=0,0,IF(A56=1,Inputs!$B$65,BE55))</f>
        <v>7709408.18790576</v>
      </c>
      <c r="BA56" s="0" t="n">
        <f aca="false">AZ56*Inputs!$B$9</f>
        <v>19543.7245402517</v>
      </c>
      <c r="BB56" s="0" t="n">
        <f aca="false">(AZ56-BA56)*Inputs!$C$65/12</f>
        <v>66004.6699772206</v>
      </c>
      <c r="BC56" s="0" t="n">
        <f aca="false">IF(AY56&lt;=0,0,IF(AY56=1,AZ56-BA56,MIN((AZ56-BA56)*(Inputs!$C$65/12)/(1-(1+Inputs!$C$65/12)^(-AY56))-BB56,AZ56-BA56)))</f>
        <v>319068.543814218</v>
      </c>
      <c r="BD56" s="0" t="n">
        <f aca="false">(AZ56-BA56-BC56)*Inputs!$B$10</f>
        <v>64432.6303551834</v>
      </c>
      <c r="BE56" s="0" t="n">
        <f aca="false">AZ56-BA56-BC56-BD56</f>
        <v>7306363.28919611</v>
      </c>
      <c r="BF56" s="0" t="n">
        <f aca="false">Inputs!$D$66-(A56-1)</f>
        <v>34</v>
      </c>
      <c r="BG56" s="0" t="n">
        <f aca="false">IF(BF56&lt;=0,0,IF(A56=1,Inputs!$B$66,BL55))</f>
        <v>10135200.1489368</v>
      </c>
      <c r="BH56" s="0" t="n">
        <f aca="false">BG56*Inputs!$B$9</f>
        <v>25693.2250885196</v>
      </c>
      <c r="BI56" s="0" t="n">
        <f aca="false">(BG56-BH56)*Inputs!$C$66/12</f>
        <v>88879.4150388327</v>
      </c>
      <c r="BJ56" s="0" t="n">
        <f aca="false">IF(BF56&lt;=0,0,IF(BF56=1,BG56-BH56,MIN((BG56-BH56)*(Inputs!$C$66/12)/(1-(1+Inputs!$C$66/12)^(-BF56))-BI56,BG56-BH56)))</f>
        <v>256404.913704437</v>
      </c>
      <c r="BK56" s="0" t="n">
        <f aca="false">(BG56-BH56-BJ56)*Inputs!$B$10</f>
        <v>86131.9844696176</v>
      </c>
      <c r="BL56" s="0" t="n">
        <f aca="false">BG56-BH56-BJ56-BK56</f>
        <v>9766970.02567422</v>
      </c>
      <c r="BM56" s="0" t="n">
        <f aca="false">Inputs!$D$67-(A56-1)</f>
        <v>34</v>
      </c>
      <c r="BN56" s="0" t="n">
        <f aca="false">IF(BM56&lt;=0,0,IF(A56=1,Inputs!$B$67,BS55))</f>
        <v>13393323.1503249</v>
      </c>
      <c r="BO56" s="0" t="n">
        <f aca="false">BN56*Inputs!$B$9</f>
        <v>33952.7252868981</v>
      </c>
      <c r="BP56" s="0" t="n">
        <f aca="false">(BN56-BO56)*Inputs!$C$67/12</f>
        <v>123017.535997225</v>
      </c>
      <c r="BQ56" s="0" t="n">
        <f aca="false">IF(BM56&lt;=0,0,IF(BM56=1,BN56-BO56,MIN((BN56-BO56)*(Inputs!$C$67/12)/(1-(1+Inputs!$C$67/12)^(-BM56))-BP56,BN56-BO56)))</f>
        <v>336409.923836509</v>
      </c>
      <c r="BR56" s="0" t="n">
        <f aca="false">(BN56-BO56-BQ56)*Inputs!$B$10</f>
        <v>113841.654179886</v>
      </c>
      <c r="BS56" s="0" t="n">
        <f aca="false">BN56-BO56-BQ56-BR56</f>
        <v>12909118.8470217</v>
      </c>
      <c r="BT56" s="0" t="n">
        <f aca="false">C56+J56+Q56+X56+AE56+AL56+AS56+AZ56+BG56+BN56</f>
        <v>50959202.2933102</v>
      </c>
      <c r="BU56" s="0" t="n">
        <f aca="false">D56+K56+R56+Y56+AF56+AM56+AT56+BA56+BH56+BO56</f>
        <v>129184.055135879</v>
      </c>
      <c r="BV56" s="0" t="n">
        <f aca="false">E56+L56+S56+Z56+AG56+AN56+AU56+BB56+BI56+BP56</f>
        <v>430815.725283103</v>
      </c>
      <c r="BW56" s="0" t="n">
        <f aca="false">F56+M56+T56+AA56+AH56+AO56+AV56+BC56+BJ56+BQ56</f>
        <v>2408039.12758354</v>
      </c>
      <c r="BX56" s="0" t="n">
        <f aca="false">G56+N56+U56+AB56+AI56+AP56+AW56+BD56+BK56+BR56</f>
        <v>423286.103041236</v>
      </c>
      <c r="BY56" s="0" t="n">
        <f aca="false">H56+O56+V56+AC56+AJ56+AQ56+AX56+BE56+BL56+BS56</f>
        <v>47998693.0075495</v>
      </c>
      <c r="BZ56" s="0" t="n">
        <f aca="false">IF(A56&gt;Inputs!$B$7,(1-Inputs!$B$6)*INDEX($BU$6:$BU$125,A56-Inputs!$B$7),0)</f>
        <v>114488.942917685</v>
      </c>
      <c r="CA56" s="0" t="n">
        <f aca="false">CA55+(1-Inputs!$B$6)*BU56-BZ56</f>
        <v>547584.183644436</v>
      </c>
      <c r="CB56" s="0" t="n">
        <f aca="false">BY56+CA56</f>
        <v>48546277.1911939</v>
      </c>
      <c r="CC56" s="0" t="n">
        <f aca="false">BV56+BW56+BX56+BZ56</f>
        <v>3376629.89882556</v>
      </c>
      <c r="CD56" s="0" t="n">
        <f aca="false">CD55+BU56-BZ56</f>
        <v>10891219.0873693</v>
      </c>
    </row>
    <row r="57" customFormat="false" ht="15" hidden="false" customHeight="false" outlineLevel="0" collapsed="false">
      <c r="A57" s="0" t="n">
        <f aca="false">ROW()-5</f>
        <v>52</v>
      </c>
      <c r="B57" s="0" t="n">
        <f aca="false">Inputs!$D$58-(A57-1)</f>
        <v>-15</v>
      </c>
      <c r="C57" s="0" t="n">
        <f aca="false">IF(B57&lt;=0,0,IF(A57=1,Inputs!$B$58,H56))</f>
        <v>0</v>
      </c>
      <c r="D57" s="0" t="n">
        <f aca="false">C57*Inputs!$B$9</f>
        <v>0</v>
      </c>
      <c r="E57" s="0" t="n">
        <f aca="false">(C57-D57)*Inputs!$C$58/12</f>
        <v>0</v>
      </c>
      <c r="F57" s="0" t="n">
        <f aca="false">IF(B57&lt;=0,0,IF(B57=1,C57-D57,MIN((C57-D57)*(Inputs!$C$58/12)/(1-(1+Inputs!$C$58/12)^(-B57))-E57,C57-D57)))</f>
        <v>0</v>
      </c>
      <c r="G57" s="0" t="n">
        <f aca="false">(C57-D57-F57)*Inputs!$B$10</f>
        <v>0</v>
      </c>
      <c r="H57" s="0" t="n">
        <f aca="false">C57-D57-F57-G57</f>
        <v>0</v>
      </c>
      <c r="I57" s="0" t="n">
        <f aca="false">Inputs!$D$59-(A57-1)</f>
        <v>-3</v>
      </c>
      <c r="J57" s="0" t="n">
        <f aca="false">IF(I57&lt;=0,0,IF(A57=1,Inputs!$B$59,O56))</f>
        <v>0</v>
      </c>
      <c r="K57" s="0" t="n">
        <f aca="false">J57*Inputs!$B$9</f>
        <v>0</v>
      </c>
      <c r="L57" s="0" t="n">
        <f aca="false">(J57-K57)*Inputs!$C$59/12</f>
        <v>0</v>
      </c>
      <c r="M57" s="0" t="n">
        <f aca="false">IF(I57&lt;=0,0,IF(I57=1,J57-K57,MIN((J57-K57)*(Inputs!$C$59/12)/(1-(1+Inputs!$C$59/12)^(-I57))-L57,J57-K57)))</f>
        <v>0</v>
      </c>
      <c r="N57" s="0" t="n">
        <f aca="false">(J57-K57-M57)*Inputs!$B$10</f>
        <v>0</v>
      </c>
      <c r="O57" s="0" t="n">
        <f aca="false">J57-K57-M57-N57</f>
        <v>0</v>
      </c>
      <c r="P57" s="0" t="n">
        <f aca="false">Inputs!$D$60-(A57-1)</f>
        <v>-3</v>
      </c>
      <c r="Q57" s="0" t="n">
        <f aca="false">IF(P57&lt;=0,0,IF(A57=1,Inputs!$B$60,V56))</f>
        <v>0</v>
      </c>
      <c r="R57" s="0" t="n">
        <f aca="false">Q57*Inputs!$B$9</f>
        <v>0</v>
      </c>
      <c r="S57" s="0" t="n">
        <f aca="false">(Q57-R57)*Inputs!$C$60/12</f>
        <v>0</v>
      </c>
      <c r="T57" s="0" t="n">
        <f aca="false">IF(P57&lt;=0,0,IF(P57=1,Q57-R57,MIN((Q57-R57)*(Inputs!$C$60/12)/(1-(1+Inputs!$C$60/12)^(-P57))-S57,Q57-R57)))</f>
        <v>0</v>
      </c>
      <c r="U57" s="0" t="n">
        <f aca="false">(Q57-R57-T57)*Inputs!$B$10</f>
        <v>0</v>
      </c>
      <c r="V57" s="0" t="n">
        <f aca="false">Q57-R57-T57-U57</f>
        <v>0</v>
      </c>
      <c r="W57" s="0" t="n">
        <f aca="false">Inputs!$D$61-(A57-1)</f>
        <v>9</v>
      </c>
      <c r="X57" s="0" t="n">
        <f aca="false">IF(W57&lt;=0,0,IF(A57=1,Inputs!$B$61,AC56))</f>
        <v>6765405.21131736</v>
      </c>
      <c r="Y57" s="0" t="n">
        <f aca="false">X57*Inputs!$B$9</f>
        <v>17150.6311029936</v>
      </c>
      <c r="Z57" s="0" t="n">
        <f aca="false">(X57-Y57)*Inputs!$C$61/12</f>
        <v>49487.2002549053</v>
      </c>
      <c r="AA57" s="0" t="n">
        <f aca="false">IF(W57&lt;=0,0,IF(W57=1,X57-Y57,MIN((X57-Y57)*(Inputs!$C$61/12)/(1-(1+Inputs!$C$61/12)^(-W57))-Z57,X57-Y57)))</f>
        <v>728079.572185034</v>
      </c>
      <c r="AB57" s="0" t="n">
        <f aca="false">(X57-Y57-AA57)*Inputs!$B$10</f>
        <v>52626.0277993806</v>
      </c>
      <c r="AC57" s="0" t="n">
        <f aca="false">X57-Y57-AA57-AB57</f>
        <v>5967548.98022995</v>
      </c>
      <c r="AD57" s="0" t="n">
        <f aca="false">Inputs!$D$62-(A57-1)</f>
        <v>9</v>
      </c>
      <c r="AE57" s="0" t="n">
        <f aca="false">IF(AD57&lt;=0,0,IF(A57=1,Inputs!$B$62,AJ56))</f>
        <v>1931361.77397789</v>
      </c>
      <c r="AF57" s="0" t="n">
        <f aca="false">AE57*Inputs!$B$9</f>
        <v>4896.09598793982</v>
      </c>
      <c r="AG57" s="0" t="n">
        <f aca="false">(AE57-AF57)*Inputs!$C$62/12</f>
        <v>14930.1090044221</v>
      </c>
      <c r="AH57" s="0" t="n">
        <f aca="false">IF(AD57&lt;=0,0,IF(AD57=1,AE57-AF57,MIN((AE57-AF57)*(Inputs!$C$62/12)/(1-(1+Inputs!$C$62/12)^(-AD57))-AG57,AE57-AF57)))</f>
        <v>207501.510508534</v>
      </c>
      <c r="AI57" s="0" t="n">
        <f aca="false">(AE57-AF57-AH57)*Inputs!$B$10</f>
        <v>15026.5159971867</v>
      </c>
      <c r="AJ57" s="0" t="n">
        <f aca="false">AE57-AF57-AH57-AI57</f>
        <v>1703937.65148423</v>
      </c>
      <c r="AK57" s="0" t="n">
        <f aca="false">Inputs!$D$63-(A57-1)</f>
        <v>9</v>
      </c>
      <c r="AL57" s="0" t="n">
        <f aca="false">IF(AK57&lt;=0,0,IF(A57=1,Inputs!$B$63,AQ56))</f>
        <v>2318568.36856112</v>
      </c>
      <c r="AM57" s="0" t="n">
        <f aca="false">AL57*Inputs!$B$9</f>
        <v>5877.68352880647</v>
      </c>
      <c r="AN57" s="0" t="n">
        <f aca="false">(AL57-AM57)*Inputs!$C$63/12</f>
        <v>18405.1633683822</v>
      </c>
      <c r="AO57" s="0" t="n">
        <f aca="false">IF(AK57&lt;=0,0,IF(AK57=1,AL57-AM57,MIN((AL57-AM57)*(Inputs!$C$63/12)/(1-(1+Inputs!$C$63/12)^(-AK57))-AN57,AL57-AM57)))</f>
        <v>248893.619896107</v>
      </c>
      <c r="AP57" s="0" t="n">
        <f aca="false">(AL57-AM57-AO57)*Inputs!$B$10</f>
        <v>18040.9110328656</v>
      </c>
      <c r="AQ57" s="0" t="n">
        <f aca="false">AL57-AM57-AO57-AP57</f>
        <v>2045756.15410335</v>
      </c>
      <c r="AR57" s="0" t="n">
        <f aca="false">Inputs!$D$64-(A57-1)</f>
        <v>21</v>
      </c>
      <c r="AS57" s="0" t="n">
        <f aca="false">IF(AR57&lt;=0,0,IF(A57=1,Inputs!$B$64,AX56))</f>
        <v>7000905.49180116</v>
      </c>
      <c r="AT57" s="0" t="n">
        <f aca="false">AS57*Inputs!$B$9</f>
        <v>17747.6357625922</v>
      </c>
      <c r="AU57" s="0" t="n">
        <f aca="false">(AS57-AT57)*Inputs!$C$64/12</f>
        <v>57029.1224909817</v>
      </c>
      <c r="AV57" s="0" t="n">
        <f aca="false">IF(AR57&lt;=0,0,IF(AR57=1,AS57-AT57,MIN((AS57-AT57)*(Inputs!$C$64/12)/(1-(1+Inputs!$C$64/12)^(-AR57))-AU57,AS57-AT57)))</f>
        <v>306184.09754295</v>
      </c>
      <c r="AW57" s="0" t="n">
        <f aca="false">(AS57-AT57-AV57)*Inputs!$B$10</f>
        <v>58367.5069514879</v>
      </c>
      <c r="AX57" s="0" t="n">
        <f aca="false">AS57-AT57-AV57-AW57</f>
        <v>6618606.25154413</v>
      </c>
      <c r="AY57" s="0" t="n">
        <f aca="false">Inputs!$D$65-(A57-1)</f>
        <v>21</v>
      </c>
      <c r="AZ57" s="0" t="n">
        <f aca="false">IF(AY57&lt;=0,0,IF(A57=1,Inputs!$B$65,BE56))</f>
        <v>7306363.28919611</v>
      </c>
      <c r="BA57" s="0" t="n">
        <f aca="false">AZ57*Inputs!$B$9</f>
        <v>18521.9861284639</v>
      </c>
      <c r="BB57" s="0" t="n">
        <f aca="false">(AZ57-BA57)*Inputs!$C$65/12</f>
        <v>62553.9711846639</v>
      </c>
      <c r="BC57" s="0" t="n">
        <f aca="false">IF(AY57&lt;=0,0,IF(AY57=1,AZ57-BA57,MIN((AZ57-BA57)*(Inputs!$C$65/12)/(1-(1+Inputs!$C$65/12)^(-AY57))-BB57,AZ57-BA57)))</f>
        <v>318185.436445697</v>
      </c>
      <c r="BD57" s="0" t="n">
        <f aca="false">(AZ57-BA57-BC57)*Inputs!$B$10</f>
        <v>60926.0200741287</v>
      </c>
      <c r="BE57" s="0" t="n">
        <f aca="false">AZ57-BA57-BC57-BD57</f>
        <v>6908729.84654782</v>
      </c>
      <c r="BF57" s="0" t="n">
        <f aca="false">Inputs!$D$66-(A57-1)</f>
        <v>33</v>
      </c>
      <c r="BG57" s="0" t="n">
        <f aca="false">IF(BF57&lt;=0,0,IF(A57=1,Inputs!$B$66,BL56))</f>
        <v>9766970.02567422</v>
      </c>
      <c r="BH57" s="0" t="n">
        <f aca="false">BG57*Inputs!$B$9</f>
        <v>24759.7438249699</v>
      </c>
      <c r="BI57" s="0" t="n">
        <f aca="false">(BG57-BH57)*Inputs!$C$66/12</f>
        <v>85650.2653945913</v>
      </c>
      <c r="BJ57" s="0" t="n">
        <f aca="false">IF(BF57&lt;=0,0,IF(BF57=1,BG57-BH57,MIN((BG57-BH57)*(Inputs!$C$66/12)/(1-(1+Inputs!$C$66/12)^(-BF57))-BI57,BG57-BH57)))</f>
        <v>255748.061160945</v>
      </c>
      <c r="BK57" s="0" t="n">
        <f aca="false">(BG57-BH57-BJ57)*Inputs!$B$10</f>
        <v>82926.9620696855</v>
      </c>
      <c r="BL57" s="0" t="n">
        <f aca="false">BG57-BH57-BJ57-BK57</f>
        <v>9403535.25861862</v>
      </c>
      <c r="BM57" s="0" t="n">
        <f aca="false">Inputs!$D$67-(A57-1)</f>
        <v>33</v>
      </c>
      <c r="BN57" s="0" t="n">
        <f aca="false">IF(BM57&lt;=0,0,IF(A57=1,Inputs!$B$67,BS56))</f>
        <v>12909118.8470217</v>
      </c>
      <c r="BO57" s="0" t="n">
        <f aca="false">BN57*Inputs!$B$9</f>
        <v>32725.2438389953</v>
      </c>
      <c r="BP57" s="0" t="n">
        <f aca="false">(BN57-BO57)*Inputs!$C$67/12</f>
        <v>118570.124429307</v>
      </c>
      <c r="BQ57" s="0" t="n">
        <f aca="false">IF(BM57&lt;=0,0,IF(BM57=1,BN57-BO57,MIN((BN57-BO57)*(Inputs!$C$67/12)/(1-(1+Inputs!$C$67/12)^(-BM57))-BP57,BN57-BO57)))</f>
        <v>335686.70944374</v>
      </c>
      <c r="BR57" s="0" t="n">
        <f aca="false">(BN57-BO57-BQ57)*Inputs!$B$10</f>
        <v>109625.980761949</v>
      </c>
      <c r="BS57" s="0" t="n">
        <f aca="false">BN57-BO57-BQ57-BR57</f>
        <v>12431080.912977</v>
      </c>
      <c r="BT57" s="0" t="n">
        <f aca="false">C57+J57+Q57+X57+AE57+AL57+AS57+AZ57+BG57+BN57</f>
        <v>47998693.0075495</v>
      </c>
      <c r="BU57" s="0" t="n">
        <f aca="false">D57+K57+R57+Y57+AF57+AM57+AT57+BA57+BH57+BO57</f>
        <v>121679.020174761</v>
      </c>
      <c r="BV57" s="0" t="n">
        <f aca="false">E57+L57+S57+Z57+AG57+AN57+AU57+BB57+BI57+BP57</f>
        <v>406625.956127254</v>
      </c>
      <c r="BW57" s="0" t="n">
        <f aca="false">F57+M57+T57+AA57+AH57+AO57+AV57+BC57+BJ57+BQ57</f>
        <v>2400279.00718301</v>
      </c>
      <c r="BX57" s="0" t="n">
        <f aca="false">G57+N57+U57+AB57+AI57+AP57+AW57+BD57+BK57+BR57</f>
        <v>397539.924686684</v>
      </c>
      <c r="BY57" s="0" t="n">
        <f aca="false">H57+O57+V57+AC57+AJ57+AQ57+AX57+BE57+BL57+BS57</f>
        <v>45079195.0555051</v>
      </c>
      <c r="BZ57" s="0" t="n">
        <f aca="false">IF(A57&gt;Inputs!$B$7,(1-Inputs!$B$6)*INDEX($BU$6:$BU$125,A57-Inputs!$B$7),0)</f>
        <v>107391.908544644</v>
      </c>
      <c r="CA57" s="0" t="n">
        <f aca="false">CA56+(1-Inputs!$B$6)*BU57-BZ57</f>
        <v>513199.687204649</v>
      </c>
      <c r="CB57" s="0" t="n">
        <f aca="false">BY57+CA57</f>
        <v>45592394.7427097</v>
      </c>
      <c r="CC57" s="0" t="n">
        <f aca="false">BV57+BW57+BX57+BZ57</f>
        <v>3311836.79654159</v>
      </c>
      <c r="CD57" s="0" t="n">
        <f aca="false">CD56+BU57-BZ57</f>
        <v>10905506.1989994</v>
      </c>
    </row>
    <row r="58" customFormat="false" ht="15" hidden="false" customHeight="false" outlineLevel="0" collapsed="false">
      <c r="A58" s="0" t="n">
        <f aca="false">ROW()-5</f>
        <v>53</v>
      </c>
      <c r="B58" s="0" t="n">
        <f aca="false">Inputs!$D$58-(A58-1)</f>
        <v>-16</v>
      </c>
      <c r="C58" s="0" t="n">
        <f aca="false">IF(B58&lt;=0,0,IF(A58=1,Inputs!$B$58,H57))</f>
        <v>0</v>
      </c>
      <c r="D58" s="0" t="n">
        <f aca="false">C58*Inputs!$B$9</f>
        <v>0</v>
      </c>
      <c r="E58" s="0" t="n">
        <f aca="false">(C58-D58)*Inputs!$C$58/12</f>
        <v>0</v>
      </c>
      <c r="F58" s="0" t="n">
        <f aca="false">IF(B58&lt;=0,0,IF(B58=1,C58-D58,MIN((C58-D58)*(Inputs!$C$58/12)/(1-(1+Inputs!$C$58/12)^(-B58))-E58,C58-D58)))</f>
        <v>0</v>
      </c>
      <c r="G58" s="0" t="n">
        <f aca="false">(C58-D58-F58)*Inputs!$B$10</f>
        <v>0</v>
      </c>
      <c r="H58" s="0" t="n">
        <f aca="false">C58-D58-F58-G58</f>
        <v>0</v>
      </c>
      <c r="I58" s="0" t="n">
        <f aca="false">Inputs!$D$59-(A58-1)</f>
        <v>-4</v>
      </c>
      <c r="J58" s="0" t="n">
        <f aca="false">IF(I58&lt;=0,0,IF(A58=1,Inputs!$B$59,O57))</f>
        <v>0</v>
      </c>
      <c r="K58" s="0" t="n">
        <f aca="false">J58*Inputs!$B$9</f>
        <v>0</v>
      </c>
      <c r="L58" s="0" t="n">
        <f aca="false">(J58-K58)*Inputs!$C$59/12</f>
        <v>0</v>
      </c>
      <c r="M58" s="0" t="n">
        <f aca="false">IF(I58&lt;=0,0,IF(I58=1,J58-K58,MIN((J58-K58)*(Inputs!$C$59/12)/(1-(1+Inputs!$C$59/12)^(-I58))-L58,J58-K58)))</f>
        <v>0</v>
      </c>
      <c r="N58" s="0" t="n">
        <f aca="false">(J58-K58-M58)*Inputs!$B$10</f>
        <v>0</v>
      </c>
      <c r="O58" s="0" t="n">
        <f aca="false">J58-K58-M58-N58</f>
        <v>0</v>
      </c>
      <c r="P58" s="0" t="n">
        <f aca="false">Inputs!$D$60-(A58-1)</f>
        <v>-4</v>
      </c>
      <c r="Q58" s="0" t="n">
        <f aca="false">IF(P58&lt;=0,0,IF(A58=1,Inputs!$B$60,V57))</f>
        <v>0</v>
      </c>
      <c r="R58" s="0" t="n">
        <f aca="false">Q58*Inputs!$B$9</f>
        <v>0</v>
      </c>
      <c r="S58" s="0" t="n">
        <f aca="false">(Q58-R58)*Inputs!$C$60/12</f>
        <v>0</v>
      </c>
      <c r="T58" s="0" t="n">
        <f aca="false">IF(P58&lt;=0,0,IF(P58=1,Q58-R58,MIN((Q58-R58)*(Inputs!$C$60/12)/(1-(1+Inputs!$C$60/12)^(-P58))-S58,Q58-R58)))</f>
        <v>0</v>
      </c>
      <c r="U58" s="0" t="n">
        <f aca="false">(Q58-R58-T58)*Inputs!$B$10</f>
        <v>0</v>
      </c>
      <c r="V58" s="0" t="n">
        <f aca="false">Q58-R58-T58-U58</f>
        <v>0</v>
      </c>
      <c r="W58" s="0" t="n">
        <f aca="false">Inputs!$D$61-(A58-1)</f>
        <v>8</v>
      </c>
      <c r="X58" s="0" t="n">
        <f aca="false">IF(W58&lt;=0,0,IF(A58=1,Inputs!$B$61,AC57))</f>
        <v>5967548.98022995</v>
      </c>
      <c r="Y58" s="0" t="n">
        <f aca="false">X58*Inputs!$B$9</f>
        <v>15128.0267703345</v>
      </c>
      <c r="Z58" s="0" t="n">
        <f aca="false">(X58-Y58)*Inputs!$C$61/12</f>
        <v>43651.0869920372</v>
      </c>
      <c r="AA58" s="0" t="n">
        <f aca="false">IF(W58&lt;=0,0,IF(W58=1,X58-Y58,MIN((X58-Y58)*(Inputs!$C$61/12)/(1-(1+Inputs!$C$61/12)^(-W58))-Z58,X58-Y58)))</f>
        <v>725164.560860788</v>
      </c>
      <c r="AB58" s="0" t="n">
        <f aca="false">(X58-Y58-AA58)*Inputs!$B$10</f>
        <v>45694.6417445504</v>
      </c>
      <c r="AC58" s="0" t="n">
        <f aca="false">X58-Y58-AA58-AB58</f>
        <v>5181561.75085428</v>
      </c>
      <c r="AD58" s="0" t="n">
        <f aca="false">Inputs!$D$62-(A58-1)</f>
        <v>8</v>
      </c>
      <c r="AE58" s="0" t="n">
        <f aca="false">IF(AD58&lt;=0,0,IF(A58=1,Inputs!$B$62,AJ57))</f>
        <v>1703937.65148423</v>
      </c>
      <c r="AF58" s="0" t="n">
        <f aca="false">AE58*Inputs!$B$9</f>
        <v>4319.56478145924</v>
      </c>
      <c r="AG58" s="0" t="n">
        <f aca="false">(AE58-AF58)*Inputs!$C$62/12</f>
        <v>13172.0401719465</v>
      </c>
      <c r="AH58" s="0" t="n">
        <f aca="false">IF(AD58&lt;=0,0,IF(AD58=1,AE58-AF58,MIN((AE58-AF58)*(Inputs!$C$62/12)/(1-(1+Inputs!$C$62/12)^(-AD58))-AG58,AE58-AF58)))</f>
        <v>206756.222866088</v>
      </c>
      <c r="AI58" s="0" t="n">
        <f aca="false">(AE58-AF58-AH58)*Inputs!$B$10</f>
        <v>13050.0176227637</v>
      </c>
      <c r="AJ58" s="0" t="n">
        <f aca="false">AE58-AF58-AH58-AI58</f>
        <v>1479811.84621392</v>
      </c>
      <c r="AK58" s="0" t="n">
        <f aca="false">Inputs!$D$63-(A58-1)</f>
        <v>8</v>
      </c>
      <c r="AL58" s="0" t="n">
        <f aca="false">IF(AK58&lt;=0,0,IF(A58=1,Inputs!$B$63,AQ57))</f>
        <v>2045756.15410335</v>
      </c>
      <c r="AM58" s="0" t="n">
        <f aca="false">AL58*Inputs!$B$9</f>
        <v>5186.09130270756</v>
      </c>
      <c r="AN58" s="0" t="n">
        <f aca="false">(AL58-AM58)*Inputs!$C$63/12</f>
        <v>16239.5367497884</v>
      </c>
      <c r="AO58" s="0" t="n">
        <f aca="false">IF(AK58&lt;=0,0,IF(AK58=1,AL58-AM58,MIN((AL58-AM58)*(Inputs!$C$63/12)/(1-(1+Inputs!$C$63/12)^(-AK58))-AN58,AL58-AM58)))</f>
        <v>248050.932583035</v>
      </c>
      <c r="AP58" s="0" t="n">
        <f aca="false">(AL58-AM58-AO58)*Inputs!$B$10</f>
        <v>15669.5048652136</v>
      </c>
      <c r="AQ58" s="0" t="n">
        <f aca="false">AL58-AM58-AO58-AP58</f>
        <v>1776849.62535239</v>
      </c>
      <c r="AR58" s="0" t="n">
        <f aca="false">Inputs!$D$64-(A58-1)</f>
        <v>20</v>
      </c>
      <c r="AS58" s="0" t="n">
        <f aca="false">IF(AR58&lt;=0,0,IF(A58=1,Inputs!$B$64,AX57))</f>
        <v>6618606.25154413</v>
      </c>
      <c r="AT58" s="0" t="n">
        <f aca="false">AS58*Inputs!$B$9</f>
        <v>16778.4886035078</v>
      </c>
      <c r="AU58" s="0" t="n">
        <f aca="false">(AS58-AT58)*Inputs!$C$64/12</f>
        <v>53914.9267306818</v>
      </c>
      <c r="AV58" s="0" t="n">
        <f aca="false">IF(AR58&lt;=0,0,IF(AR58=1,AS58-AT58,MIN((AS58-AT58)*(Inputs!$C$64/12)/(1-(1+Inputs!$C$64/12)^(-AR58))-AU58,AS58-AT58)))</f>
        <v>305210.51042355</v>
      </c>
      <c r="AW58" s="0" t="n">
        <f aca="false">(AS58-AT58-AV58)*Inputs!$B$10</f>
        <v>55042.5783521356</v>
      </c>
      <c r="AX58" s="0" t="n">
        <f aca="false">AS58-AT58-AV58-AW58</f>
        <v>6241574.67416494</v>
      </c>
      <c r="AY58" s="0" t="n">
        <f aca="false">Inputs!$D$65-(A58-1)</f>
        <v>20</v>
      </c>
      <c r="AZ58" s="0" t="n">
        <f aca="false">IF(AY58&lt;=0,0,IF(A58=1,Inputs!$B$65,BE57))</f>
        <v>6908729.84654782</v>
      </c>
      <c r="BA58" s="0" t="n">
        <f aca="false">AZ58*Inputs!$B$9</f>
        <v>17513.9660208632</v>
      </c>
      <c r="BB58" s="0" t="n">
        <f aca="false">(AZ58-BA58)*Inputs!$C$65/12</f>
        <v>59149.602974523</v>
      </c>
      <c r="BC58" s="0" t="n">
        <f aca="false">IF(AY58&lt;=0,0,IF(AY58=1,AZ58-BA58,MIN((AZ58-BA58)*(Inputs!$C$65/12)/(1-(1+Inputs!$C$65/12)^(-AY58))-BB58,AZ58-BA58)))</f>
        <v>317304.77331256</v>
      </c>
      <c r="BD58" s="0" t="n">
        <f aca="false">(AZ58-BA58-BC58)*Inputs!$B$10</f>
        <v>57466.5733500278</v>
      </c>
      <c r="BE58" s="0" t="n">
        <f aca="false">AZ58-BA58-BC58-BD58</f>
        <v>6516444.53386437</v>
      </c>
      <c r="BF58" s="0" t="n">
        <f aca="false">Inputs!$D$66-(A58-1)</f>
        <v>32</v>
      </c>
      <c r="BG58" s="0" t="n">
        <f aca="false">IF(BF58&lt;=0,0,IF(A58=1,Inputs!$B$66,BL57))</f>
        <v>9403535.25861862</v>
      </c>
      <c r="BH58" s="0" t="n">
        <f aca="false">BG58*Inputs!$B$9</f>
        <v>23838.4190225256</v>
      </c>
      <c r="BI58" s="0" t="n">
        <f aca="false">(BG58-BH58)*Inputs!$C$66/12</f>
        <v>82463.1680481157</v>
      </c>
      <c r="BJ58" s="0" t="n">
        <f aca="false">IF(BF58&lt;=0,0,IF(BF58=1,BG58-BH58,MIN((BG58-BH58)*(Inputs!$C$66/12)/(1-(1+Inputs!$C$66/12)^(-BF58))-BI58,BG58-BH58)))</f>
        <v>255092.891328044</v>
      </c>
      <c r="BK58" s="0" t="n">
        <f aca="false">(BG58-BH58-BJ58)*Inputs!$B$10</f>
        <v>79763.737831449</v>
      </c>
      <c r="BL58" s="0" t="n">
        <f aca="false">BG58-BH58-BJ58-BK58</f>
        <v>9044840.2104366</v>
      </c>
      <c r="BM58" s="0" t="n">
        <f aca="false">Inputs!$D$67-(A58-1)</f>
        <v>32</v>
      </c>
      <c r="BN58" s="0" t="n">
        <f aca="false">IF(BM58&lt;=0,0,IF(A58=1,Inputs!$B$67,BS57))</f>
        <v>12431080.912977</v>
      </c>
      <c r="BO58" s="0" t="n">
        <f aca="false">BN58*Inputs!$B$9</f>
        <v>31513.394436934</v>
      </c>
      <c r="BP58" s="0" t="n">
        <f aca="false">(BN58-BO58)*Inputs!$C$67/12</f>
        <v>114179.350899889</v>
      </c>
      <c r="BQ58" s="0" t="n">
        <f aca="false">IF(BM58&lt;=0,0,IF(BM58=1,BN58-BO58,MIN((BN58-BO58)*(Inputs!$C$67/12)/(1-(1+Inputs!$C$67/12)^(-BM58))-BP58,BN58-BO58)))</f>
        <v>334965.049818</v>
      </c>
      <c r="BR58" s="0" t="n">
        <f aca="false">(BN58-BO58-BQ58)*Inputs!$B$10</f>
        <v>105464.061104642</v>
      </c>
      <c r="BS58" s="0" t="n">
        <f aca="false">BN58-BO58-BQ58-BR58</f>
        <v>11959138.4076174</v>
      </c>
      <c r="BT58" s="0" t="n">
        <f aca="false">C58+J58+Q58+X58+AE58+AL58+AS58+AZ58+BG58+BN58</f>
        <v>45079195.0555051</v>
      </c>
      <c r="BU58" s="0" t="n">
        <f aca="false">D58+K58+R58+Y58+AF58+AM58+AT58+BA58+BH58+BO58</f>
        <v>114277.950938332</v>
      </c>
      <c r="BV58" s="0" t="n">
        <f aca="false">E58+L58+S58+Z58+AG58+AN58+AU58+BB58+BI58+BP58</f>
        <v>382769.712566982</v>
      </c>
      <c r="BW58" s="0" t="n">
        <f aca="false">F58+M58+T58+AA58+AH58+AO58+AV58+BC58+BJ58+BQ58</f>
        <v>2392544.94119207</v>
      </c>
      <c r="BX58" s="0" t="n">
        <f aca="false">G58+N58+U58+AB58+AI58+AP58+AW58+BD58+BK58+BR58</f>
        <v>372151.114870782</v>
      </c>
      <c r="BY58" s="0" t="n">
        <f aca="false">H58+O58+V58+AC58+AJ58+AQ58+AX58+BE58+BL58+BS58</f>
        <v>42200221.0485039</v>
      </c>
      <c r="BZ58" s="0" t="n">
        <f aca="false">IF(A58&gt;Inputs!$B$7,(1-Inputs!$B$6)*INDEX($BU$6:$BU$125,A58-Inputs!$B$7),0)</f>
        <v>100396.663170918</v>
      </c>
      <c r="CA58" s="0" t="n">
        <f aca="false">CA57+(1-Inputs!$B$6)*BU58-BZ58</f>
        <v>481369.79459673</v>
      </c>
      <c r="CB58" s="0" t="n">
        <f aca="false">BY58+CA58</f>
        <v>42681590.8431006</v>
      </c>
      <c r="CC58" s="0" t="n">
        <f aca="false">BV58+BW58+BX58+BZ58</f>
        <v>3247862.43180075</v>
      </c>
      <c r="CD58" s="0" t="n">
        <f aca="false">CD57+BU58-BZ58</f>
        <v>10919387.4867668</v>
      </c>
    </row>
    <row r="59" customFormat="false" ht="15" hidden="false" customHeight="false" outlineLevel="0" collapsed="false">
      <c r="A59" s="0" t="n">
        <f aca="false">ROW()-5</f>
        <v>54</v>
      </c>
      <c r="B59" s="0" t="n">
        <f aca="false">Inputs!$D$58-(A59-1)</f>
        <v>-17</v>
      </c>
      <c r="C59" s="0" t="n">
        <f aca="false">IF(B59&lt;=0,0,IF(A59=1,Inputs!$B$58,H58))</f>
        <v>0</v>
      </c>
      <c r="D59" s="0" t="n">
        <f aca="false">C59*Inputs!$B$9</f>
        <v>0</v>
      </c>
      <c r="E59" s="0" t="n">
        <f aca="false">(C59-D59)*Inputs!$C$58/12</f>
        <v>0</v>
      </c>
      <c r="F59" s="0" t="n">
        <f aca="false">IF(B59&lt;=0,0,IF(B59=1,C59-D59,MIN((C59-D59)*(Inputs!$C$58/12)/(1-(1+Inputs!$C$58/12)^(-B59))-E59,C59-D59)))</f>
        <v>0</v>
      </c>
      <c r="G59" s="0" t="n">
        <f aca="false">(C59-D59-F59)*Inputs!$B$10</f>
        <v>0</v>
      </c>
      <c r="H59" s="0" t="n">
        <f aca="false">C59-D59-F59-G59</f>
        <v>0</v>
      </c>
      <c r="I59" s="0" t="n">
        <f aca="false">Inputs!$D$59-(A59-1)</f>
        <v>-5</v>
      </c>
      <c r="J59" s="0" t="n">
        <f aca="false">IF(I59&lt;=0,0,IF(A59=1,Inputs!$B$59,O58))</f>
        <v>0</v>
      </c>
      <c r="K59" s="0" t="n">
        <f aca="false">J59*Inputs!$B$9</f>
        <v>0</v>
      </c>
      <c r="L59" s="0" t="n">
        <f aca="false">(J59-K59)*Inputs!$C$59/12</f>
        <v>0</v>
      </c>
      <c r="M59" s="0" t="n">
        <f aca="false">IF(I59&lt;=0,0,IF(I59=1,J59-K59,MIN((J59-K59)*(Inputs!$C$59/12)/(1-(1+Inputs!$C$59/12)^(-I59))-L59,J59-K59)))</f>
        <v>0</v>
      </c>
      <c r="N59" s="0" t="n">
        <f aca="false">(J59-K59-M59)*Inputs!$B$10</f>
        <v>0</v>
      </c>
      <c r="O59" s="0" t="n">
        <f aca="false">J59-K59-M59-N59</f>
        <v>0</v>
      </c>
      <c r="P59" s="0" t="n">
        <f aca="false">Inputs!$D$60-(A59-1)</f>
        <v>-5</v>
      </c>
      <c r="Q59" s="0" t="n">
        <f aca="false">IF(P59&lt;=0,0,IF(A59=1,Inputs!$B$60,V58))</f>
        <v>0</v>
      </c>
      <c r="R59" s="0" t="n">
        <f aca="false">Q59*Inputs!$B$9</f>
        <v>0</v>
      </c>
      <c r="S59" s="0" t="n">
        <f aca="false">(Q59-R59)*Inputs!$C$60/12</f>
        <v>0</v>
      </c>
      <c r="T59" s="0" t="n">
        <f aca="false">IF(P59&lt;=0,0,IF(P59=1,Q59-R59,MIN((Q59-R59)*(Inputs!$C$60/12)/(1-(1+Inputs!$C$60/12)^(-P59))-S59,Q59-R59)))</f>
        <v>0</v>
      </c>
      <c r="U59" s="0" t="n">
        <f aca="false">(Q59-R59-T59)*Inputs!$B$10</f>
        <v>0</v>
      </c>
      <c r="V59" s="0" t="n">
        <f aca="false">Q59-R59-T59-U59</f>
        <v>0</v>
      </c>
      <c r="W59" s="0" t="n">
        <f aca="false">Inputs!$D$61-(A59-1)</f>
        <v>7</v>
      </c>
      <c r="X59" s="0" t="n">
        <f aca="false">IF(W59&lt;=0,0,IF(A59=1,Inputs!$B$61,AC58))</f>
        <v>5181561.75085428</v>
      </c>
      <c r="Y59" s="0" t="n">
        <f aca="false">X59*Inputs!$B$9</f>
        <v>13135.5109340123</v>
      </c>
      <c r="Z59" s="0" t="n">
        <f aca="false">(X59-Y59)*Inputs!$C$61/12</f>
        <v>37901.7924260819</v>
      </c>
      <c r="AA59" s="0" t="n">
        <f aca="false">IF(W59&lt;=0,0,IF(W59=1,X59-Y59,MIN((X59-Y59)*(Inputs!$C$61/12)/(1-(1+Inputs!$C$61/12)^(-W59))-Z59,X59-Y59)))</f>
        <v>722261.220363945</v>
      </c>
      <c r="AB59" s="0" t="n">
        <f aca="false">(X59-Y59-AA59)*Inputs!$B$10</f>
        <v>38866.6448413429</v>
      </c>
      <c r="AC59" s="0" t="n">
        <f aca="false">X59-Y59-AA59-AB59</f>
        <v>4407298.37471498</v>
      </c>
      <c r="AD59" s="0" t="n">
        <f aca="false">Inputs!$D$62-(A59-1)</f>
        <v>7</v>
      </c>
      <c r="AE59" s="0" t="n">
        <f aca="false">IF(AD59&lt;=0,0,IF(A59=1,Inputs!$B$62,AJ58))</f>
        <v>1479811.84621392</v>
      </c>
      <c r="AF59" s="0" t="n">
        <f aca="false">AE59*Inputs!$B$9</f>
        <v>3751.39496948371</v>
      </c>
      <c r="AG59" s="0" t="n">
        <f aca="false">(AE59-AF59)*Inputs!$C$62/12</f>
        <v>11439.4684971444</v>
      </c>
      <c r="AH59" s="0" t="n">
        <f aca="false">IF(AD59&lt;=0,0,IF(AD59=1,AE59-AF59,MIN((AE59-AF59)*(Inputs!$C$62/12)/(1-(1+Inputs!$C$62/12)^(-AD59))-AG59,AE59-AF59)))</f>
        <v>206013.612089312</v>
      </c>
      <c r="AI59" s="0" t="n">
        <f aca="false">(AE59-AF59-AH59)*Inputs!$B$10</f>
        <v>11102.2553621364</v>
      </c>
      <c r="AJ59" s="0" t="n">
        <f aca="false">AE59-AF59-AH59-AI59</f>
        <v>1258944.58379299</v>
      </c>
      <c r="AK59" s="0" t="n">
        <f aca="false">Inputs!$D$63-(A59-1)</f>
        <v>7</v>
      </c>
      <c r="AL59" s="0" t="n">
        <f aca="false">IF(AK59&lt;=0,0,IF(A59=1,Inputs!$B$63,AQ58))</f>
        <v>1776849.62535239</v>
      </c>
      <c r="AM59" s="0" t="n">
        <f aca="false">AL59*Inputs!$B$9</f>
        <v>4504.40017974581</v>
      </c>
      <c r="AN59" s="0" t="n">
        <f aca="false">(AL59-AM59)*Inputs!$C$63/12</f>
        <v>14104.9140836656</v>
      </c>
      <c r="AO59" s="0" t="n">
        <f aca="false">IF(AK59&lt;=0,0,IF(AK59=1,AL59-AM59,MIN((AL59-AM59)*(Inputs!$C$63/12)/(1-(1+Inputs!$C$63/12)^(-AK59))-AN59,AL59-AM59)))</f>
        <v>247211.098384108</v>
      </c>
      <c r="AP59" s="0" t="n">
        <f aca="false">(AL59-AM59-AO59)*Inputs!$B$10</f>
        <v>13332.1291901165</v>
      </c>
      <c r="AQ59" s="0" t="n">
        <f aca="false">AL59-AM59-AO59-AP59</f>
        <v>1511801.99759842</v>
      </c>
      <c r="AR59" s="0" t="n">
        <f aca="false">Inputs!$D$64-(A59-1)</f>
        <v>19</v>
      </c>
      <c r="AS59" s="0" t="n">
        <f aca="false">IF(AR59&lt;=0,0,IF(A59=1,Inputs!$B$64,AX58))</f>
        <v>6241574.67416494</v>
      </c>
      <c r="AT59" s="0" t="n">
        <f aca="false">AS59*Inputs!$B$9</f>
        <v>15822.6952259</v>
      </c>
      <c r="AU59" s="0" t="n">
        <f aca="false">(AS59-AT59)*Inputs!$C$64/12</f>
        <v>50843.6411613355</v>
      </c>
      <c r="AV59" s="0" t="n">
        <f aca="false">IF(AR59&lt;=0,0,IF(AR59=1,AS59-AT59,MIN((AS59-AT59)*(Inputs!$C$64/12)/(1-(1+Inputs!$C$64/12)^(-AR59))-AU59,AS59-AT59)))</f>
        <v>304240.019062181</v>
      </c>
      <c r="AW59" s="0" t="n">
        <f aca="false">(AS59-AT59-AV59)*Inputs!$B$10</f>
        <v>51763.5538168272</v>
      </c>
      <c r="AX59" s="0" t="n">
        <f aca="false">AS59-AT59-AV59-AW59</f>
        <v>5869748.40606003</v>
      </c>
      <c r="AY59" s="0" t="n">
        <f aca="false">Inputs!$D$65-(A59-1)</f>
        <v>19</v>
      </c>
      <c r="AZ59" s="0" t="n">
        <f aca="false">IF(AY59&lt;=0,0,IF(A59=1,Inputs!$B$65,BE58))</f>
        <v>6516444.53386437</v>
      </c>
      <c r="BA59" s="0" t="n">
        <f aca="false">AZ59*Inputs!$B$9</f>
        <v>16519.5036827165</v>
      </c>
      <c r="BB59" s="0" t="n">
        <f aca="false">(AZ59-BA59)*Inputs!$C$65/12</f>
        <v>55791.0231757258</v>
      </c>
      <c r="BC59" s="0" t="n">
        <f aca="false">IF(AY59&lt;=0,0,IF(AY59=1,AZ59-BA59,MIN((AZ59-BA59)*(Inputs!$C$65/12)/(1-(1+Inputs!$C$65/12)^(-AY59))-BB59,AZ59-BA59)))</f>
        <v>316426.547649731</v>
      </c>
      <c r="BD59" s="0" t="n">
        <f aca="false">(AZ59-BA59-BC59)*Inputs!$B$10</f>
        <v>54053.7380732516</v>
      </c>
      <c r="BE59" s="0" t="n">
        <f aca="false">AZ59-BA59-BC59-BD59</f>
        <v>6129444.74445867</v>
      </c>
      <c r="BF59" s="0" t="n">
        <f aca="false">Inputs!$D$66-(A59-1)</f>
        <v>31</v>
      </c>
      <c r="BG59" s="0" t="n">
        <f aca="false">IF(BF59&lt;=0,0,IF(A59=1,Inputs!$B$66,BL58))</f>
        <v>9044840.2104366</v>
      </c>
      <c r="BH59" s="0" t="n">
        <f aca="false">BG59*Inputs!$B$9</f>
        <v>22929.1096378416</v>
      </c>
      <c r="BI59" s="0" t="n">
        <f aca="false">(BG59-BH59)*Inputs!$C$66/12</f>
        <v>79317.6350945224</v>
      </c>
      <c r="BJ59" s="0" t="n">
        <f aca="false">IF(BF59&lt;=0,0,IF(BF59=1,BG59-BH59,MIN((BG59-BH59)*(Inputs!$C$66/12)/(1-(1+Inputs!$C$66/12)^(-BF59))-BI59,BG59-BH59)))</f>
        <v>254439.399895003</v>
      </c>
      <c r="BK59" s="0" t="n">
        <f aca="false">(BG59-BH59-BJ59)*Inputs!$B$10</f>
        <v>76641.8266656138</v>
      </c>
      <c r="BL59" s="0" t="n">
        <f aca="false">BG59-BH59-BJ59-BK59</f>
        <v>8690829.87423814</v>
      </c>
      <c r="BM59" s="0" t="n">
        <f aca="false">Inputs!$D$67-(A59-1)</f>
        <v>31</v>
      </c>
      <c r="BN59" s="0" t="n">
        <f aca="false">IF(BM59&lt;=0,0,IF(A59=1,Inputs!$B$67,BS58))</f>
        <v>11959138.4076174</v>
      </c>
      <c r="BO59" s="0" t="n">
        <f aca="false">BN59*Inputs!$B$9</f>
        <v>30316.9972429116</v>
      </c>
      <c r="BP59" s="0" t="n">
        <f aca="false">(BN59-BO59)*Inputs!$C$67/12</f>
        <v>109844.563820532</v>
      </c>
      <c r="BQ59" s="0" t="n">
        <f aca="false">IF(BM59&lt;=0,0,IF(BM59=1,BN59-BO59,MIN((BN59-BO59)*(Inputs!$C$67/12)/(1-(1+Inputs!$C$67/12)^(-BM59))-BP59,BN59-BO59)))</f>
        <v>334244.941616849</v>
      </c>
      <c r="BR59" s="0" t="n">
        <f aca="false">(BN59-BO59-BQ59)*Inputs!$B$10</f>
        <v>101355.276674361</v>
      </c>
      <c r="BS59" s="0" t="n">
        <f aca="false">BN59-BO59-BQ59-BR59</f>
        <v>11493221.1920833</v>
      </c>
      <c r="BT59" s="0" t="n">
        <f aca="false">C59+J59+Q59+X59+AE59+AL59+AS59+AZ59+BG59+BN59</f>
        <v>42200221.0485039</v>
      </c>
      <c r="BU59" s="0" t="n">
        <f aca="false">D59+K59+R59+Y59+AF59+AM59+AT59+BA59+BH59+BO59</f>
        <v>106979.611872612</v>
      </c>
      <c r="BV59" s="0" t="n">
        <f aca="false">E59+L59+S59+Z59+AG59+AN59+AU59+BB59+BI59+BP59</f>
        <v>359243.038259007</v>
      </c>
      <c r="BW59" s="0" t="n">
        <f aca="false">F59+M59+T59+AA59+AH59+AO59+AV59+BC59+BJ59+BQ59</f>
        <v>2384836.83906113</v>
      </c>
      <c r="BX59" s="0" t="n">
        <f aca="false">G59+N59+U59+AB59+AI59+AP59+AW59+BD59+BK59+BR59</f>
        <v>347115.424623649</v>
      </c>
      <c r="BY59" s="0" t="n">
        <f aca="false">H59+O59+V59+AC59+AJ59+AQ59+AX59+BE59+BL59+BS59</f>
        <v>39361289.1729465</v>
      </c>
      <c r="BZ59" s="0" t="n">
        <f aca="false">IF(A59&gt;Inputs!$B$7,(1-Inputs!$B$6)*INDEX($BU$6:$BU$125,A59-Inputs!$B$7),0)</f>
        <v>93501.9737937574</v>
      </c>
      <c r="CA59" s="0" t="n">
        <f aca="false">CA58+(1-Inputs!$B$6)*BU59-BZ59</f>
        <v>452055.587926539</v>
      </c>
      <c r="CB59" s="0" t="n">
        <f aca="false">BY59+CA59</f>
        <v>39813344.760873</v>
      </c>
      <c r="CC59" s="0" t="n">
        <f aca="false">BV59+BW59+BX59+BZ59</f>
        <v>3184697.27573754</v>
      </c>
      <c r="CD59" s="0" t="n">
        <f aca="false">CD58+BU59-BZ59</f>
        <v>10932865.1248457</v>
      </c>
    </row>
    <row r="60" customFormat="false" ht="15" hidden="false" customHeight="false" outlineLevel="0" collapsed="false">
      <c r="A60" s="0" t="n">
        <f aca="false">ROW()-5</f>
        <v>55</v>
      </c>
      <c r="B60" s="0" t="n">
        <f aca="false">Inputs!$D$58-(A60-1)</f>
        <v>-18</v>
      </c>
      <c r="C60" s="0" t="n">
        <f aca="false">IF(B60&lt;=0,0,IF(A60=1,Inputs!$B$58,H59))</f>
        <v>0</v>
      </c>
      <c r="D60" s="0" t="n">
        <f aca="false">C60*Inputs!$B$9</f>
        <v>0</v>
      </c>
      <c r="E60" s="0" t="n">
        <f aca="false">(C60-D60)*Inputs!$C$58/12</f>
        <v>0</v>
      </c>
      <c r="F60" s="0" t="n">
        <f aca="false">IF(B60&lt;=0,0,IF(B60=1,C60-D60,MIN((C60-D60)*(Inputs!$C$58/12)/(1-(1+Inputs!$C$58/12)^(-B60))-E60,C60-D60)))</f>
        <v>0</v>
      </c>
      <c r="G60" s="0" t="n">
        <f aca="false">(C60-D60-F60)*Inputs!$B$10</f>
        <v>0</v>
      </c>
      <c r="H60" s="0" t="n">
        <f aca="false">C60-D60-F60-G60</f>
        <v>0</v>
      </c>
      <c r="I60" s="0" t="n">
        <f aca="false">Inputs!$D$59-(A60-1)</f>
        <v>-6</v>
      </c>
      <c r="J60" s="0" t="n">
        <f aca="false">IF(I60&lt;=0,0,IF(A60=1,Inputs!$B$59,O59))</f>
        <v>0</v>
      </c>
      <c r="K60" s="0" t="n">
        <f aca="false">J60*Inputs!$B$9</f>
        <v>0</v>
      </c>
      <c r="L60" s="0" t="n">
        <f aca="false">(J60-K60)*Inputs!$C$59/12</f>
        <v>0</v>
      </c>
      <c r="M60" s="0" t="n">
        <f aca="false">IF(I60&lt;=0,0,IF(I60=1,J60-K60,MIN((J60-K60)*(Inputs!$C$59/12)/(1-(1+Inputs!$C$59/12)^(-I60))-L60,J60-K60)))</f>
        <v>0</v>
      </c>
      <c r="N60" s="0" t="n">
        <f aca="false">(J60-K60-M60)*Inputs!$B$10</f>
        <v>0</v>
      </c>
      <c r="O60" s="0" t="n">
        <f aca="false">J60-K60-M60-N60</f>
        <v>0</v>
      </c>
      <c r="P60" s="0" t="n">
        <f aca="false">Inputs!$D$60-(A60-1)</f>
        <v>-6</v>
      </c>
      <c r="Q60" s="0" t="n">
        <f aca="false">IF(P60&lt;=0,0,IF(A60=1,Inputs!$B$60,V59))</f>
        <v>0</v>
      </c>
      <c r="R60" s="0" t="n">
        <f aca="false">Q60*Inputs!$B$9</f>
        <v>0</v>
      </c>
      <c r="S60" s="0" t="n">
        <f aca="false">(Q60-R60)*Inputs!$C$60/12</f>
        <v>0</v>
      </c>
      <c r="T60" s="0" t="n">
        <f aca="false">IF(P60&lt;=0,0,IF(P60=1,Q60-R60,MIN((Q60-R60)*(Inputs!$C$60/12)/(1-(1+Inputs!$C$60/12)^(-P60))-S60,Q60-R60)))</f>
        <v>0</v>
      </c>
      <c r="U60" s="0" t="n">
        <f aca="false">(Q60-R60-T60)*Inputs!$B$10</f>
        <v>0</v>
      </c>
      <c r="V60" s="0" t="n">
        <f aca="false">Q60-R60-T60-U60</f>
        <v>0</v>
      </c>
      <c r="W60" s="0" t="n">
        <f aca="false">Inputs!$D$61-(A60-1)</f>
        <v>6</v>
      </c>
      <c r="X60" s="0" t="n">
        <f aca="false">IF(W60&lt;=0,0,IF(A60=1,Inputs!$B$61,AC59))</f>
        <v>4407298.37471498</v>
      </c>
      <c r="Y60" s="0" t="n">
        <f aca="false">X60*Inputs!$B$9</f>
        <v>11172.7156355859</v>
      </c>
      <c r="Z60" s="0" t="n">
        <f aca="false">(X60-Y60)*Inputs!$C$61/12</f>
        <v>32238.2548332489</v>
      </c>
      <c r="AA60" s="0" t="n">
        <f aca="false">IF(W60&lt;=0,0,IF(W60=1,X60-Y60,MIN((X60-Y60)*(Inputs!$C$61/12)/(1-(1+Inputs!$C$61/12)^(-W60))-Z60,X60-Y60)))</f>
        <v>719369.503968022</v>
      </c>
      <c r="AB60" s="0" t="n">
        <f aca="false">(X60-Y60-AA60)*Inputs!$B$10</f>
        <v>32140.7718832701</v>
      </c>
      <c r="AC60" s="0" t="n">
        <f aca="false">X60-Y60-AA60-AB60</f>
        <v>3644615.3832281</v>
      </c>
      <c r="AD60" s="0" t="n">
        <f aca="false">Inputs!$D$62-(A60-1)</f>
        <v>6</v>
      </c>
      <c r="AE60" s="0" t="n">
        <f aca="false">IF(AD60&lt;=0,0,IF(A60=1,Inputs!$B$62,AJ59))</f>
        <v>1258944.58379299</v>
      </c>
      <c r="AF60" s="0" t="n">
        <f aca="false">AE60*Inputs!$B$9</f>
        <v>3191.48572204162</v>
      </c>
      <c r="AG60" s="0" t="n">
        <f aca="false">(AE60-AF60)*Inputs!$C$62/12</f>
        <v>9732.08651004984</v>
      </c>
      <c r="AH60" s="0" t="n">
        <f aca="false">IF(AD60&lt;=0,0,IF(AD60=1,AE60-AF60,MIN((AE60-AF60)*(Inputs!$C$62/12)/(1-(1+Inputs!$C$62/12)^(-AD60))-AG60,AE60-AF60)))</f>
        <v>205273.66856365</v>
      </c>
      <c r="AI60" s="0" t="n">
        <f aca="false">(AE60-AF60-AH60)*Inputs!$B$10</f>
        <v>9182.88248866455</v>
      </c>
      <c r="AJ60" s="0" t="n">
        <f aca="false">AE60-AF60-AH60-AI60</f>
        <v>1041296.54701863</v>
      </c>
      <c r="AK60" s="0" t="n">
        <f aca="false">Inputs!$D$63-(A60-1)</f>
        <v>6</v>
      </c>
      <c r="AL60" s="0" t="n">
        <f aca="false">IF(AK60&lt;=0,0,IF(A60=1,Inputs!$B$63,AQ59))</f>
        <v>1511801.99759842</v>
      </c>
      <c r="AM60" s="0" t="n">
        <f aca="false">AL60*Inputs!$B$9</f>
        <v>3832.49155840741</v>
      </c>
      <c r="AN60" s="0" t="n">
        <f aca="false">(AL60-AM60)*Inputs!$C$63/12</f>
        <v>12000.9239855684</v>
      </c>
      <c r="AO60" s="0" t="n">
        <f aca="false">IF(AK60&lt;=0,0,IF(AK60=1,AL60-AM60,MIN((AL60-AM60)*(Inputs!$C$63/12)/(1-(1+Inputs!$C$63/12)^(-AK60))-AN60,AL60-AM60)))</f>
        <v>246374.107639444</v>
      </c>
      <c r="AP60" s="0" t="n">
        <f aca="false">(AL60-AM60-AO60)*Inputs!$B$10</f>
        <v>11028.3761550534</v>
      </c>
      <c r="AQ60" s="0" t="n">
        <f aca="false">AL60-AM60-AO60-AP60</f>
        <v>1250567.02224551</v>
      </c>
      <c r="AR60" s="0" t="n">
        <f aca="false">Inputs!$D$64-(A60-1)</f>
        <v>18</v>
      </c>
      <c r="AS60" s="0" t="n">
        <f aca="false">IF(AR60&lt;=0,0,IF(A60=1,Inputs!$B$64,AX59))</f>
        <v>5869748.40606003</v>
      </c>
      <c r="AT60" s="0" t="n">
        <f aca="false">AS60*Inputs!$B$9</f>
        <v>14880.0975603526</v>
      </c>
      <c r="AU60" s="0" t="n">
        <f aca="false">(AS60-AT60)*Inputs!$C$64/12</f>
        <v>47814.7578527474</v>
      </c>
      <c r="AV60" s="0" t="n">
        <f aca="false">IF(AR60&lt;=0,0,IF(AR60=1,AS60-AT60,MIN((AS60-AT60)*(Inputs!$C$64/12)/(1-(1+Inputs!$C$64/12)^(-AR60))-AU60,AS60-AT60)))</f>
        <v>303272.613615125</v>
      </c>
      <c r="AW60" s="0" t="n">
        <f aca="false">(AS60-AT60-AV60)*Inputs!$B$10</f>
        <v>48529.88974245</v>
      </c>
      <c r="AX60" s="0" t="n">
        <f aca="false">AS60-AT60-AV60-AW60</f>
        <v>5503065.80514211</v>
      </c>
      <c r="AY60" s="0" t="n">
        <f aca="false">Inputs!$D$65-(A60-1)</f>
        <v>18</v>
      </c>
      <c r="AZ60" s="0" t="n">
        <f aca="false">IF(AY60&lt;=0,0,IF(A60=1,Inputs!$B$65,BE59))</f>
        <v>6129444.74445867</v>
      </c>
      <c r="BA60" s="0" t="n">
        <f aca="false">AZ60*Inputs!$B$9</f>
        <v>15538.4404030285</v>
      </c>
      <c r="BB60" s="0" t="n">
        <f aca="false">(AZ60-BA60)*Inputs!$C$65/12</f>
        <v>52477.6957764776</v>
      </c>
      <c r="BC60" s="0" t="n">
        <f aca="false">IF(AY60&lt;=0,0,IF(AY60=1,AZ60-BA60,MIN((AZ60-BA60)*(Inputs!$C$65/12)/(1-(1+Inputs!$C$65/12)^(-AY60))-BB60,AZ60-BA60)))</f>
        <v>315550.752710861</v>
      </c>
      <c r="BD60" s="0" t="n">
        <f aca="false">(AZ60-BA60-BC60)*Inputs!$B$10</f>
        <v>50686.9684068621</v>
      </c>
      <c r="BE60" s="0" t="n">
        <f aca="false">AZ60-BA60-BC60-BD60</f>
        <v>5747668.58293792</v>
      </c>
      <c r="BF60" s="0" t="n">
        <f aca="false">Inputs!$D$66-(A60-1)</f>
        <v>30</v>
      </c>
      <c r="BG60" s="0" t="n">
        <f aca="false">IF(BF60&lt;=0,0,IF(A60=1,Inputs!$B$66,BL59))</f>
        <v>8690829.87423814</v>
      </c>
      <c r="BH60" s="0" t="n">
        <f aca="false">BG60*Inputs!$B$9</f>
        <v>22031.6762257779</v>
      </c>
      <c r="BI60" s="0" t="n">
        <f aca="false">(BG60-BH60)*Inputs!$C$66/12</f>
        <v>76213.1841575254</v>
      </c>
      <c r="BJ60" s="0" t="n">
        <f aca="false">IF(BF60&lt;=0,0,IF(BF60=1,BG60-BH60,MIN((BG60-BH60)*(Inputs!$C$66/12)/(1-(1+Inputs!$C$66/12)^(-BF60))-BI60,BG60-BH60)))</f>
        <v>253787.582562134</v>
      </c>
      <c r="BK60" s="0" t="n">
        <f aca="false">(BG60-BH60-BJ60)*Inputs!$B$10</f>
        <v>73560.7489799089</v>
      </c>
      <c r="BL60" s="0" t="n">
        <f aca="false">BG60-BH60-BJ60-BK60</f>
        <v>8341449.86647032</v>
      </c>
      <c r="BM60" s="0" t="n">
        <f aca="false">Inputs!$D$67-(A60-1)</f>
        <v>30</v>
      </c>
      <c r="BN60" s="0" t="n">
        <f aca="false">IF(BM60&lt;=0,0,IF(A60=1,Inputs!$B$67,BS59))</f>
        <v>11493221.1920833</v>
      </c>
      <c r="BO60" s="0" t="n">
        <f aca="false">BN60*Inputs!$B$9</f>
        <v>29135.8744515091</v>
      </c>
      <c r="BP60" s="0" t="n">
        <f aca="false">(BN60-BO60)*Inputs!$C$67/12</f>
        <v>105565.118966526</v>
      </c>
      <c r="BQ60" s="0" t="n">
        <f aca="false">IF(BM60&lt;=0,0,IF(BM60=1,BN60-BO60,MIN((BN60-BO60)*(Inputs!$C$67/12)/(1-(1+Inputs!$C$67/12)^(-BM60))-BP60,BN60-BO60)))</f>
        <v>333526.381505034</v>
      </c>
      <c r="BR60" s="0" t="n">
        <f aca="false">(BN60-BO60-BQ60)*Inputs!$B$10</f>
        <v>97299.0159279429</v>
      </c>
      <c r="BS60" s="0" t="n">
        <f aca="false">BN60-BO60-BQ60-BR60</f>
        <v>11033259.9201988</v>
      </c>
      <c r="BT60" s="0" t="n">
        <f aca="false">C60+J60+Q60+X60+AE60+AL60+AS60+AZ60+BG60+BN60</f>
        <v>39361289.1729465</v>
      </c>
      <c r="BU60" s="0" t="n">
        <f aca="false">D60+K60+R60+Y60+AF60+AM60+AT60+BA60+BH60+BO60</f>
        <v>99782.7815567031</v>
      </c>
      <c r="BV60" s="0" t="n">
        <f aca="false">E60+L60+S60+Z60+AG60+AN60+AU60+BB60+BI60+BP60</f>
        <v>336042.022082143</v>
      </c>
      <c r="BW60" s="0" t="n">
        <f aca="false">F60+M60+T60+AA60+AH60+AO60+AV60+BC60+BJ60+BQ60</f>
        <v>2377154.61056427</v>
      </c>
      <c r="BX60" s="0" t="n">
        <f aca="false">G60+N60+U60+AB60+AI60+AP60+AW60+BD60+BK60+BR60</f>
        <v>322428.653584152</v>
      </c>
      <c r="BY60" s="0" t="n">
        <f aca="false">H60+O60+V60+AC60+AJ60+AQ60+AX60+BE60+BL60+BS60</f>
        <v>36561923.1272414</v>
      </c>
      <c r="BZ60" s="0" t="n">
        <f aca="false">IF(A60&gt;Inputs!$B$7,(1-Inputs!$B$6)*INDEX($BU$6:$BU$125,A60-Inputs!$B$7),0)</f>
        <v>86706.6216513222</v>
      </c>
      <c r="CA60" s="0" t="n">
        <f aca="false">CA59+(1-Inputs!$B$6)*BU60-BZ60</f>
        <v>425218.635209239</v>
      </c>
      <c r="CB60" s="0" t="n">
        <f aca="false">BY60+CA60</f>
        <v>36987141.7624506</v>
      </c>
      <c r="CC60" s="0" t="n">
        <f aca="false">BV60+BW60+BX60+BZ60</f>
        <v>3122331.90788189</v>
      </c>
      <c r="CD60" s="0" t="n">
        <f aca="false">CD59+BU60-BZ60</f>
        <v>10945941.2847511</v>
      </c>
    </row>
    <row r="61" customFormat="false" ht="15" hidden="false" customHeight="false" outlineLevel="0" collapsed="false">
      <c r="A61" s="0" t="n">
        <f aca="false">ROW()-5</f>
        <v>56</v>
      </c>
      <c r="B61" s="0" t="n">
        <f aca="false">Inputs!$D$58-(A61-1)</f>
        <v>-19</v>
      </c>
      <c r="C61" s="0" t="n">
        <f aca="false">IF(B61&lt;=0,0,IF(A61=1,Inputs!$B$58,H60))</f>
        <v>0</v>
      </c>
      <c r="D61" s="0" t="n">
        <f aca="false">C61*Inputs!$B$9</f>
        <v>0</v>
      </c>
      <c r="E61" s="0" t="n">
        <f aca="false">(C61-D61)*Inputs!$C$58/12</f>
        <v>0</v>
      </c>
      <c r="F61" s="0" t="n">
        <f aca="false">IF(B61&lt;=0,0,IF(B61=1,C61-D61,MIN((C61-D61)*(Inputs!$C$58/12)/(1-(1+Inputs!$C$58/12)^(-B61))-E61,C61-D61)))</f>
        <v>0</v>
      </c>
      <c r="G61" s="0" t="n">
        <f aca="false">(C61-D61-F61)*Inputs!$B$10</f>
        <v>0</v>
      </c>
      <c r="H61" s="0" t="n">
        <f aca="false">C61-D61-F61-G61</f>
        <v>0</v>
      </c>
      <c r="I61" s="0" t="n">
        <f aca="false">Inputs!$D$59-(A61-1)</f>
        <v>-7</v>
      </c>
      <c r="J61" s="0" t="n">
        <f aca="false">IF(I61&lt;=0,0,IF(A61=1,Inputs!$B$59,O60))</f>
        <v>0</v>
      </c>
      <c r="K61" s="0" t="n">
        <f aca="false">J61*Inputs!$B$9</f>
        <v>0</v>
      </c>
      <c r="L61" s="0" t="n">
        <f aca="false">(J61-K61)*Inputs!$C$59/12</f>
        <v>0</v>
      </c>
      <c r="M61" s="0" t="n">
        <f aca="false">IF(I61&lt;=0,0,IF(I61=1,J61-K61,MIN((J61-K61)*(Inputs!$C$59/12)/(1-(1+Inputs!$C$59/12)^(-I61))-L61,J61-K61)))</f>
        <v>0</v>
      </c>
      <c r="N61" s="0" t="n">
        <f aca="false">(J61-K61-M61)*Inputs!$B$10</f>
        <v>0</v>
      </c>
      <c r="O61" s="0" t="n">
        <f aca="false">J61-K61-M61-N61</f>
        <v>0</v>
      </c>
      <c r="P61" s="0" t="n">
        <f aca="false">Inputs!$D$60-(A61-1)</f>
        <v>-7</v>
      </c>
      <c r="Q61" s="0" t="n">
        <f aca="false">IF(P61&lt;=0,0,IF(A61=1,Inputs!$B$60,V60))</f>
        <v>0</v>
      </c>
      <c r="R61" s="0" t="n">
        <f aca="false">Q61*Inputs!$B$9</f>
        <v>0</v>
      </c>
      <c r="S61" s="0" t="n">
        <f aca="false">(Q61-R61)*Inputs!$C$60/12</f>
        <v>0</v>
      </c>
      <c r="T61" s="0" t="n">
        <f aca="false">IF(P61&lt;=0,0,IF(P61=1,Q61-R61,MIN((Q61-R61)*(Inputs!$C$60/12)/(1-(1+Inputs!$C$60/12)^(-P61))-S61,Q61-R61)))</f>
        <v>0</v>
      </c>
      <c r="U61" s="0" t="n">
        <f aca="false">(Q61-R61-T61)*Inputs!$B$10</f>
        <v>0</v>
      </c>
      <c r="V61" s="0" t="n">
        <f aca="false">Q61-R61-T61-U61</f>
        <v>0</v>
      </c>
      <c r="W61" s="0" t="n">
        <f aca="false">Inputs!$D$61-(A61-1)</f>
        <v>5</v>
      </c>
      <c r="X61" s="0" t="n">
        <f aca="false">IF(W61&lt;=0,0,IF(A61=1,Inputs!$B$61,AC60))</f>
        <v>3644615.3832281</v>
      </c>
      <c r="Y61" s="0" t="n">
        <f aca="false">X61*Inputs!$B$9</f>
        <v>9239.27717522026</v>
      </c>
      <c r="Z61" s="0" t="n">
        <f aca="false">(X61-Y61)*Inputs!$C$61/12</f>
        <v>26659.4247777211</v>
      </c>
      <c r="AA61" s="0" t="n">
        <f aca="false">IF(W61&lt;=0,0,IF(W61=1,X61-Y61,MIN((X61-Y61)*(Inputs!$C$61/12)/(1-(1+Inputs!$C$61/12)^(-W61))-Z61,X61-Y61)))</f>
        <v>716489.365133623</v>
      </c>
      <c r="AB61" s="0" t="n">
        <f aca="false">(X61-Y61-AA61)*Inputs!$B$10</f>
        <v>25515.7723099388</v>
      </c>
      <c r="AC61" s="0" t="n">
        <f aca="false">X61-Y61-AA61-AB61</f>
        <v>2893370.96860932</v>
      </c>
      <c r="AD61" s="0" t="n">
        <f aca="false">Inputs!$D$62-(A61-1)</f>
        <v>5</v>
      </c>
      <c r="AE61" s="0" t="n">
        <f aca="false">IF(AD61&lt;=0,0,IF(A61=1,Inputs!$B$62,AJ60))</f>
        <v>1041296.54701863</v>
      </c>
      <c r="AF61" s="0" t="n">
        <f aca="false">AE61*Inputs!$B$9</f>
        <v>2639.73736811251</v>
      </c>
      <c r="AG61" s="0" t="n">
        <f aca="false">(AE61-AF61)*Inputs!$C$62/12</f>
        <v>8049.59027479153</v>
      </c>
      <c r="AH61" s="0" t="n">
        <f aca="false">IF(AD61&lt;=0,0,IF(AD61=1,AE61-AF61,MIN((AE61-AF61)*(Inputs!$C$62/12)/(1-(1+Inputs!$C$62/12)^(-AD61))-AG61,AE61-AF61)))</f>
        <v>204536.382709079</v>
      </c>
      <c r="AI61" s="0" t="n">
        <f aca="false">(AE61-AF61-AH61)*Inputs!$B$10</f>
        <v>7291.5562616876</v>
      </c>
      <c r="AJ61" s="0" t="n">
        <f aca="false">AE61-AF61-AH61-AI61</f>
        <v>826828.870679753</v>
      </c>
      <c r="AK61" s="0" t="n">
        <f aca="false">Inputs!$D$63-(A61-1)</f>
        <v>5</v>
      </c>
      <c r="AL61" s="0" t="n">
        <f aca="false">IF(AK61&lt;=0,0,IF(A61=1,Inputs!$B$63,AQ60))</f>
        <v>1250567.02224551</v>
      </c>
      <c r="AM61" s="0" t="n">
        <f aca="false">AL61*Inputs!$B$9</f>
        <v>3170.24819625336</v>
      </c>
      <c r="AN61" s="0" t="n">
        <f aca="false">(AL61-AM61)*Inputs!$C$63/12</f>
        <v>9927.1993268087</v>
      </c>
      <c r="AO61" s="0" t="n">
        <f aca="false">IF(AK61&lt;=0,0,IF(AK61=1,AL61-AM61,MIN((AL61-AM61)*(Inputs!$C$63/12)/(1-(1+Inputs!$C$63/12)^(-AK61))-AN61,AL61-AM61)))</f>
        <v>245539.950721867</v>
      </c>
      <c r="AP61" s="0" t="n">
        <f aca="false">(AL61-AM61-AO61)*Inputs!$B$10</f>
        <v>8757.84258183641</v>
      </c>
      <c r="AQ61" s="0" t="n">
        <f aca="false">AL61-AM61-AO61-AP61</f>
        <v>993098.980745558</v>
      </c>
      <c r="AR61" s="0" t="n">
        <f aca="false">Inputs!$D$64-(A61-1)</f>
        <v>17</v>
      </c>
      <c r="AS61" s="0" t="n">
        <f aca="false">IF(AR61&lt;=0,0,IF(A61=1,Inputs!$B$64,AX60))</f>
        <v>5503065.80514211</v>
      </c>
      <c r="AT61" s="0" t="n">
        <f aca="false">AS61*Inputs!$B$9</f>
        <v>13950.5393411776</v>
      </c>
      <c r="AU61" s="0" t="n">
        <f aca="false">(AS61-AT61)*Inputs!$C$64/12</f>
        <v>44827.7746707076</v>
      </c>
      <c r="AV61" s="0" t="n">
        <f aca="false">IF(AR61&lt;=0,0,IF(AR61=1,AS61-AT61,MIN((AS61-AT61)*(Inputs!$C$64/12)/(1-(1+Inputs!$C$64/12)^(-AR61))-AU61,AS61-AT61)))</f>
        <v>302308.284269963</v>
      </c>
      <c r="AW61" s="0" t="n">
        <f aca="false">(AS61-AT61-AV61)*Inputs!$B$10</f>
        <v>45341.0487296485</v>
      </c>
      <c r="AX61" s="0" t="n">
        <f aca="false">AS61-AT61-AV61-AW61</f>
        <v>5141465.93280132</v>
      </c>
      <c r="AY61" s="0" t="n">
        <f aca="false">Inputs!$D$65-(A61-1)</f>
        <v>17</v>
      </c>
      <c r="AZ61" s="0" t="n">
        <f aca="false">IF(AY61&lt;=0,0,IF(A61=1,Inputs!$B$65,BE60))</f>
        <v>5747668.58293792</v>
      </c>
      <c r="BA61" s="0" t="n">
        <f aca="false">AZ61*Inputs!$B$9</f>
        <v>14570.6192739694</v>
      </c>
      <c r="BB61" s="0" t="n">
        <f aca="false">(AZ61-BA61)*Inputs!$C$65/12</f>
        <v>49209.0908547822</v>
      </c>
      <c r="BC61" s="0" t="n">
        <f aca="false">IF(AY61&lt;=0,0,IF(AY61=1,AZ61-BA61,MIN((AZ61-BA61)*(Inputs!$C$65/12)/(1-(1+Inputs!$C$65/12)^(-AY61))-BB61,AZ61-BA61)))</f>
        <v>314677.381768274</v>
      </c>
      <c r="BD61" s="0" t="n">
        <f aca="false">(AZ61-BA61-BC61)*Inputs!$B$10</f>
        <v>47365.7247158534</v>
      </c>
      <c r="BE61" s="0" t="n">
        <f aca="false">AZ61-BA61-BC61-BD61</f>
        <v>5371054.85717982</v>
      </c>
      <c r="BF61" s="0" t="n">
        <f aca="false">Inputs!$D$66-(A61-1)</f>
        <v>29</v>
      </c>
      <c r="BG61" s="0" t="n">
        <f aca="false">IF(BF61&lt;=0,0,IF(A61=1,Inputs!$B$66,BL60))</f>
        <v>8341449.86647032</v>
      </c>
      <c r="BH61" s="0" t="n">
        <f aca="false">BG61*Inputs!$B$9</f>
        <v>21145.9809213838</v>
      </c>
      <c r="BI61" s="0" t="n">
        <f aca="false">(BG61-BH61)*Inputs!$C$66/12</f>
        <v>73149.3383271177</v>
      </c>
      <c r="BJ61" s="0" t="n">
        <f aca="false">IF(BF61&lt;=0,0,IF(BF61=1,BG61-BH61,MIN((BG61-BH61)*(Inputs!$C$66/12)/(1-(1+Inputs!$C$66/12)^(-BF61))-BI61,BG61-BH61)))</f>
        <v>253137.435040762</v>
      </c>
      <c r="BK61" s="0" t="n">
        <f aca="false">(BG61-BH61-BJ61)*Inputs!$B$10</f>
        <v>70520.0306171241</v>
      </c>
      <c r="BL61" s="0" t="n">
        <f aca="false">BG61-BH61-BJ61-BK61</f>
        <v>7996646.41989105</v>
      </c>
      <c r="BM61" s="0" t="n">
        <f aca="false">Inputs!$D$67-(A61-1)</f>
        <v>29</v>
      </c>
      <c r="BN61" s="0" t="n">
        <f aca="false">IF(BM61&lt;=0,0,IF(A61=1,Inputs!$B$67,BS60))</f>
        <v>11033259.9201988</v>
      </c>
      <c r="BO61" s="0" t="n">
        <f aca="false">BN61*Inputs!$B$9</f>
        <v>27969.8502667998</v>
      </c>
      <c r="BP61" s="0" t="n">
        <f aca="false">(BN61-BO61)*Inputs!$C$67/12</f>
        <v>101340.379393957</v>
      </c>
      <c r="BQ61" s="0" t="n">
        <f aca="false">IF(BM61&lt;=0,0,IF(BM61=1,BN61-BO61,MIN((BN61-BO61)*(Inputs!$C$67/12)/(1-(1+Inputs!$C$67/12)^(-BM61))-BP61,BN61-BO61)))</f>
        <v>332809.36615447</v>
      </c>
      <c r="BR61" s="0" t="n">
        <f aca="false">(BN61-BO61-BQ61)*Inputs!$B$10</f>
        <v>93294.6742339309</v>
      </c>
      <c r="BS61" s="0" t="n">
        <f aca="false">BN61-BO61-BQ61-BR61</f>
        <v>10579186.0295436</v>
      </c>
      <c r="BT61" s="0" t="n">
        <f aca="false">C61+J61+Q61+X61+AE61+AL61+AS61+AZ61+BG61+BN61</f>
        <v>36561923.1272414</v>
      </c>
      <c r="BU61" s="0" t="n">
        <f aca="false">D61+K61+R61+Y61+AF61+AM61+AT61+BA61+BH61+BO61</f>
        <v>92686.2525429168</v>
      </c>
      <c r="BV61" s="0" t="n">
        <f aca="false">E61+L61+S61+Z61+AG61+AN61+AU61+BB61+BI61+BP61</f>
        <v>313162.797625886</v>
      </c>
      <c r="BW61" s="0" t="n">
        <f aca="false">F61+M61+T61+AA61+AH61+AO61+AV61+BC61+BJ61+BQ61</f>
        <v>2369498.16579804</v>
      </c>
      <c r="BX61" s="0" t="n">
        <f aca="false">G61+N61+U61+AB61+AI61+AP61+AW61+BD61+BK61+BR61</f>
        <v>298086.64945002</v>
      </c>
      <c r="BY61" s="0" t="n">
        <f aca="false">H61+O61+V61+AC61+AJ61+AQ61+AX61+BE61+BL61+BS61</f>
        <v>33801652.0594504</v>
      </c>
      <c r="BZ61" s="0" t="n">
        <f aca="false">IF(A61&gt;Inputs!$B$7,(1-Inputs!$B$6)*INDEX($BU$6:$BU$125,A61-Inputs!$B$7),0)</f>
        <v>82076.5834022671</v>
      </c>
      <c r="CA61" s="0" t="n">
        <f aca="false">CA60+(1-Inputs!$B$6)*BU61-BZ61</f>
        <v>398753.803332722</v>
      </c>
      <c r="CB61" s="0" t="n">
        <f aca="false">BY61+CA61</f>
        <v>34200405.8627831</v>
      </c>
      <c r="CC61" s="0" t="n">
        <f aca="false">BV61+BW61+BX61+BZ61</f>
        <v>3062824.19627621</v>
      </c>
      <c r="CD61" s="0" t="n">
        <f aca="false">CD60+BU61-BZ61</f>
        <v>10956550.9538917</v>
      </c>
    </row>
    <row r="62" customFormat="false" ht="15" hidden="false" customHeight="false" outlineLevel="0" collapsed="false">
      <c r="A62" s="0" t="n">
        <f aca="false">ROW()-5</f>
        <v>57</v>
      </c>
      <c r="B62" s="0" t="n">
        <f aca="false">Inputs!$D$58-(A62-1)</f>
        <v>-20</v>
      </c>
      <c r="C62" s="0" t="n">
        <f aca="false">IF(B62&lt;=0,0,IF(A62=1,Inputs!$B$58,H61))</f>
        <v>0</v>
      </c>
      <c r="D62" s="0" t="n">
        <f aca="false">C62*Inputs!$B$9</f>
        <v>0</v>
      </c>
      <c r="E62" s="0" t="n">
        <f aca="false">(C62-D62)*Inputs!$C$58/12</f>
        <v>0</v>
      </c>
      <c r="F62" s="0" t="n">
        <f aca="false">IF(B62&lt;=0,0,IF(B62=1,C62-D62,MIN((C62-D62)*(Inputs!$C$58/12)/(1-(1+Inputs!$C$58/12)^(-B62))-E62,C62-D62)))</f>
        <v>0</v>
      </c>
      <c r="G62" s="0" t="n">
        <f aca="false">(C62-D62-F62)*Inputs!$B$10</f>
        <v>0</v>
      </c>
      <c r="H62" s="0" t="n">
        <f aca="false">C62-D62-F62-G62</f>
        <v>0</v>
      </c>
      <c r="I62" s="0" t="n">
        <f aca="false">Inputs!$D$59-(A62-1)</f>
        <v>-8</v>
      </c>
      <c r="J62" s="0" t="n">
        <f aca="false">IF(I62&lt;=0,0,IF(A62=1,Inputs!$B$59,O61))</f>
        <v>0</v>
      </c>
      <c r="K62" s="0" t="n">
        <f aca="false">J62*Inputs!$B$9</f>
        <v>0</v>
      </c>
      <c r="L62" s="0" t="n">
        <f aca="false">(J62-K62)*Inputs!$C$59/12</f>
        <v>0</v>
      </c>
      <c r="M62" s="0" t="n">
        <f aca="false">IF(I62&lt;=0,0,IF(I62=1,J62-K62,MIN((J62-K62)*(Inputs!$C$59/12)/(1-(1+Inputs!$C$59/12)^(-I62))-L62,J62-K62)))</f>
        <v>0</v>
      </c>
      <c r="N62" s="0" t="n">
        <f aca="false">(J62-K62-M62)*Inputs!$B$10</f>
        <v>0</v>
      </c>
      <c r="O62" s="0" t="n">
        <f aca="false">J62-K62-M62-N62</f>
        <v>0</v>
      </c>
      <c r="P62" s="0" t="n">
        <f aca="false">Inputs!$D$60-(A62-1)</f>
        <v>-8</v>
      </c>
      <c r="Q62" s="0" t="n">
        <f aca="false">IF(P62&lt;=0,0,IF(A62=1,Inputs!$B$60,V61))</f>
        <v>0</v>
      </c>
      <c r="R62" s="0" t="n">
        <f aca="false">Q62*Inputs!$B$9</f>
        <v>0</v>
      </c>
      <c r="S62" s="0" t="n">
        <f aca="false">(Q62-R62)*Inputs!$C$60/12</f>
        <v>0</v>
      </c>
      <c r="T62" s="0" t="n">
        <f aca="false">IF(P62&lt;=0,0,IF(P62=1,Q62-R62,MIN((Q62-R62)*(Inputs!$C$60/12)/(1-(1+Inputs!$C$60/12)^(-P62))-S62,Q62-R62)))</f>
        <v>0</v>
      </c>
      <c r="U62" s="0" t="n">
        <f aca="false">(Q62-R62-T62)*Inputs!$B$10</f>
        <v>0</v>
      </c>
      <c r="V62" s="0" t="n">
        <f aca="false">Q62-R62-T62-U62</f>
        <v>0</v>
      </c>
      <c r="W62" s="0" t="n">
        <f aca="false">Inputs!$D$61-(A62-1)</f>
        <v>4</v>
      </c>
      <c r="X62" s="0" t="n">
        <f aca="false">IF(W62&lt;=0,0,IF(A62=1,Inputs!$B$61,AC61))</f>
        <v>2893370.96860932</v>
      </c>
      <c r="Y62" s="0" t="n">
        <f aca="false">X62*Inputs!$B$9</f>
        <v>7334.83606328836</v>
      </c>
      <c r="Z62" s="0" t="n">
        <f aca="false">(X62-Y62)*Inputs!$C$61/12</f>
        <v>21164.2649720042</v>
      </c>
      <c r="AA62" s="0" t="n">
        <f aca="false">IF(W62&lt;=0,0,IF(W62=1,X62-Y62,MIN((X62-Y62)*(Inputs!$C$61/12)/(1-(1+Inputs!$C$61/12)^(-W62))-Z62,X62-Y62)))</f>
        <v>713620.757507679</v>
      </c>
      <c r="AB62" s="0" t="n">
        <f aca="false">(X62-Y62-AA62)*Inputs!$B$10</f>
        <v>18990.4100405868</v>
      </c>
      <c r="AC62" s="0" t="n">
        <f aca="false">X62-Y62-AA62-AB62</f>
        <v>2153424.96499776</v>
      </c>
      <c r="AD62" s="0" t="n">
        <f aca="false">Inputs!$D$62-(A62-1)</f>
        <v>4</v>
      </c>
      <c r="AE62" s="0" t="n">
        <f aca="false">IF(AD62&lt;=0,0,IF(A62=1,Inputs!$B$62,AJ61))</f>
        <v>826828.870679753</v>
      </c>
      <c r="AF62" s="0" t="n">
        <f aca="false">AE62*Inputs!$B$9</f>
        <v>2096.05138249686</v>
      </c>
      <c r="AG62" s="0" t="n">
        <f aca="false">(AE62-AF62)*Inputs!$C$62/12</f>
        <v>6391.67934955374</v>
      </c>
      <c r="AH62" s="0" t="n">
        <f aca="false">IF(AD62&lt;=0,0,IF(AD62=1,AE62-AF62,MIN((AE62-AF62)*(Inputs!$C$62/12)/(1-(1+Inputs!$C$62/12)^(-AD62))-AG62,AE62-AF62)))</f>
        <v>203801.744979984</v>
      </c>
      <c r="AI62" s="0" t="n">
        <f aca="false">(AE62-AF62-AH62)*Inputs!$B$10</f>
        <v>5427.93788136347</v>
      </c>
      <c r="AJ62" s="0" t="n">
        <f aca="false">AE62-AF62-AH62-AI62</f>
        <v>615503.136435909</v>
      </c>
      <c r="AK62" s="0" t="n">
        <f aca="false">Inputs!$D$63-(A62-1)</f>
        <v>4</v>
      </c>
      <c r="AL62" s="0" t="n">
        <f aca="false">IF(AK62&lt;=0,0,IF(A62=1,Inputs!$B$63,AQ61))</f>
        <v>993098.980745558</v>
      </c>
      <c r="AM62" s="0" t="n">
        <f aca="false">AL62*Inputs!$B$9</f>
        <v>2517.55419454165</v>
      </c>
      <c r="AN62" s="0" t="n">
        <f aca="false">(AL62-AM62)*Inputs!$C$63/12</f>
        <v>7883.37718630184</v>
      </c>
      <c r="AO62" s="0" t="n">
        <f aca="false">IF(AK62&lt;=0,0,IF(AK62=1,AL62-AM62,MIN((AL62-AM62)*(Inputs!$C$63/12)/(1-(1+Inputs!$C$63/12)^(-AK62))-AN62,AL62-AM62)))</f>
        <v>244708.618036794</v>
      </c>
      <c r="AP62" s="0" t="n">
        <f aca="false">(AL62-AM62-AO62)*Inputs!$B$10</f>
        <v>6520.12991371834</v>
      </c>
      <c r="AQ62" s="0" t="n">
        <f aca="false">AL62-AM62-AO62-AP62</f>
        <v>739352.678600504</v>
      </c>
      <c r="AR62" s="0" t="n">
        <f aca="false">Inputs!$D$64-(A62-1)</f>
        <v>16</v>
      </c>
      <c r="AS62" s="0" t="n">
        <f aca="false">IF(AR62&lt;=0,0,IF(A62=1,Inputs!$B$64,AX61))</f>
        <v>5141465.93280132</v>
      </c>
      <c r="AT62" s="0" t="n">
        <f aca="false">AS62*Inputs!$B$9</f>
        <v>13033.8660860365</v>
      </c>
      <c r="AU62" s="0" t="n">
        <f aca="false">(AS62-AT62)*Inputs!$C$64/12</f>
        <v>41882.1952115081</v>
      </c>
      <c r="AV62" s="0" t="n">
        <f aca="false">IF(AR62&lt;=0,0,IF(AR62=1,AS62-AT62,MIN((AS62-AT62)*(Inputs!$C$64/12)/(1-(1+Inputs!$C$64/12)^(-AR62))-AU62,AS62-AT62)))</f>
        <v>301347.021245478</v>
      </c>
      <c r="AW62" s="0" t="n">
        <f aca="false">(AS62-AT62-AV62)*Inputs!$B$10</f>
        <v>42196.4995127315</v>
      </c>
      <c r="AX62" s="0" t="n">
        <f aca="false">AS62-AT62-AV62-AW62</f>
        <v>4784888.54595707</v>
      </c>
      <c r="AY62" s="0" t="n">
        <f aca="false">Inputs!$D$65-(A62-1)</f>
        <v>16</v>
      </c>
      <c r="AZ62" s="0" t="n">
        <f aca="false">IF(AY62&lt;=0,0,IF(A62=1,Inputs!$B$65,BE61))</f>
        <v>5371054.85717982</v>
      </c>
      <c r="BA62" s="0" t="n">
        <f aca="false">AZ62*Inputs!$B$9</f>
        <v>13615.8851705345</v>
      </c>
      <c r="BB62" s="0" t="n">
        <f aca="false">(AZ62-BA62)*Inputs!$C$65/12</f>
        <v>45984.6845097464</v>
      </c>
      <c r="BC62" s="0" t="n">
        <f aca="false">IF(AY62&lt;=0,0,IF(AY62=1,AZ62-BA62,MIN((AZ62-BA62)*(Inputs!$C$65/12)/(1-(1+Inputs!$C$65/12)^(-AY62))-BB62,AZ62-BA62)))</f>
        <v>313806.428112911</v>
      </c>
      <c r="BD62" s="0" t="n">
        <f aca="false">(AZ62-BA62-BC62)*Inputs!$B$10</f>
        <v>44089.4734971894</v>
      </c>
      <c r="BE62" s="0" t="n">
        <f aca="false">AZ62-BA62-BC62-BD62</f>
        <v>4999543.07039918</v>
      </c>
      <c r="BF62" s="0" t="n">
        <f aca="false">Inputs!$D$66-(A62-1)</f>
        <v>28</v>
      </c>
      <c r="BG62" s="0" t="n">
        <f aca="false">IF(BF62&lt;=0,0,IF(A62=1,Inputs!$B$66,BL61))</f>
        <v>7996646.41989105</v>
      </c>
      <c r="BH62" s="0" t="n">
        <f aca="false">BG62*Inputs!$B$9</f>
        <v>20271.8874220869</v>
      </c>
      <c r="BI62" s="0" t="n">
        <f aca="false">(BG62-BH62)*Inputs!$C$66/12</f>
        <v>70125.6260979563</v>
      </c>
      <c r="BJ62" s="0" t="n">
        <f aca="false">IF(BF62&lt;=0,0,IF(BF62=1,BG62-BH62,MIN((BG62-BH62)*(Inputs!$C$66/12)/(1-(1+Inputs!$C$66/12)^(-BF62))-BI62,BG62-BH62)))</f>
        <v>252488.9530532</v>
      </c>
      <c r="BK62" s="0" t="n">
        <f aca="false">(BG62-BH62-BJ62)*Inputs!$B$10</f>
        <v>67519.2027938449</v>
      </c>
      <c r="BL62" s="0" t="n">
        <f aca="false">BG62-BH62-BJ62-BK62</f>
        <v>7656366.37662192</v>
      </c>
      <c r="BM62" s="0" t="n">
        <f aca="false">Inputs!$D$67-(A62-1)</f>
        <v>28</v>
      </c>
      <c r="BN62" s="0" t="n">
        <f aca="false">IF(BM62&lt;=0,0,IF(A62=1,Inputs!$B$67,BS61))</f>
        <v>10579186.0295436</v>
      </c>
      <c r="BO62" s="0" t="n">
        <f aca="false">BN62*Inputs!$B$9</f>
        <v>26818.7508797149</v>
      </c>
      <c r="BP62" s="0" t="n">
        <f aca="false">(BN62-BO62)*Inputs!$C$67/12</f>
        <v>97169.7153576965</v>
      </c>
      <c r="BQ62" s="0" t="n">
        <f aca="false">IF(BM62&lt;=0,0,IF(BM62=1,BN62-BO62,MIN((BN62-BO62)*(Inputs!$C$67/12)/(1-(1+Inputs!$C$67/12)^(-BM62))-BP62,BN62-BO62)))</f>
        <v>332093.892244228</v>
      </c>
      <c r="BR62" s="0" t="n">
        <f aca="false">(BN62-BO62-BQ62)*Inputs!$B$10</f>
        <v>89341.6537947213</v>
      </c>
      <c r="BS62" s="0" t="n">
        <f aca="false">BN62-BO62-BQ62-BR62</f>
        <v>10130931.7326249</v>
      </c>
      <c r="BT62" s="0" t="n">
        <f aca="false">C62+J62+Q62+X62+AE62+AL62+AS62+AZ62+BG62+BN62</f>
        <v>33801652.0594504</v>
      </c>
      <c r="BU62" s="0" t="n">
        <f aca="false">D62+K62+R62+Y62+AF62+AM62+AT62+BA62+BH62+BO62</f>
        <v>85688.8311986998</v>
      </c>
      <c r="BV62" s="0" t="n">
        <f aca="false">E62+L62+S62+Z62+AG62+AN62+AU62+BB62+BI62+BP62</f>
        <v>290601.542684767</v>
      </c>
      <c r="BW62" s="0" t="n">
        <f aca="false">F62+M62+T62+AA62+AH62+AO62+AV62+BC62+BJ62+BQ62</f>
        <v>2361867.41518027</v>
      </c>
      <c r="BX62" s="0" t="n">
        <f aca="false">G62+N62+U62+AB62+AI62+AP62+AW62+BD62+BK62+BR62</f>
        <v>274085.307434156</v>
      </c>
      <c r="BY62" s="0" t="n">
        <f aca="false">H62+O62+V62+AC62+AJ62+AQ62+AX62+BE62+BL62+BS62</f>
        <v>31080010.5056373</v>
      </c>
      <c r="BZ62" s="0" t="n">
        <f aca="false">IF(A62&gt;Inputs!$B$7,(1-Inputs!$B$6)*INDEX($BU$6:$BU$125,A62-Inputs!$B$7),0)</f>
        <v>77510.4330815276</v>
      </c>
      <c r="CA62" s="0" t="n">
        <f aca="false">CA61+(1-Inputs!$B$6)*BU62-BZ62</f>
        <v>372656.668970414</v>
      </c>
      <c r="CB62" s="0" t="n">
        <f aca="false">BY62+CA62</f>
        <v>31452667.1746077</v>
      </c>
      <c r="CC62" s="0" t="n">
        <f aca="false">BV62+BW62+BX62+BZ62</f>
        <v>3004064.69838072</v>
      </c>
      <c r="CD62" s="0" t="n">
        <f aca="false">CD61+BU62-BZ62</f>
        <v>10964729.3520089</v>
      </c>
    </row>
    <row r="63" customFormat="false" ht="15" hidden="false" customHeight="false" outlineLevel="0" collapsed="false">
      <c r="A63" s="0" t="n">
        <f aca="false">ROW()-5</f>
        <v>58</v>
      </c>
      <c r="B63" s="0" t="n">
        <f aca="false">Inputs!$D$58-(A63-1)</f>
        <v>-21</v>
      </c>
      <c r="C63" s="0" t="n">
        <f aca="false">IF(B63&lt;=0,0,IF(A63=1,Inputs!$B$58,H62))</f>
        <v>0</v>
      </c>
      <c r="D63" s="0" t="n">
        <f aca="false">C63*Inputs!$B$9</f>
        <v>0</v>
      </c>
      <c r="E63" s="0" t="n">
        <f aca="false">(C63-D63)*Inputs!$C$58/12</f>
        <v>0</v>
      </c>
      <c r="F63" s="0" t="n">
        <f aca="false">IF(B63&lt;=0,0,IF(B63=1,C63-D63,MIN((C63-D63)*(Inputs!$C$58/12)/(1-(1+Inputs!$C$58/12)^(-B63))-E63,C63-D63)))</f>
        <v>0</v>
      </c>
      <c r="G63" s="0" t="n">
        <f aca="false">(C63-D63-F63)*Inputs!$B$10</f>
        <v>0</v>
      </c>
      <c r="H63" s="0" t="n">
        <f aca="false">C63-D63-F63-G63</f>
        <v>0</v>
      </c>
      <c r="I63" s="0" t="n">
        <f aca="false">Inputs!$D$59-(A63-1)</f>
        <v>-9</v>
      </c>
      <c r="J63" s="0" t="n">
        <f aca="false">IF(I63&lt;=0,0,IF(A63=1,Inputs!$B$59,O62))</f>
        <v>0</v>
      </c>
      <c r="K63" s="0" t="n">
        <f aca="false">J63*Inputs!$B$9</f>
        <v>0</v>
      </c>
      <c r="L63" s="0" t="n">
        <f aca="false">(J63-K63)*Inputs!$C$59/12</f>
        <v>0</v>
      </c>
      <c r="M63" s="0" t="n">
        <f aca="false">IF(I63&lt;=0,0,IF(I63=1,J63-K63,MIN((J63-K63)*(Inputs!$C$59/12)/(1-(1+Inputs!$C$59/12)^(-I63))-L63,J63-K63)))</f>
        <v>0</v>
      </c>
      <c r="N63" s="0" t="n">
        <f aca="false">(J63-K63-M63)*Inputs!$B$10</f>
        <v>0</v>
      </c>
      <c r="O63" s="0" t="n">
        <f aca="false">J63-K63-M63-N63</f>
        <v>0</v>
      </c>
      <c r="P63" s="0" t="n">
        <f aca="false">Inputs!$D$60-(A63-1)</f>
        <v>-9</v>
      </c>
      <c r="Q63" s="0" t="n">
        <f aca="false">IF(P63&lt;=0,0,IF(A63=1,Inputs!$B$60,V62))</f>
        <v>0</v>
      </c>
      <c r="R63" s="0" t="n">
        <f aca="false">Q63*Inputs!$B$9</f>
        <v>0</v>
      </c>
      <c r="S63" s="0" t="n">
        <f aca="false">(Q63-R63)*Inputs!$C$60/12</f>
        <v>0</v>
      </c>
      <c r="T63" s="0" t="n">
        <f aca="false">IF(P63&lt;=0,0,IF(P63=1,Q63-R63,MIN((Q63-R63)*(Inputs!$C$60/12)/(1-(1+Inputs!$C$60/12)^(-P63))-S63,Q63-R63)))</f>
        <v>0</v>
      </c>
      <c r="U63" s="0" t="n">
        <f aca="false">(Q63-R63-T63)*Inputs!$B$10</f>
        <v>0</v>
      </c>
      <c r="V63" s="0" t="n">
        <f aca="false">Q63-R63-T63-U63</f>
        <v>0</v>
      </c>
      <c r="W63" s="0" t="n">
        <f aca="false">Inputs!$D$61-(A63-1)</f>
        <v>3</v>
      </c>
      <c r="X63" s="0" t="n">
        <f aca="false">IF(W63&lt;=0,0,IF(A63=1,Inputs!$B$61,AC62))</f>
        <v>2153424.96499776</v>
      </c>
      <c r="Y63" s="0" t="n">
        <f aca="false">X63*Inputs!$B$9</f>
        <v>5459.0369725189</v>
      </c>
      <c r="Z63" s="0" t="n">
        <f aca="false">(X63-Y63)*Inputs!$C$61/12</f>
        <v>15751.7501388518</v>
      </c>
      <c r="AA63" s="0" t="n">
        <f aca="false">IF(W63&lt;=0,0,IF(W63=1,X63-Y63,MIN((X63-Y63)*(Inputs!$C$61/12)/(1-(1+Inputs!$C$61/12)^(-W63))-Z63,X63-Y63)))</f>
        <v>710763.634922704</v>
      </c>
      <c r="AB63" s="0" t="n">
        <f aca="false">(X63-Y63-AA63)*Inputs!$B$10</f>
        <v>12563.4633095004</v>
      </c>
      <c r="AC63" s="0" t="n">
        <f aca="false">X63-Y63-AA63-AB63</f>
        <v>1424638.82979304</v>
      </c>
      <c r="AD63" s="0" t="n">
        <f aca="false">Inputs!$D$62-(A63-1)</f>
        <v>3</v>
      </c>
      <c r="AE63" s="0" t="n">
        <f aca="false">IF(AD63&lt;=0,0,IF(A63=1,Inputs!$B$62,AJ62))</f>
        <v>615503.136435909</v>
      </c>
      <c r="AF63" s="0" t="n">
        <f aca="false">AE63*Inputs!$B$9</f>
        <v>1560.33037283399</v>
      </c>
      <c r="AG63" s="0" t="n">
        <f aca="false">(AE63-AF63)*Inputs!$C$62/12</f>
        <v>4758.05674698883</v>
      </c>
      <c r="AH63" s="0" t="n">
        <f aca="false">IF(AD63&lt;=0,0,IF(AD63=1,AE63-AF63,MIN((AE63-AF63)*(Inputs!$C$62/12)/(1-(1+Inputs!$C$62/12)^(-AD63))-AG63,AE63-AF63)))</f>
        <v>203069.745865036</v>
      </c>
      <c r="AI63" s="0" t="n">
        <f aca="false">(AE63-AF63-AH63)*Inputs!$B$10</f>
        <v>3591.69244401695</v>
      </c>
      <c r="AJ63" s="0" t="n">
        <f aca="false">AE63-AF63-AH63-AI63</f>
        <v>407281.367754022</v>
      </c>
      <c r="AK63" s="0" t="n">
        <f aca="false">Inputs!$D$63-(A63-1)</f>
        <v>3</v>
      </c>
      <c r="AL63" s="0" t="n">
        <f aca="false">IF(AK63&lt;=0,0,IF(A63=1,Inputs!$B$63,AQ62))</f>
        <v>739352.678600504</v>
      </c>
      <c r="AM63" s="0" t="n">
        <f aca="false">AL63*Inputs!$B$9</f>
        <v>1874.29498302265</v>
      </c>
      <c r="AN63" s="0" t="n">
        <f aca="false">(AL63-AM63)*Inputs!$C$63/12</f>
        <v>5869.09880295579</v>
      </c>
      <c r="AO63" s="0" t="n">
        <f aca="false">IF(AK63&lt;=0,0,IF(AK63=1,AL63-AM63,MIN((AL63-AM63)*(Inputs!$C$63/12)/(1-(1+Inputs!$C$63/12)^(-AK63))-AN63,AL63-AM63)))</f>
        <v>243880.100022129</v>
      </c>
      <c r="AP63" s="0" t="n">
        <f aca="false">(AL63-AM63-AO63)*Inputs!$B$10</f>
        <v>4314.84416309663</v>
      </c>
      <c r="AQ63" s="0" t="n">
        <f aca="false">AL63-AM63-AO63-AP63</f>
        <v>489283.439432256</v>
      </c>
      <c r="AR63" s="0" t="n">
        <f aca="false">Inputs!$D$64-(A63-1)</f>
        <v>15</v>
      </c>
      <c r="AS63" s="0" t="n">
        <f aca="false">IF(AR63&lt;=0,0,IF(A63=1,Inputs!$B$64,AX62))</f>
        <v>4784888.54595707</v>
      </c>
      <c r="AT63" s="0" t="n">
        <f aca="false">AS63*Inputs!$B$9</f>
        <v>12129.9250757915</v>
      </c>
      <c r="AU63" s="0" t="n">
        <f aca="false">(AS63-AT63)*Inputs!$C$64/12</f>
        <v>38977.5287371971</v>
      </c>
      <c r="AV63" s="0" t="n">
        <f aca="false">IF(AR63&lt;=0,0,IF(AR63=1,AS63-AT63,MIN((AS63-AT63)*(Inputs!$C$64/12)/(1-(1+Inputs!$C$64/12)^(-AR63))-AU63,AS63-AT63)))</f>
        <v>300388.814791555</v>
      </c>
      <c r="AW63" s="0" t="n">
        <f aca="false">(AS63-AT63-AV63)*Inputs!$B$10</f>
        <v>39095.7168903688</v>
      </c>
      <c r="AX63" s="0" t="n">
        <f aca="false">AS63-AT63-AV63-AW63</f>
        <v>4433274.08919936</v>
      </c>
      <c r="AY63" s="0" t="n">
        <f aca="false">Inputs!$D$65-(A63-1)</f>
        <v>15</v>
      </c>
      <c r="AZ63" s="0" t="n">
        <f aca="false">IF(AY63&lt;=0,0,IF(A63=1,Inputs!$B$65,BE62))</f>
        <v>4999543.07039918</v>
      </c>
      <c r="BA63" s="0" t="n">
        <f aca="false">AZ63*Inputs!$B$9</f>
        <v>12674.0847304323</v>
      </c>
      <c r="BB63" s="0" t="n">
        <f aca="false">(AZ63-BA63)*Inputs!$C$65/12</f>
        <v>42803.9587936568</v>
      </c>
      <c r="BC63" s="0" t="n">
        <f aca="false">IF(AY63&lt;=0,0,IF(AY63=1,AZ63-BA63,MIN((AZ63-BA63)*(Inputs!$C$65/12)/(1-(1+Inputs!$C$65/12)^(-AY63))-BB63,AZ63-BA63)))</f>
        <v>312937.885054286</v>
      </c>
      <c r="BD63" s="0" t="n">
        <f aca="false">(AZ63-BA63-BC63)*Inputs!$B$10</f>
        <v>40857.6873106291</v>
      </c>
      <c r="BE63" s="0" t="n">
        <f aca="false">AZ63-BA63-BC63-BD63</f>
        <v>4633073.41330384</v>
      </c>
      <c r="BF63" s="0" t="n">
        <f aca="false">Inputs!$D$66-(A63-1)</f>
        <v>27</v>
      </c>
      <c r="BG63" s="0" t="n">
        <f aca="false">IF(BF63&lt;=0,0,IF(A63=1,Inputs!$B$66,BL62))</f>
        <v>7656366.37662192</v>
      </c>
      <c r="BH63" s="0" t="n">
        <f aca="false">BG63*Inputs!$B$9</f>
        <v>19409.2609700812</v>
      </c>
      <c r="BI63" s="0" t="n">
        <f aca="false">(BG63-BH63)*Inputs!$C$66/12</f>
        <v>67141.5813084391</v>
      </c>
      <c r="BJ63" s="0" t="n">
        <f aca="false">IF(BF63&lt;=0,0,IF(BF63=1,BG63-BH63,MIN((BG63-BH63)*(Inputs!$C$66/12)/(1-(1+Inputs!$C$66/12)^(-BF63))-BI63,BG63-BH63)))</f>
        <v>251842.132332722</v>
      </c>
      <c r="BK63" s="0" t="n">
        <f aca="false">(BG63-BH63-BJ63)*Inputs!$B$10</f>
        <v>64557.8020398773</v>
      </c>
      <c r="BL63" s="0" t="n">
        <f aca="false">BG63-BH63-BJ63-BK63</f>
        <v>7320557.18127924</v>
      </c>
      <c r="BM63" s="0" t="n">
        <f aca="false">Inputs!$D$67-(A63-1)</f>
        <v>27</v>
      </c>
      <c r="BN63" s="0" t="n">
        <f aca="false">IF(BM63&lt;=0,0,IF(A63=1,Inputs!$B$67,BS62))</f>
        <v>10130931.7326249</v>
      </c>
      <c r="BO63" s="0" t="n">
        <f aca="false">BN63*Inputs!$B$9</f>
        <v>25682.4044456649</v>
      </c>
      <c r="BP63" s="0" t="n">
        <f aca="false">(BN63-BO63)*Inputs!$C$67/12</f>
        <v>93052.5042303173</v>
      </c>
      <c r="BQ63" s="0" t="n">
        <f aca="false">IF(BM63&lt;=0,0,IF(BM63=1,BN63-BO63,MIN((BN63-BO63)*(Inputs!$C$67/12)/(1-(1+Inputs!$C$67/12)^(-BM63))-BP63,BN63-BO63)))</f>
        <v>331379.956460519</v>
      </c>
      <c r="BR63" s="0" t="n">
        <f aca="false">(BN63-BO63-BQ63)*Inputs!$B$10</f>
        <v>85439.3635695913</v>
      </c>
      <c r="BS63" s="0" t="n">
        <f aca="false">BN63-BO63-BQ63-BR63</f>
        <v>9688430.00814915</v>
      </c>
      <c r="BT63" s="0" t="n">
        <f aca="false">C63+J63+Q63+X63+AE63+AL63+AS63+AZ63+BG63+BN63</f>
        <v>31080010.5056373</v>
      </c>
      <c r="BU63" s="0" t="n">
        <f aca="false">D63+K63+R63+Y63+AF63+AM63+AT63+BA63+BH63+BO63</f>
        <v>78789.3375503455</v>
      </c>
      <c r="BV63" s="0" t="n">
        <f aca="false">E63+L63+S63+Z63+AG63+AN63+AU63+BB63+BI63+BP63</f>
        <v>268354.478758407</v>
      </c>
      <c r="BW63" s="0" t="n">
        <f aca="false">F63+M63+T63+AA63+AH63+AO63+AV63+BC63+BJ63+BQ63</f>
        <v>2354262.26944895</v>
      </c>
      <c r="BX63" s="0" t="n">
        <f aca="false">G63+N63+U63+AB63+AI63+AP63+AW63+BD63+BK63+BR63</f>
        <v>250420.56972708</v>
      </c>
      <c r="BY63" s="0" t="n">
        <f aca="false">H63+O63+V63+AC63+AJ63+AQ63+AX63+BE63+BL63+BS63</f>
        <v>28396538.3289109</v>
      </c>
      <c r="BZ63" s="0" t="n">
        <f aca="false">IF(A63&gt;Inputs!$B$7,(1-Inputs!$B$6)*INDEX($BU$6:$BU$125,A63-Inputs!$B$7),0)</f>
        <v>73007.4121048567</v>
      </c>
      <c r="CA63" s="0" t="n">
        <f aca="false">CA62+(1-Inputs!$B$6)*BU63-BZ63</f>
        <v>346922.859395765</v>
      </c>
      <c r="CB63" s="0" t="n">
        <f aca="false">BY63+CA63</f>
        <v>28743461.1883067</v>
      </c>
      <c r="CC63" s="0" t="n">
        <f aca="false">BV63+BW63+BX63+BZ63</f>
        <v>2946044.73003929</v>
      </c>
      <c r="CD63" s="0" t="n">
        <f aca="false">CD62+BU63-BZ63</f>
        <v>10970511.2774544</v>
      </c>
    </row>
    <row r="64" customFormat="false" ht="15" hidden="false" customHeight="false" outlineLevel="0" collapsed="false">
      <c r="A64" s="0" t="n">
        <f aca="false">ROW()-5</f>
        <v>59</v>
      </c>
      <c r="B64" s="0" t="n">
        <f aca="false">Inputs!$D$58-(A64-1)</f>
        <v>-22</v>
      </c>
      <c r="C64" s="0" t="n">
        <f aca="false">IF(B64&lt;=0,0,IF(A64=1,Inputs!$B$58,H63))</f>
        <v>0</v>
      </c>
      <c r="D64" s="0" t="n">
        <f aca="false">C64*Inputs!$B$9</f>
        <v>0</v>
      </c>
      <c r="E64" s="0" t="n">
        <f aca="false">(C64-D64)*Inputs!$C$58/12</f>
        <v>0</v>
      </c>
      <c r="F64" s="0" t="n">
        <f aca="false">IF(B64&lt;=0,0,IF(B64=1,C64-D64,MIN((C64-D64)*(Inputs!$C$58/12)/(1-(1+Inputs!$C$58/12)^(-B64))-E64,C64-D64)))</f>
        <v>0</v>
      </c>
      <c r="G64" s="0" t="n">
        <f aca="false">(C64-D64-F64)*Inputs!$B$10</f>
        <v>0</v>
      </c>
      <c r="H64" s="0" t="n">
        <f aca="false">C64-D64-F64-G64</f>
        <v>0</v>
      </c>
      <c r="I64" s="0" t="n">
        <f aca="false">Inputs!$D$59-(A64-1)</f>
        <v>-10</v>
      </c>
      <c r="J64" s="0" t="n">
        <f aca="false">IF(I64&lt;=0,0,IF(A64=1,Inputs!$B$59,O63))</f>
        <v>0</v>
      </c>
      <c r="K64" s="0" t="n">
        <f aca="false">J64*Inputs!$B$9</f>
        <v>0</v>
      </c>
      <c r="L64" s="0" t="n">
        <f aca="false">(J64-K64)*Inputs!$C$59/12</f>
        <v>0</v>
      </c>
      <c r="M64" s="0" t="n">
        <f aca="false">IF(I64&lt;=0,0,IF(I64=1,J64-K64,MIN((J64-K64)*(Inputs!$C$59/12)/(1-(1+Inputs!$C$59/12)^(-I64))-L64,J64-K64)))</f>
        <v>0</v>
      </c>
      <c r="N64" s="0" t="n">
        <f aca="false">(J64-K64-M64)*Inputs!$B$10</f>
        <v>0</v>
      </c>
      <c r="O64" s="0" t="n">
        <f aca="false">J64-K64-M64-N64</f>
        <v>0</v>
      </c>
      <c r="P64" s="0" t="n">
        <f aca="false">Inputs!$D$60-(A64-1)</f>
        <v>-10</v>
      </c>
      <c r="Q64" s="0" t="n">
        <f aca="false">IF(P64&lt;=0,0,IF(A64=1,Inputs!$B$60,V63))</f>
        <v>0</v>
      </c>
      <c r="R64" s="0" t="n">
        <f aca="false">Q64*Inputs!$B$9</f>
        <v>0</v>
      </c>
      <c r="S64" s="0" t="n">
        <f aca="false">(Q64-R64)*Inputs!$C$60/12</f>
        <v>0</v>
      </c>
      <c r="T64" s="0" t="n">
        <f aca="false">IF(P64&lt;=0,0,IF(P64=1,Q64-R64,MIN((Q64-R64)*(Inputs!$C$60/12)/(1-(1+Inputs!$C$60/12)^(-P64))-S64,Q64-R64)))</f>
        <v>0</v>
      </c>
      <c r="U64" s="0" t="n">
        <f aca="false">(Q64-R64-T64)*Inputs!$B$10</f>
        <v>0</v>
      </c>
      <c r="V64" s="0" t="n">
        <f aca="false">Q64-R64-T64-U64</f>
        <v>0</v>
      </c>
      <c r="W64" s="0" t="n">
        <f aca="false">Inputs!$D$61-(A64-1)</f>
        <v>2</v>
      </c>
      <c r="X64" s="0" t="n">
        <f aca="false">IF(W64&lt;=0,0,IF(A64=1,Inputs!$B$61,AC63))</f>
        <v>1424638.82979304</v>
      </c>
      <c r="Y64" s="0" t="n">
        <f aca="false">X64*Inputs!$B$9</f>
        <v>3611.52869068477</v>
      </c>
      <c r="Z64" s="0" t="n">
        <f aca="false">(X64-Y64)*Inputs!$C$61/12</f>
        <v>10420.8668747506</v>
      </c>
      <c r="AA64" s="0" t="n">
        <f aca="false">IF(W64&lt;=0,0,IF(W64=1,X64-Y64,MIN((X64-Y64)*(Inputs!$C$61/12)/(1-(1+Inputs!$C$61/12)^(-W64))-Z64,X64-Y64)))</f>
        <v>707917.951396052</v>
      </c>
      <c r="AB64" s="0" t="n">
        <f aca="false">(X64-Y64-AA64)*Inputs!$B$10</f>
        <v>6233.72450328927</v>
      </c>
      <c r="AC64" s="0" t="n">
        <f aca="false">X64-Y64-AA64-AB64</f>
        <v>706875.625203013</v>
      </c>
      <c r="AD64" s="0" t="n">
        <f aca="false">Inputs!$D$62-(A64-1)</f>
        <v>2</v>
      </c>
      <c r="AE64" s="0" t="n">
        <f aca="false">IF(AD64&lt;=0,0,IF(A64=1,Inputs!$B$62,AJ63))</f>
        <v>407281.367754022</v>
      </c>
      <c r="AF64" s="0" t="n">
        <f aca="false">AE64*Inputs!$B$9</f>
        <v>1032.47806676634</v>
      </c>
      <c r="AG64" s="0" t="n">
        <f aca="false">(AE64-AF64)*Inputs!$C$62/12</f>
        <v>3148.42889507623</v>
      </c>
      <c r="AH64" s="0" t="n">
        <f aca="false">IF(AD64&lt;=0,0,IF(AD64=1,AE64-AF64,MIN((AE64-AF64)*(Inputs!$C$62/12)/(1-(1+Inputs!$C$62/12)^(-AD64))-AG64,AE64-AF64)))</f>
        <v>202340.375887067</v>
      </c>
      <c r="AI64" s="0" t="n">
        <f aca="false">(AE64-AF64-AH64)*Inputs!$B$10</f>
        <v>1782.48889799166</v>
      </c>
      <c r="AJ64" s="0" t="n">
        <f aca="false">AE64-AF64-AH64-AI64</f>
        <v>202126.024902197</v>
      </c>
      <c r="AK64" s="0" t="n">
        <f aca="false">Inputs!$D$63-(A64-1)</f>
        <v>2</v>
      </c>
      <c r="AL64" s="0" t="n">
        <f aca="false">IF(AK64&lt;=0,0,IF(A64=1,Inputs!$B$63,AQ63))</f>
        <v>489283.439432256</v>
      </c>
      <c r="AM64" s="0" t="n">
        <f aca="false">AL64*Inputs!$B$9</f>
        <v>1240.35730490599</v>
      </c>
      <c r="AN64" s="0" t="n">
        <f aca="false">(AL64-AM64)*Inputs!$C$63/12</f>
        <v>3884.00952859683</v>
      </c>
      <c r="AO64" s="0" t="n">
        <f aca="false">IF(AK64&lt;=0,0,IF(AK64=1,AL64-AM64,MIN((AL64-AM64)*(Inputs!$C$63/12)/(1-(1+Inputs!$C$63/12)^(-AK64))-AN64,AL64-AM64)))</f>
        <v>243054.387148149</v>
      </c>
      <c r="AP64" s="0" t="n">
        <f aca="false">(AL64-AM64-AO64)*Inputs!$B$10</f>
        <v>2141.59585980704</v>
      </c>
      <c r="AQ64" s="0" t="n">
        <f aca="false">AL64-AM64-AO64-AP64</f>
        <v>242847.099119394</v>
      </c>
      <c r="AR64" s="0" t="n">
        <f aca="false">Inputs!$D$64-(A64-1)</f>
        <v>14</v>
      </c>
      <c r="AS64" s="0" t="n">
        <f aca="false">IF(AR64&lt;=0,0,IF(A64=1,Inputs!$B$64,AX63))</f>
        <v>4433274.08919936</v>
      </c>
      <c r="AT64" s="0" t="n">
        <f aca="false">AS64*Inputs!$B$9</f>
        <v>11238.5653345829</v>
      </c>
      <c r="AU64" s="0" t="n">
        <f aca="false">(AS64-AT64)*Inputs!$C$64/12</f>
        <v>36113.2901115623</v>
      </c>
      <c r="AV64" s="0" t="n">
        <f aca="false">IF(AR64&lt;=0,0,IF(AR64=1,AS64-AT64,MIN((AS64-AT64)*(Inputs!$C$64/12)/(1-(1+Inputs!$C$64/12)^(-AR64))-AU64,AS64-AT64)))</f>
        <v>299433.655189081</v>
      </c>
      <c r="AW64" s="0" t="n">
        <f aca="false">(AS64-AT64-AV64)*Inputs!$B$10</f>
        <v>36038.1816570686</v>
      </c>
      <c r="AX64" s="0" t="n">
        <f aca="false">AS64-AT64-AV64-AW64</f>
        <v>4086563.68701862</v>
      </c>
      <c r="AY64" s="0" t="n">
        <f aca="false">Inputs!$D$65-(A64-1)</f>
        <v>14</v>
      </c>
      <c r="AZ64" s="0" t="n">
        <f aca="false">IF(AY64&lt;=0,0,IF(A64=1,Inputs!$B$65,BE63))</f>
        <v>4633073.41330384</v>
      </c>
      <c r="BA64" s="0" t="n">
        <f aca="false">AZ64*Inputs!$B$9</f>
        <v>11745.0663341995</v>
      </c>
      <c r="BB64" s="0" t="n">
        <f aca="false">(AZ64-BA64)*Inputs!$C$65/12</f>
        <v>39666.4016448227</v>
      </c>
      <c r="BC64" s="0" t="n">
        <f aca="false">IF(AY64&lt;=0,0,IF(AY64=1,AZ64-BA64,MIN((AZ64-BA64)*(Inputs!$C$65/12)/(1-(1+Inputs!$C$65/12)^(-AY64))-BB64,AZ64-BA64)))</f>
        <v>312071.745920427</v>
      </c>
      <c r="BD64" s="0" t="n">
        <f aca="false">(AZ64-BA64-BC64)*Inputs!$B$10</f>
        <v>37669.8447103309</v>
      </c>
      <c r="BE64" s="0" t="n">
        <f aca="false">AZ64-BA64-BC64-BD64</f>
        <v>4271586.75633888</v>
      </c>
      <c r="BF64" s="0" t="n">
        <f aca="false">Inputs!$D$66-(A64-1)</f>
        <v>26</v>
      </c>
      <c r="BG64" s="0" t="n">
        <f aca="false">IF(BF64&lt;=0,0,IF(A64=1,Inputs!$B$66,BL63))</f>
        <v>7320557.18127924</v>
      </c>
      <c r="BH64" s="0" t="n">
        <f aca="false">BG64*Inputs!$B$9</f>
        <v>18557.9683349141</v>
      </c>
      <c r="BI64" s="0" t="n">
        <f aca="false">(BG64-BH64)*Inputs!$C$66/12</f>
        <v>64196.7430804689</v>
      </c>
      <c r="BJ64" s="0" t="n">
        <f aca="false">IF(BF64&lt;=0,0,IF(BF64=1,BG64-BH64,MIN((BG64-BH64)*(Inputs!$C$66/12)/(1-(1+Inputs!$C$66/12)^(-BF64))-BI64,BG64-BH64)))</f>
        <v>251196.968623528</v>
      </c>
      <c r="BK64" s="0" t="n">
        <f aca="false">(BG64-BH64-BJ64)*Inputs!$B$10</f>
        <v>61635.3701383549</v>
      </c>
      <c r="BL64" s="0" t="n">
        <f aca="false">BG64-BH64-BJ64-BK64</f>
        <v>6989166.87418244</v>
      </c>
      <c r="BM64" s="0" t="n">
        <f aca="false">Inputs!$D$67-(A64-1)</f>
        <v>26</v>
      </c>
      <c r="BN64" s="0" t="n">
        <f aca="false">IF(BM64&lt;=0,0,IF(A64=1,Inputs!$B$67,BS63))</f>
        <v>9688430.00814915</v>
      </c>
      <c r="BO64" s="0" t="n">
        <f aca="false">BN64*Inputs!$B$9</f>
        <v>24560.6410624123</v>
      </c>
      <c r="BP64" s="0" t="n">
        <f aca="false">(BN64-BO64)*Inputs!$C$67/12</f>
        <v>88988.1304219237</v>
      </c>
      <c r="BQ64" s="0" t="n">
        <f aca="false">IF(BM64&lt;=0,0,IF(BM64=1,BN64-BO64,MIN((BN64-BO64)*(Inputs!$C$67/12)/(1-(1+Inputs!$C$67/12)^(-BM64))-BP64,BN64-BO64)))</f>
        <v>330667.555496676</v>
      </c>
      <c r="BR64" s="0" t="n">
        <f aca="false">(BN64-BO64-BQ64)*Inputs!$B$10</f>
        <v>81587.2191985909</v>
      </c>
      <c r="BS64" s="0" t="n">
        <f aca="false">BN64-BO64-BQ64-BR64</f>
        <v>9251614.59239147</v>
      </c>
      <c r="BT64" s="0" t="n">
        <f aca="false">C64+J64+Q64+X64+AE64+AL64+AS64+AZ64+BG64+BN64</f>
        <v>28396538.3289109</v>
      </c>
      <c r="BU64" s="0" t="n">
        <f aca="false">D64+K64+R64+Y64+AF64+AM64+AT64+BA64+BH64+BO64</f>
        <v>71986.6051284659</v>
      </c>
      <c r="BV64" s="0" t="n">
        <f aca="false">E64+L64+S64+Z64+AG64+AN64+AU64+BB64+BI64+BP64</f>
        <v>246417.870557201</v>
      </c>
      <c r="BW64" s="0" t="n">
        <f aca="false">F64+M64+T64+AA64+AH64+AO64+AV64+BC64+BJ64+BQ64</f>
        <v>2346682.63966098</v>
      </c>
      <c r="BX64" s="0" t="n">
        <f aca="false">G64+N64+U64+AB64+AI64+AP64+AW64+BD64+BK64+BR64</f>
        <v>227088.424965433</v>
      </c>
      <c r="BY64" s="0" t="n">
        <f aca="false">H64+O64+V64+AC64+AJ64+AQ64+AX64+BE64+BL64+BS64</f>
        <v>25750780.659156</v>
      </c>
      <c r="BZ64" s="0" t="n">
        <f aca="false">IF(A64&gt;Inputs!$B$7,(1-Inputs!$B$6)*INDEX($BU$6:$BU$125,A64-Inputs!$B$7),0)</f>
        <v>68566.7705629991</v>
      </c>
      <c r="CA64" s="0" t="n">
        <f aca="false">CA63+(1-Inputs!$B$6)*BU64-BZ64</f>
        <v>321548.051909845</v>
      </c>
      <c r="CB64" s="0" t="n">
        <f aca="false">BY64+CA64</f>
        <v>26072328.7110659</v>
      </c>
      <c r="CC64" s="0" t="n">
        <f aca="false">BV64+BW64+BX64+BZ64</f>
        <v>2888755.70574661</v>
      </c>
      <c r="CD64" s="0" t="n">
        <f aca="false">CD63+BU64-BZ64</f>
        <v>10973931.1120199</v>
      </c>
    </row>
    <row r="65" customFormat="false" ht="15" hidden="false" customHeight="false" outlineLevel="0" collapsed="false">
      <c r="A65" s="0" t="n">
        <f aca="false">ROW()-5</f>
        <v>60</v>
      </c>
      <c r="B65" s="0" t="n">
        <f aca="false">Inputs!$D$58-(A65-1)</f>
        <v>-23</v>
      </c>
      <c r="C65" s="0" t="n">
        <f aca="false">IF(B65&lt;=0,0,IF(A65=1,Inputs!$B$58,H64))</f>
        <v>0</v>
      </c>
      <c r="D65" s="0" t="n">
        <f aca="false">C65*Inputs!$B$9</f>
        <v>0</v>
      </c>
      <c r="E65" s="0" t="n">
        <f aca="false">(C65-D65)*Inputs!$C$58/12</f>
        <v>0</v>
      </c>
      <c r="F65" s="0" t="n">
        <f aca="false">IF(B65&lt;=0,0,IF(B65=1,C65-D65,MIN((C65-D65)*(Inputs!$C$58/12)/(1-(1+Inputs!$C$58/12)^(-B65))-E65,C65-D65)))</f>
        <v>0</v>
      </c>
      <c r="G65" s="0" t="n">
        <f aca="false">(C65-D65-F65)*Inputs!$B$10</f>
        <v>0</v>
      </c>
      <c r="H65" s="0" t="n">
        <f aca="false">C65-D65-F65-G65</f>
        <v>0</v>
      </c>
      <c r="I65" s="0" t="n">
        <f aca="false">Inputs!$D$59-(A65-1)</f>
        <v>-11</v>
      </c>
      <c r="J65" s="0" t="n">
        <f aca="false">IF(I65&lt;=0,0,IF(A65=1,Inputs!$B$59,O64))</f>
        <v>0</v>
      </c>
      <c r="K65" s="0" t="n">
        <f aca="false">J65*Inputs!$B$9</f>
        <v>0</v>
      </c>
      <c r="L65" s="0" t="n">
        <f aca="false">(J65-K65)*Inputs!$C$59/12</f>
        <v>0</v>
      </c>
      <c r="M65" s="0" t="n">
        <f aca="false">IF(I65&lt;=0,0,IF(I65=1,J65-K65,MIN((J65-K65)*(Inputs!$C$59/12)/(1-(1+Inputs!$C$59/12)^(-I65))-L65,J65-K65)))</f>
        <v>0</v>
      </c>
      <c r="N65" s="0" t="n">
        <f aca="false">(J65-K65-M65)*Inputs!$B$10</f>
        <v>0</v>
      </c>
      <c r="O65" s="0" t="n">
        <f aca="false">J65-K65-M65-N65</f>
        <v>0</v>
      </c>
      <c r="P65" s="0" t="n">
        <f aca="false">Inputs!$D$60-(A65-1)</f>
        <v>-11</v>
      </c>
      <c r="Q65" s="0" t="n">
        <f aca="false">IF(P65&lt;=0,0,IF(A65=1,Inputs!$B$60,V64))</f>
        <v>0</v>
      </c>
      <c r="R65" s="0" t="n">
        <f aca="false">Q65*Inputs!$B$9</f>
        <v>0</v>
      </c>
      <c r="S65" s="0" t="n">
        <f aca="false">(Q65-R65)*Inputs!$C$60/12</f>
        <v>0</v>
      </c>
      <c r="T65" s="0" t="n">
        <f aca="false">IF(P65&lt;=0,0,IF(P65=1,Q65-R65,MIN((Q65-R65)*(Inputs!$C$60/12)/(1-(1+Inputs!$C$60/12)^(-P65))-S65,Q65-R65)))</f>
        <v>0</v>
      </c>
      <c r="U65" s="0" t="n">
        <f aca="false">(Q65-R65-T65)*Inputs!$B$10</f>
        <v>0</v>
      </c>
      <c r="V65" s="0" t="n">
        <f aca="false">Q65-R65-T65-U65</f>
        <v>0</v>
      </c>
      <c r="W65" s="0" t="n">
        <f aca="false">Inputs!$D$61-(A65-1)</f>
        <v>1</v>
      </c>
      <c r="X65" s="0" t="n">
        <f aca="false">IF(W65&lt;=0,0,IF(A65=1,Inputs!$B$61,AC64))</f>
        <v>706875.625203013</v>
      </c>
      <c r="Y65" s="0" t="n">
        <f aca="false">X65*Inputs!$B$9</f>
        <v>1791.96407382584</v>
      </c>
      <c r="Z65" s="0" t="n">
        <f aca="false">(X65-Y65)*Inputs!$C$61/12</f>
        <v>5170.61351494737</v>
      </c>
      <c r="AA65" s="0" t="n">
        <f aca="false">IF(W65&lt;=0,0,IF(W65=1,X65-Y65,MIN((X65-Y65)*(Inputs!$C$61/12)/(1-(1+Inputs!$C$61/12)^(-W65))-Z65,X65-Y65)))</f>
        <v>705083.661129187</v>
      </c>
      <c r="AB65" s="0" t="n">
        <f aca="false">(X65-Y65-AA65)*Inputs!$B$10</f>
        <v>0</v>
      </c>
      <c r="AC65" s="0" t="n">
        <f aca="false">X65-Y65-AA65-AB65</f>
        <v>0</v>
      </c>
      <c r="AD65" s="0" t="n">
        <f aca="false">Inputs!$D$62-(A65-1)</f>
        <v>1</v>
      </c>
      <c r="AE65" s="0" t="n">
        <f aca="false">IF(AD65&lt;=0,0,IF(A65=1,Inputs!$B$62,AJ64))</f>
        <v>202126.024902197</v>
      </c>
      <c r="AF65" s="0" t="n">
        <f aca="false">AE65*Inputs!$B$9</f>
        <v>512.399299248634</v>
      </c>
      <c r="AG65" s="0" t="n">
        <f aca="false">(AE65-AF65)*Inputs!$C$62/12</f>
        <v>1562.50559842285</v>
      </c>
      <c r="AH65" s="0" t="n">
        <f aca="false">IF(AD65&lt;=0,0,IF(AD65=1,AE65-AF65,MIN((AE65-AF65)*(Inputs!$C$62/12)/(1-(1+Inputs!$C$62/12)^(-AD65))-AG65,AE65-AF65)))</f>
        <v>201613.625602948</v>
      </c>
      <c r="AI65" s="0" t="n">
        <f aca="false">(AE65-AF65-AH65)*Inputs!$B$10</f>
        <v>0</v>
      </c>
      <c r="AJ65" s="0" t="n">
        <f aca="false">AE65-AF65-AH65-AI65</f>
        <v>0</v>
      </c>
      <c r="AK65" s="0" t="n">
        <f aca="false">Inputs!$D$63-(A65-1)</f>
        <v>1</v>
      </c>
      <c r="AL65" s="0" t="n">
        <f aca="false">IF(AK65&lt;=0,0,IF(A65=1,Inputs!$B$63,AQ64))</f>
        <v>242847.099119394</v>
      </c>
      <c r="AM65" s="0" t="n">
        <f aca="false">AL65*Inputs!$B$9</f>
        <v>615.62920199688</v>
      </c>
      <c r="AN65" s="0" t="n">
        <f aca="false">(AL65-AM65)*Inputs!$C$63/12</f>
        <v>1927.75878142595</v>
      </c>
      <c r="AO65" s="0" t="n">
        <f aca="false">IF(AK65&lt;=0,0,IF(AK65=1,AL65-AM65,MIN((AL65-AM65)*(Inputs!$C$63/12)/(1-(1+Inputs!$C$63/12)^(-AK65))-AN65,AL65-AM65)))</f>
        <v>242231.469917397</v>
      </c>
      <c r="AP65" s="0" t="n">
        <f aca="false">(AL65-AM65-AO65)*Inputs!$B$10</f>
        <v>0</v>
      </c>
      <c r="AQ65" s="0" t="n">
        <f aca="false">AL65-AM65-AO65-AP65</f>
        <v>0</v>
      </c>
      <c r="AR65" s="0" t="n">
        <f aca="false">Inputs!$D$64-(A65-1)</f>
        <v>13</v>
      </c>
      <c r="AS65" s="0" t="n">
        <f aca="false">IF(AR65&lt;=0,0,IF(A65=1,Inputs!$B$64,AX64))</f>
        <v>4086563.68701862</v>
      </c>
      <c r="AT65" s="0" t="n">
        <f aca="false">AS65*Inputs!$B$9</f>
        <v>10359.6376101319</v>
      </c>
      <c r="AU65" s="0" t="n">
        <f aca="false">(AS65-AT65)*Inputs!$C$64/12</f>
        <v>33288.999736836</v>
      </c>
      <c r="AV65" s="0" t="n">
        <f aca="false">IF(AR65&lt;=0,0,IF(AR65=1,AS65-AT65,MIN((AS65-AT65)*(Inputs!$C$64/12)/(1-(1+Inputs!$C$64/12)^(-AR65))-AU65,AS65-AT65)))</f>
        <v>298481.532749848</v>
      </c>
      <c r="AW65" s="0" t="n">
        <f aca="false">(AS65-AT65-AV65)*Inputs!$B$10</f>
        <v>33023.3805354277</v>
      </c>
      <c r="AX65" s="0" t="n">
        <f aca="false">AS65-AT65-AV65-AW65</f>
        <v>3744699.13612322</v>
      </c>
      <c r="AY65" s="0" t="n">
        <f aca="false">Inputs!$D$65-(A65-1)</f>
        <v>13</v>
      </c>
      <c r="AZ65" s="0" t="n">
        <f aca="false">IF(AY65&lt;=0,0,IF(A65=1,Inputs!$B$65,BE64))</f>
        <v>4271586.75633888</v>
      </c>
      <c r="BA65" s="0" t="n">
        <f aca="false">AZ65*Inputs!$B$9</f>
        <v>10828.68008554</v>
      </c>
      <c r="BB65" s="0" t="n">
        <f aca="false">(AZ65-BA65)*Inputs!$C$65/12</f>
        <v>36571.5068211745</v>
      </c>
      <c r="BC65" s="0" t="n">
        <f aca="false">IF(AY65&lt;=0,0,IF(AY65=1,AZ65-BA65,MIN((AZ65-BA65)*(Inputs!$C$65/12)/(1-(1+Inputs!$C$65/12)^(-AY65))-BB65,AZ65-BA65)))</f>
        <v>311208.004057833</v>
      </c>
      <c r="BD65" s="0" t="n">
        <f aca="false">(AZ65-BA65-BC65)*Inputs!$B$10</f>
        <v>34525.4301772275</v>
      </c>
      <c r="BE65" s="0" t="n">
        <f aca="false">AZ65-BA65-BC65-BD65</f>
        <v>3915024.64201828</v>
      </c>
      <c r="BF65" s="0" t="n">
        <f aca="false">Inputs!$D$66-(A65-1)</f>
        <v>25</v>
      </c>
      <c r="BG65" s="0" t="n">
        <f aca="false">IF(BF65&lt;=0,0,IF(A65=1,Inputs!$B$66,BL64))</f>
        <v>6989166.87418244</v>
      </c>
      <c r="BH65" s="0" t="n">
        <f aca="false">BG65*Inputs!$B$9</f>
        <v>17717.8777962695</v>
      </c>
      <c r="BI65" s="0" t="n">
        <f aca="false">(BG65-BH65)*Inputs!$C$66/12</f>
        <v>61290.6557598951</v>
      </c>
      <c r="BJ65" s="0" t="n">
        <f aca="false">IF(BF65&lt;=0,0,IF(BF65=1,BG65-BH65,MIN((BG65-BH65)*(Inputs!$C$66/12)/(1-(1+Inputs!$C$66/12)^(-BF65))-BI65,BG65-BH65)))</f>
        <v>250553.457680723</v>
      </c>
      <c r="BK65" s="0" t="n">
        <f aca="false">(BG65-BH65-BJ65)*Inputs!$B$10</f>
        <v>58751.4540665199</v>
      </c>
      <c r="BL65" s="0" t="n">
        <f aca="false">BG65-BH65-BJ65-BK65</f>
        <v>6662144.08463893</v>
      </c>
      <c r="BM65" s="0" t="n">
        <f aca="false">Inputs!$D$67-(A65-1)</f>
        <v>25</v>
      </c>
      <c r="BN65" s="0" t="n">
        <f aca="false">IF(BM65&lt;=0,0,IF(A65=1,Inputs!$B$67,BS64))</f>
        <v>9251614.59239147</v>
      </c>
      <c r="BO65" s="0" t="n">
        <f aca="false">BN65*Inputs!$B$9</f>
        <v>23453.2927481933</v>
      </c>
      <c r="BP65" s="0" t="n">
        <f aca="false">(BN65-BO65)*Inputs!$C$67/12</f>
        <v>84975.9853008818</v>
      </c>
      <c r="BQ65" s="0" t="n">
        <f aca="false">IF(BM65&lt;=0,0,IF(BM65=1,BN65-BO65,MIN((BN65-BO65)*(Inputs!$C$67/12)/(1-(1+Inputs!$C$67/12)^(-BM65))-BP65,BN65-BO65)))</f>
        <v>329956.686053141</v>
      </c>
      <c r="BR65" s="0" t="n">
        <f aca="false">(BN65-BO65-BQ65)*Inputs!$B$10</f>
        <v>77784.6429272924</v>
      </c>
      <c r="BS65" s="0" t="n">
        <f aca="false">BN65-BO65-BQ65-BR65</f>
        <v>8820419.97066284</v>
      </c>
      <c r="BT65" s="0" t="n">
        <f aca="false">C65+J65+Q65+X65+AE65+AL65+AS65+AZ65+BG65+BN65</f>
        <v>25750780.659156</v>
      </c>
      <c r="BU65" s="0" t="n">
        <f aca="false">D65+K65+R65+Y65+AF65+AM65+AT65+BA65+BH65+BO65</f>
        <v>65279.4808152061</v>
      </c>
      <c r="BV65" s="0" t="n">
        <f aca="false">E65+L65+S65+Z65+AG65+AN65+AU65+BB65+BI65+BP65</f>
        <v>224788.025513584</v>
      </c>
      <c r="BW65" s="0" t="n">
        <f aca="false">F65+M65+T65+AA65+AH65+AO65+AV65+BC65+BJ65+BQ65</f>
        <v>2339128.43719108</v>
      </c>
      <c r="BX65" s="0" t="n">
        <f aca="false">G65+N65+U65+AB65+AI65+AP65+AW65+BD65+BK65+BR65</f>
        <v>204084.907706467</v>
      </c>
      <c r="BY65" s="0" t="n">
        <f aca="false">H65+O65+V65+AC65+AJ65+AQ65+AX65+BE65+BL65+BS65</f>
        <v>23142287.8334433</v>
      </c>
      <c r="BZ65" s="0" t="n">
        <f aca="false">IF(A65&gt;Inputs!$B$7,(1-Inputs!$B$6)*INDEX($BU$6:$BU$125,A65-Inputs!$B$7),0)</f>
        <v>64187.767123567</v>
      </c>
      <c r="CA65" s="0" t="n">
        <f aca="false">CA64+(1-Inputs!$B$6)*BU65-BZ65</f>
        <v>296527.973275402</v>
      </c>
      <c r="CB65" s="0" t="n">
        <f aca="false">BY65+CA65</f>
        <v>23438815.8067187</v>
      </c>
      <c r="CC65" s="0" t="n">
        <f aca="false">BV65+BW65+BX65+BZ65</f>
        <v>2832189.1375347</v>
      </c>
      <c r="CD65" s="0" t="n">
        <f aca="false">CD64+BU65-BZ65</f>
        <v>10975022.8257115</v>
      </c>
    </row>
    <row r="66" customFormat="false" ht="15" hidden="false" customHeight="false" outlineLevel="0" collapsed="false">
      <c r="A66" s="0" t="n">
        <f aca="false">ROW()-5</f>
        <v>61</v>
      </c>
      <c r="B66" s="0" t="n">
        <f aca="false">Inputs!$D$58-(A66-1)</f>
        <v>-24</v>
      </c>
      <c r="C66" s="0" t="n">
        <f aca="false">IF(B66&lt;=0,0,IF(A66=1,Inputs!$B$58,H65))</f>
        <v>0</v>
      </c>
      <c r="D66" s="0" t="n">
        <f aca="false">C66*Inputs!$B$9</f>
        <v>0</v>
      </c>
      <c r="E66" s="0" t="n">
        <f aca="false">(C66-D66)*Inputs!$C$58/12</f>
        <v>0</v>
      </c>
      <c r="F66" s="0" t="n">
        <f aca="false">IF(B66&lt;=0,0,IF(B66=1,C66-D66,MIN((C66-D66)*(Inputs!$C$58/12)/(1-(1+Inputs!$C$58/12)^(-B66))-E66,C66-D66)))</f>
        <v>0</v>
      </c>
      <c r="G66" s="0" t="n">
        <f aca="false">(C66-D66-F66)*Inputs!$B$10</f>
        <v>0</v>
      </c>
      <c r="H66" s="0" t="n">
        <f aca="false">C66-D66-F66-G66</f>
        <v>0</v>
      </c>
      <c r="I66" s="0" t="n">
        <f aca="false">Inputs!$D$59-(A66-1)</f>
        <v>-12</v>
      </c>
      <c r="J66" s="0" t="n">
        <f aca="false">IF(I66&lt;=0,0,IF(A66=1,Inputs!$B$59,O65))</f>
        <v>0</v>
      </c>
      <c r="K66" s="0" t="n">
        <f aca="false">J66*Inputs!$B$9</f>
        <v>0</v>
      </c>
      <c r="L66" s="0" t="n">
        <f aca="false">(J66-K66)*Inputs!$C$59/12</f>
        <v>0</v>
      </c>
      <c r="M66" s="0" t="n">
        <f aca="false">IF(I66&lt;=0,0,IF(I66=1,J66-K66,MIN((J66-K66)*(Inputs!$C$59/12)/(1-(1+Inputs!$C$59/12)^(-I66))-L66,J66-K66)))</f>
        <v>0</v>
      </c>
      <c r="N66" s="0" t="n">
        <f aca="false">(J66-K66-M66)*Inputs!$B$10</f>
        <v>0</v>
      </c>
      <c r="O66" s="0" t="n">
        <f aca="false">J66-K66-M66-N66</f>
        <v>0</v>
      </c>
      <c r="P66" s="0" t="n">
        <f aca="false">Inputs!$D$60-(A66-1)</f>
        <v>-12</v>
      </c>
      <c r="Q66" s="0" t="n">
        <f aca="false">IF(P66&lt;=0,0,IF(A66=1,Inputs!$B$60,V65))</f>
        <v>0</v>
      </c>
      <c r="R66" s="0" t="n">
        <f aca="false">Q66*Inputs!$B$9</f>
        <v>0</v>
      </c>
      <c r="S66" s="0" t="n">
        <f aca="false">(Q66-R66)*Inputs!$C$60/12</f>
        <v>0</v>
      </c>
      <c r="T66" s="0" t="n">
        <f aca="false">IF(P66&lt;=0,0,IF(P66=1,Q66-R66,MIN((Q66-R66)*(Inputs!$C$60/12)/(1-(1+Inputs!$C$60/12)^(-P66))-S66,Q66-R66)))</f>
        <v>0</v>
      </c>
      <c r="U66" s="0" t="n">
        <f aca="false">(Q66-R66-T66)*Inputs!$B$10</f>
        <v>0</v>
      </c>
      <c r="V66" s="0" t="n">
        <f aca="false">Q66-R66-T66-U66</f>
        <v>0</v>
      </c>
      <c r="W66" s="0" t="n">
        <f aca="false">Inputs!$D$61-(A66-1)</f>
        <v>0</v>
      </c>
      <c r="X66" s="0" t="n">
        <f aca="false">IF(W66&lt;=0,0,IF(A66=1,Inputs!$B$61,AC65))</f>
        <v>0</v>
      </c>
      <c r="Y66" s="0" t="n">
        <f aca="false">X66*Inputs!$B$9</f>
        <v>0</v>
      </c>
      <c r="Z66" s="0" t="n">
        <f aca="false">(X66-Y66)*Inputs!$C$61/12</f>
        <v>0</v>
      </c>
      <c r="AA66" s="0" t="n">
        <f aca="false">IF(W66&lt;=0,0,IF(W66=1,X66-Y66,MIN((X66-Y66)*(Inputs!$C$61/12)/(1-(1+Inputs!$C$61/12)^(-W66))-Z66,X66-Y66)))</f>
        <v>0</v>
      </c>
      <c r="AB66" s="0" t="n">
        <f aca="false">(X66-Y66-AA66)*Inputs!$B$10</f>
        <v>0</v>
      </c>
      <c r="AC66" s="0" t="n">
        <f aca="false">X66-Y66-AA66-AB66</f>
        <v>0</v>
      </c>
      <c r="AD66" s="0" t="n">
        <f aca="false">Inputs!$D$62-(A66-1)</f>
        <v>0</v>
      </c>
      <c r="AE66" s="0" t="n">
        <f aca="false">IF(AD66&lt;=0,0,IF(A66=1,Inputs!$B$62,AJ65))</f>
        <v>0</v>
      </c>
      <c r="AF66" s="0" t="n">
        <f aca="false">AE66*Inputs!$B$9</f>
        <v>0</v>
      </c>
      <c r="AG66" s="0" t="n">
        <f aca="false">(AE66-AF66)*Inputs!$C$62/12</f>
        <v>0</v>
      </c>
      <c r="AH66" s="0" t="n">
        <f aca="false">IF(AD66&lt;=0,0,IF(AD66=1,AE66-AF66,MIN((AE66-AF66)*(Inputs!$C$62/12)/(1-(1+Inputs!$C$62/12)^(-AD66))-AG66,AE66-AF66)))</f>
        <v>0</v>
      </c>
      <c r="AI66" s="0" t="n">
        <f aca="false">(AE66-AF66-AH66)*Inputs!$B$10</f>
        <v>0</v>
      </c>
      <c r="AJ66" s="0" t="n">
        <f aca="false">AE66-AF66-AH66-AI66</f>
        <v>0</v>
      </c>
      <c r="AK66" s="0" t="n">
        <f aca="false">Inputs!$D$63-(A66-1)</f>
        <v>0</v>
      </c>
      <c r="AL66" s="0" t="n">
        <f aca="false">IF(AK66&lt;=0,0,IF(A66=1,Inputs!$B$63,AQ65))</f>
        <v>0</v>
      </c>
      <c r="AM66" s="0" t="n">
        <f aca="false">AL66*Inputs!$B$9</f>
        <v>0</v>
      </c>
      <c r="AN66" s="0" t="n">
        <f aca="false">(AL66-AM66)*Inputs!$C$63/12</f>
        <v>0</v>
      </c>
      <c r="AO66" s="0" t="n">
        <f aca="false">IF(AK66&lt;=0,0,IF(AK66=1,AL66-AM66,MIN((AL66-AM66)*(Inputs!$C$63/12)/(1-(1+Inputs!$C$63/12)^(-AK66))-AN66,AL66-AM66)))</f>
        <v>0</v>
      </c>
      <c r="AP66" s="0" t="n">
        <f aca="false">(AL66-AM66-AO66)*Inputs!$B$10</f>
        <v>0</v>
      </c>
      <c r="AQ66" s="0" t="n">
        <f aca="false">AL66-AM66-AO66-AP66</f>
        <v>0</v>
      </c>
      <c r="AR66" s="0" t="n">
        <f aca="false">Inputs!$D$64-(A66-1)</f>
        <v>12</v>
      </c>
      <c r="AS66" s="0" t="n">
        <f aca="false">IF(AR66&lt;=0,0,IF(A66=1,Inputs!$B$64,AX65))</f>
        <v>3744699.13612322</v>
      </c>
      <c r="AT66" s="0" t="n">
        <f aca="false">AS66*Inputs!$B$9</f>
        <v>9492.9943542646</v>
      </c>
      <c r="AU66" s="0" t="n">
        <f aca="false">(AS66-AT66)*Inputs!$C$64/12</f>
        <v>30504.1834911131</v>
      </c>
      <c r="AV66" s="0" t="n">
        <f aca="false">IF(AR66&lt;=0,0,IF(AR66=1,AS66-AT66,MIN((AS66-AT66)*(Inputs!$C$64/12)/(1-(1+Inputs!$C$64/12)^(-AR66))-AU66,AS66-AT66)))</f>
        <v>297532.437816453</v>
      </c>
      <c r="AW66" s="0" t="n">
        <f aca="false">(AS66-AT66-AV66)*Inputs!$B$10</f>
        <v>30050.806109144</v>
      </c>
      <c r="AX66" s="0" t="n">
        <f aca="false">AS66-AT66-AV66-AW66</f>
        <v>3407622.89784335</v>
      </c>
      <c r="AY66" s="0" t="n">
        <f aca="false">Inputs!$D$65-(A66-1)</f>
        <v>12</v>
      </c>
      <c r="AZ66" s="0" t="n">
        <f aca="false">IF(AY66&lt;=0,0,IF(A66=1,Inputs!$B$65,BE65))</f>
        <v>3915024.64201828</v>
      </c>
      <c r="BA66" s="0" t="n">
        <f aca="false">AZ66*Inputs!$B$9</f>
        <v>9924.77779188491</v>
      </c>
      <c r="BB66" s="0" t="n">
        <f aca="false">(AZ66-BA66)*Inputs!$C$65/12</f>
        <v>33518.7738346099</v>
      </c>
      <c r="BC66" s="0" t="n">
        <f aca="false">IF(AY66&lt;=0,0,IF(AY66=1,AZ66-BA66,MIN((AZ66-BA66)*(Inputs!$C$65/12)/(1-(1+Inputs!$C$65/12)^(-AY66))-BB66,AZ66-BA66)))</f>
        <v>310346.652831414</v>
      </c>
      <c r="BD66" s="0" t="n">
        <f aca="false">(AZ66-BA66-BC66)*Inputs!$B$10</f>
        <v>31423.9340521616</v>
      </c>
      <c r="BE66" s="0" t="n">
        <f aca="false">AZ66-BA66-BC66-BD66</f>
        <v>3563329.27734282</v>
      </c>
      <c r="BF66" s="0" t="n">
        <f aca="false">Inputs!$D$66-(A66-1)</f>
        <v>24</v>
      </c>
      <c r="BG66" s="0" t="n">
        <f aca="false">IF(BF66&lt;=0,0,IF(A66=1,Inputs!$B$66,BL65))</f>
        <v>6662144.08463893</v>
      </c>
      <c r="BH66" s="0" t="n">
        <f aca="false">BG66*Inputs!$B$9</f>
        <v>16888.8591269442</v>
      </c>
      <c r="BI66" s="0" t="n">
        <f aca="false">(BG66-BH66)*Inputs!$C$66/12</f>
        <v>58422.8688576262</v>
      </c>
      <c r="BJ66" s="0" t="n">
        <f aca="false">IF(BF66&lt;=0,0,IF(BF66=1,BG66-BH66,MIN((BG66-BH66)*(Inputs!$C$66/12)/(1-(1+Inputs!$C$66/12)^(-BF66))-BI66,BG66-BH66)))</f>
        <v>249911.595270286</v>
      </c>
      <c r="BK66" s="0" t="n">
        <f aca="false">(BG66-BH66-BJ66)*Inputs!$B$10</f>
        <v>55905.6059371708</v>
      </c>
      <c r="BL66" s="0" t="n">
        <f aca="false">BG66-BH66-BJ66-BK66</f>
        <v>6339438.02430453</v>
      </c>
      <c r="BM66" s="0" t="n">
        <f aca="false">Inputs!$D$67-(A66-1)</f>
        <v>24</v>
      </c>
      <c r="BN66" s="0" t="n">
        <f aca="false">IF(BM66&lt;=0,0,IF(A66=1,Inputs!$B$67,BS65))</f>
        <v>8820419.97066284</v>
      </c>
      <c r="BO66" s="0" t="n">
        <f aca="false">BN66*Inputs!$B$9</f>
        <v>22360.1934200863</v>
      </c>
      <c r="BP66" s="0" t="n">
        <f aca="false">(BN66-BO66)*Inputs!$C$67/12</f>
        <v>81015.4671154437</v>
      </c>
      <c r="BQ66" s="0" t="n">
        <f aca="false">IF(BM66&lt;=0,0,IF(BM66=1,BN66-BO66,MIN((BN66-BO66)*(Inputs!$C$67/12)/(1-(1+Inputs!$C$67/12)^(-BM66))-BP66,BN66-BO66)))</f>
        <v>329247.344837452</v>
      </c>
      <c r="BR66" s="0" t="n">
        <f aca="false">(BN66-BO66-BQ66)*Inputs!$B$10</f>
        <v>74031.063532386</v>
      </c>
      <c r="BS66" s="0" t="n">
        <f aca="false">BN66-BO66-BQ66-BR66</f>
        <v>8394781.36887292</v>
      </c>
      <c r="BT66" s="0" t="n">
        <f aca="false">C66+J66+Q66+X66+AE66+AL66+AS66+AZ66+BG66+BN66</f>
        <v>23142287.8334433</v>
      </c>
      <c r="BU66" s="0" t="n">
        <f aca="false">D66+K66+R66+Y66+AF66+AM66+AT66+BA66+BH66+BO66</f>
        <v>58666.82469318</v>
      </c>
      <c r="BV66" s="0" t="n">
        <f aca="false">E66+L66+S66+Z66+AG66+AN66+AU66+BB66+BI66+BP66</f>
        <v>203461.293298793</v>
      </c>
      <c r="BW66" s="0" t="n">
        <f aca="false">F66+M66+T66+AA66+AH66+AO66+AV66+BC66+BJ66+BQ66</f>
        <v>1187038.0307556</v>
      </c>
      <c r="BX66" s="0" t="n">
        <f aca="false">G66+N66+U66+AB66+AI66+AP66+AW66+BD66+BK66+BR66</f>
        <v>191411.409630862</v>
      </c>
      <c r="BY66" s="0" t="n">
        <f aca="false">H66+O66+V66+AC66+AJ66+AQ66+AX66+BE66+BL66+BS66</f>
        <v>21705171.5683636</v>
      </c>
      <c r="BZ66" s="0" t="n">
        <f aca="false">IF(A66&gt;Inputs!$B$7,(1-Inputs!$B$6)*INDEX($BU$6:$BU$125,A66-Inputs!$B$7),0)</f>
        <v>59869.6689340218</v>
      </c>
      <c r="CA66" s="0" t="n">
        <f aca="false">CA65+(1-Inputs!$B$6)*BU66-BZ66</f>
        <v>271858.399157288</v>
      </c>
      <c r="CB66" s="0" t="n">
        <f aca="false">BY66+CA66</f>
        <v>21977029.9675209</v>
      </c>
      <c r="CC66" s="0" t="n">
        <f aca="false">BV66+BW66+BX66+BZ66</f>
        <v>1641780.40261928</v>
      </c>
      <c r="CD66" s="0" t="n">
        <f aca="false">CD65+BU66-BZ66</f>
        <v>10973819.9814707</v>
      </c>
    </row>
    <row r="67" customFormat="false" ht="15" hidden="false" customHeight="false" outlineLevel="0" collapsed="false">
      <c r="A67" s="0" t="n">
        <f aca="false">ROW()-5</f>
        <v>62</v>
      </c>
      <c r="B67" s="0" t="n">
        <f aca="false">Inputs!$D$58-(A67-1)</f>
        <v>-25</v>
      </c>
      <c r="C67" s="0" t="n">
        <f aca="false">IF(B67&lt;=0,0,IF(A67=1,Inputs!$B$58,H66))</f>
        <v>0</v>
      </c>
      <c r="D67" s="0" t="n">
        <f aca="false">C67*Inputs!$B$9</f>
        <v>0</v>
      </c>
      <c r="E67" s="0" t="n">
        <f aca="false">(C67-D67)*Inputs!$C$58/12</f>
        <v>0</v>
      </c>
      <c r="F67" s="0" t="n">
        <f aca="false">IF(B67&lt;=0,0,IF(B67=1,C67-D67,MIN((C67-D67)*(Inputs!$C$58/12)/(1-(1+Inputs!$C$58/12)^(-B67))-E67,C67-D67)))</f>
        <v>0</v>
      </c>
      <c r="G67" s="0" t="n">
        <f aca="false">(C67-D67-F67)*Inputs!$B$10</f>
        <v>0</v>
      </c>
      <c r="H67" s="0" t="n">
        <f aca="false">C67-D67-F67-G67</f>
        <v>0</v>
      </c>
      <c r="I67" s="0" t="n">
        <f aca="false">Inputs!$D$59-(A67-1)</f>
        <v>-13</v>
      </c>
      <c r="J67" s="0" t="n">
        <f aca="false">IF(I67&lt;=0,0,IF(A67=1,Inputs!$B$59,O66))</f>
        <v>0</v>
      </c>
      <c r="K67" s="0" t="n">
        <f aca="false">J67*Inputs!$B$9</f>
        <v>0</v>
      </c>
      <c r="L67" s="0" t="n">
        <f aca="false">(J67-K67)*Inputs!$C$59/12</f>
        <v>0</v>
      </c>
      <c r="M67" s="0" t="n">
        <f aca="false">IF(I67&lt;=0,0,IF(I67=1,J67-K67,MIN((J67-K67)*(Inputs!$C$59/12)/(1-(1+Inputs!$C$59/12)^(-I67))-L67,J67-K67)))</f>
        <v>0</v>
      </c>
      <c r="N67" s="0" t="n">
        <f aca="false">(J67-K67-M67)*Inputs!$B$10</f>
        <v>0</v>
      </c>
      <c r="O67" s="0" t="n">
        <f aca="false">J67-K67-M67-N67</f>
        <v>0</v>
      </c>
      <c r="P67" s="0" t="n">
        <f aca="false">Inputs!$D$60-(A67-1)</f>
        <v>-13</v>
      </c>
      <c r="Q67" s="0" t="n">
        <f aca="false">IF(P67&lt;=0,0,IF(A67=1,Inputs!$B$60,V66))</f>
        <v>0</v>
      </c>
      <c r="R67" s="0" t="n">
        <f aca="false">Q67*Inputs!$B$9</f>
        <v>0</v>
      </c>
      <c r="S67" s="0" t="n">
        <f aca="false">(Q67-R67)*Inputs!$C$60/12</f>
        <v>0</v>
      </c>
      <c r="T67" s="0" t="n">
        <f aca="false">IF(P67&lt;=0,0,IF(P67=1,Q67-R67,MIN((Q67-R67)*(Inputs!$C$60/12)/(1-(1+Inputs!$C$60/12)^(-P67))-S67,Q67-R67)))</f>
        <v>0</v>
      </c>
      <c r="U67" s="0" t="n">
        <f aca="false">(Q67-R67-T67)*Inputs!$B$10</f>
        <v>0</v>
      </c>
      <c r="V67" s="0" t="n">
        <f aca="false">Q67-R67-T67-U67</f>
        <v>0</v>
      </c>
      <c r="W67" s="0" t="n">
        <f aca="false">Inputs!$D$61-(A67-1)</f>
        <v>-1</v>
      </c>
      <c r="X67" s="0" t="n">
        <f aca="false">IF(W67&lt;=0,0,IF(A67=1,Inputs!$B$61,AC66))</f>
        <v>0</v>
      </c>
      <c r="Y67" s="0" t="n">
        <f aca="false">X67*Inputs!$B$9</f>
        <v>0</v>
      </c>
      <c r="Z67" s="0" t="n">
        <f aca="false">(X67-Y67)*Inputs!$C$61/12</f>
        <v>0</v>
      </c>
      <c r="AA67" s="0" t="n">
        <f aca="false">IF(W67&lt;=0,0,IF(W67=1,X67-Y67,MIN((X67-Y67)*(Inputs!$C$61/12)/(1-(1+Inputs!$C$61/12)^(-W67))-Z67,X67-Y67)))</f>
        <v>0</v>
      </c>
      <c r="AB67" s="0" t="n">
        <f aca="false">(X67-Y67-AA67)*Inputs!$B$10</f>
        <v>0</v>
      </c>
      <c r="AC67" s="0" t="n">
        <f aca="false">X67-Y67-AA67-AB67</f>
        <v>0</v>
      </c>
      <c r="AD67" s="0" t="n">
        <f aca="false">Inputs!$D$62-(A67-1)</f>
        <v>-1</v>
      </c>
      <c r="AE67" s="0" t="n">
        <f aca="false">IF(AD67&lt;=0,0,IF(A67=1,Inputs!$B$62,AJ66))</f>
        <v>0</v>
      </c>
      <c r="AF67" s="0" t="n">
        <f aca="false">AE67*Inputs!$B$9</f>
        <v>0</v>
      </c>
      <c r="AG67" s="0" t="n">
        <f aca="false">(AE67-AF67)*Inputs!$C$62/12</f>
        <v>0</v>
      </c>
      <c r="AH67" s="0" t="n">
        <f aca="false">IF(AD67&lt;=0,0,IF(AD67=1,AE67-AF67,MIN((AE67-AF67)*(Inputs!$C$62/12)/(1-(1+Inputs!$C$62/12)^(-AD67))-AG67,AE67-AF67)))</f>
        <v>0</v>
      </c>
      <c r="AI67" s="0" t="n">
        <f aca="false">(AE67-AF67-AH67)*Inputs!$B$10</f>
        <v>0</v>
      </c>
      <c r="AJ67" s="0" t="n">
        <f aca="false">AE67-AF67-AH67-AI67</f>
        <v>0</v>
      </c>
      <c r="AK67" s="0" t="n">
        <f aca="false">Inputs!$D$63-(A67-1)</f>
        <v>-1</v>
      </c>
      <c r="AL67" s="0" t="n">
        <f aca="false">IF(AK67&lt;=0,0,IF(A67=1,Inputs!$B$63,AQ66))</f>
        <v>0</v>
      </c>
      <c r="AM67" s="0" t="n">
        <f aca="false">AL67*Inputs!$B$9</f>
        <v>0</v>
      </c>
      <c r="AN67" s="0" t="n">
        <f aca="false">(AL67-AM67)*Inputs!$C$63/12</f>
        <v>0</v>
      </c>
      <c r="AO67" s="0" t="n">
        <f aca="false">IF(AK67&lt;=0,0,IF(AK67=1,AL67-AM67,MIN((AL67-AM67)*(Inputs!$C$63/12)/(1-(1+Inputs!$C$63/12)^(-AK67))-AN67,AL67-AM67)))</f>
        <v>0</v>
      </c>
      <c r="AP67" s="0" t="n">
        <f aca="false">(AL67-AM67-AO67)*Inputs!$B$10</f>
        <v>0</v>
      </c>
      <c r="AQ67" s="0" t="n">
        <f aca="false">AL67-AM67-AO67-AP67</f>
        <v>0</v>
      </c>
      <c r="AR67" s="0" t="n">
        <f aca="false">Inputs!$D$64-(A67-1)</f>
        <v>11</v>
      </c>
      <c r="AS67" s="0" t="n">
        <f aca="false">IF(AR67&lt;=0,0,IF(A67=1,Inputs!$B$64,AX66))</f>
        <v>3407622.89784335</v>
      </c>
      <c r="AT67" s="0" t="n">
        <f aca="false">AS67*Inputs!$B$9</f>
        <v>8638.48970365595</v>
      </c>
      <c r="AU67" s="0" t="n">
        <f aca="false">(AS67-AT67)*Inputs!$C$64/12</f>
        <v>27758.3726664742</v>
      </c>
      <c r="AV67" s="0" t="n">
        <f aca="false">IF(AR67&lt;=0,0,IF(AR67=1,AS67-AT67,MIN((AS67-AT67)*(Inputs!$C$64/12)/(1-(1+Inputs!$C$64/12)^(-AR67))-AU67,AS67-AT67)))</f>
        <v>296586.360762202</v>
      </c>
      <c r="AW67" s="0" t="n">
        <f aca="false">(AS67-AT67-AV67)*Inputs!$B$10</f>
        <v>27119.9567567848</v>
      </c>
      <c r="AX67" s="0" t="n">
        <f aca="false">AS67-AT67-AV67-AW67</f>
        <v>3075278.09062071</v>
      </c>
      <c r="AY67" s="0" t="n">
        <f aca="false">Inputs!$D$65-(A67-1)</f>
        <v>11</v>
      </c>
      <c r="AZ67" s="0" t="n">
        <f aca="false">IF(AY67&lt;=0,0,IF(A67=1,Inputs!$B$65,BE66))</f>
        <v>3563329.27734282</v>
      </c>
      <c r="BA67" s="0" t="n">
        <f aca="false">AZ67*Inputs!$B$9</f>
        <v>9033.2129451716</v>
      </c>
      <c r="BB67" s="0" t="n">
        <f aca="false">(AZ67-BA67)*Inputs!$C$65/12</f>
        <v>30507.7078860798</v>
      </c>
      <c r="BC67" s="0" t="n">
        <f aca="false">IF(AY67&lt;=0,0,IF(AY67=1,AZ67-BA67,MIN((AZ67-BA67)*(Inputs!$C$65/12)/(1-(1+Inputs!$C$65/12)^(-AY67))-BB67,AZ67-BA67)))</f>
        <v>309487.685624448</v>
      </c>
      <c r="BD67" s="0" t="n">
        <f aca="false">(AZ67-BA67-BC67)*Inputs!$B$10</f>
        <v>28364.8524697755</v>
      </c>
      <c r="BE67" s="0" t="n">
        <f aca="false">AZ67-BA67-BC67-BD67</f>
        <v>3216443.52630342</v>
      </c>
      <c r="BF67" s="0" t="n">
        <f aca="false">Inputs!$D$66-(A67-1)</f>
        <v>23</v>
      </c>
      <c r="BG67" s="0" t="n">
        <f aca="false">IF(BF67&lt;=0,0,IF(A67=1,Inputs!$B$66,BL66))</f>
        <v>6339438.02430453</v>
      </c>
      <c r="BH67" s="0" t="n">
        <f aca="false">BG67*Inputs!$B$9</f>
        <v>16070.7835760168</v>
      </c>
      <c r="BI67" s="0" t="n">
        <f aca="false">(BG67-BH67)*Inputs!$C$66/12</f>
        <v>55592.9369914049</v>
      </c>
      <c r="BJ67" s="0" t="n">
        <f aca="false">IF(BF67&lt;=0,0,IF(BF67=1,BG67-BH67,MIN((BG67-BH67)*(Inputs!$C$66/12)/(1-(1+Inputs!$C$66/12)^(-BF67))-BI67,BG67-BH67)))</f>
        <v>249271.377169042</v>
      </c>
      <c r="BK67" s="0" t="n">
        <f aca="false">(BG67-BH67-BJ67)*Inputs!$B$10</f>
        <v>53097.3829407695</v>
      </c>
      <c r="BL67" s="0" t="n">
        <f aca="false">BG67-BH67-BJ67-BK67</f>
        <v>6020998.4806187</v>
      </c>
      <c r="BM67" s="0" t="n">
        <f aca="false">Inputs!$D$67-(A67-1)</f>
        <v>23</v>
      </c>
      <c r="BN67" s="0" t="n">
        <f aca="false">IF(BM67&lt;=0,0,IF(A67=1,Inputs!$B$67,BS66))</f>
        <v>8394781.36887292</v>
      </c>
      <c r="BO67" s="0" t="n">
        <f aca="false">BN67*Inputs!$B$9</f>
        <v>21281.1788726233</v>
      </c>
      <c r="BP67" s="0" t="n">
        <f aca="false">(BN67-BO67)*Inputs!$C$67/12</f>
        <v>77105.9809162527</v>
      </c>
      <c r="BQ67" s="0" t="n">
        <f aca="false">IF(BM67&lt;=0,0,IF(BM67=1,BN67-BO67,MIN((BN67-BO67)*(Inputs!$C$67/12)/(1-(1+Inputs!$C$67/12)^(-BM67))-BP67,BN67-BO67)))</f>
        <v>328539.528564221</v>
      </c>
      <c r="BR67" s="0" t="n">
        <f aca="false">(BN67-BO67-BQ67)*Inputs!$B$10</f>
        <v>70325.9162481138</v>
      </c>
      <c r="BS67" s="0" t="n">
        <f aca="false">BN67-BO67-BQ67-BR67</f>
        <v>7974634.74518796</v>
      </c>
      <c r="BT67" s="0" t="n">
        <f aca="false">C67+J67+Q67+X67+AE67+AL67+AS67+AZ67+BG67+BN67</f>
        <v>21705171.5683636</v>
      </c>
      <c r="BU67" s="0" t="n">
        <f aca="false">D67+K67+R67+Y67+AF67+AM67+AT67+BA67+BH67+BO67</f>
        <v>55023.6650974677</v>
      </c>
      <c r="BV67" s="0" t="n">
        <f aca="false">E67+L67+S67+Z67+AG67+AN67+AU67+BB67+BI67+BP67</f>
        <v>190964.998460212</v>
      </c>
      <c r="BW67" s="0" t="n">
        <f aca="false">F67+M67+T67+AA67+AH67+AO67+AV67+BC67+BJ67+BQ67</f>
        <v>1183884.95211991</v>
      </c>
      <c r="BX67" s="0" t="n">
        <f aca="false">G67+N67+U67+AB67+AI67+AP67+AW67+BD67+BK67+BR67</f>
        <v>178908.108415444</v>
      </c>
      <c r="BY67" s="0" t="n">
        <f aca="false">H67+O67+V67+AC67+AJ67+AQ67+AX67+BE67+BL67+BS67</f>
        <v>20287354.8427308</v>
      </c>
      <c r="BZ67" s="0" t="n">
        <f aca="false">IF(A67&gt;Inputs!$B$7,(1-Inputs!$B$6)*INDEX($BU$6:$BU$125,A67-Inputs!$B$7),0)</f>
        <v>55611.7515257501</v>
      </c>
      <c r="CA67" s="0" t="n">
        <f aca="false">CA66+(1-Inputs!$B$6)*BU67-BZ67</f>
        <v>249260.846690019</v>
      </c>
      <c r="CB67" s="0" t="n">
        <f aca="false">BY67+CA67</f>
        <v>20536615.6894208</v>
      </c>
      <c r="CC67" s="0" t="n">
        <f aca="false">BV67+BW67+BX67+BZ67</f>
        <v>1609369.81052132</v>
      </c>
      <c r="CD67" s="0" t="n">
        <f aca="false">CD66+BU67-BZ67</f>
        <v>10973231.8950424</v>
      </c>
    </row>
    <row r="68" customFormat="false" ht="15" hidden="false" customHeight="false" outlineLevel="0" collapsed="false">
      <c r="A68" s="0" t="n">
        <f aca="false">ROW()-5</f>
        <v>63</v>
      </c>
      <c r="B68" s="0" t="n">
        <f aca="false">Inputs!$D$58-(A68-1)</f>
        <v>-26</v>
      </c>
      <c r="C68" s="0" t="n">
        <f aca="false">IF(B68&lt;=0,0,IF(A68=1,Inputs!$B$58,H67))</f>
        <v>0</v>
      </c>
      <c r="D68" s="0" t="n">
        <f aca="false">C68*Inputs!$B$9</f>
        <v>0</v>
      </c>
      <c r="E68" s="0" t="n">
        <f aca="false">(C68-D68)*Inputs!$C$58/12</f>
        <v>0</v>
      </c>
      <c r="F68" s="0" t="n">
        <f aca="false">IF(B68&lt;=0,0,IF(B68=1,C68-D68,MIN((C68-D68)*(Inputs!$C$58/12)/(1-(1+Inputs!$C$58/12)^(-B68))-E68,C68-D68)))</f>
        <v>0</v>
      </c>
      <c r="G68" s="0" t="n">
        <f aca="false">(C68-D68-F68)*Inputs!$B$10</f>
        <v>0</v>
      </c>
      <c r="H68" s="0" t="n">
        <f aca="false">C68-D68-F68-G68</f>
        <v>0</v>
      </c>
      <c r="I68" s="0" t="n">
        <f aca="false">Inputs!$D$59-(A68-1)</f>
        <v>-14</v>
      </c>
      <c r="J68" s="0" t="n">
        <f aca="false">IF(I68&lt;=0,0,IF(A68=1,Inputs!$B$59,O67))</f>
        <v>0</v>
      </c>
      <c r="K68" s="0" t="n">
        <f aca="false">J68*Inputs!$B$9</f>
        <v>0</v>
      </c>
      <c r="L68" s="0" t="n">
        <f aca="false">(J68-K68)*Inputs!$C$59/12</f>
        <v>0</v>
      </c>
      <c r="M68" s="0" t="n">
        <f aca="false">IF(I68&lt;=0,0,IF(I68=1,J68-K68,MIN((J68-K68)*(Inputs!$C$59/12)/(1-(1+Inputs!$C$59/12)^(-I68))-L68,J68-K68)))</f>
        <v>0</v>
      </c>
      <c r="N68" s="0" t="n">
        <f aca="false">(J68-K68-M68)*Inputs!$B$10</f>
        <v>0</v>
      </c>
      <c r="O68" s="0" t="n">
        <f aca="false">J68-K68-M68-N68</f>
        <v>0</v>
      </c>
      <c r="P68" s="0" t="n">
        <f aca="false">Inputs!$D$60-(A68-1)</f>
        <v>-14</v>
      </c>
      <c r="Q68" s="0" t="n">
        <f aca="false">IF(P68&lt;=0,0,IF(A68=1,Inputs!$B$60,V67))</f>
        <v>0</v>
      </c>
      <c r="R68" s="0" t="n">
        <f aca="false">Q68*Inputs!$B$9</f>
        <v>0</v>
      </c>
      <c r="S68" s="0" t="n">
        <f aca="false">(Q68-R68)*Inputs!$C$60/12</f>
        <v>0</v>
      </c>
      <c r="T68" s="0" t="n">
        <f aca="false">IF(P68&lt;=0,0,IF(P68=1,Q68-R68,MIN((Q68-R68)*(Inputs!$C$60/12)/(1-(1+Inputs!$C$60/12)^(-P68))-S68,Q68-R68)))</f>
        <v>0</v>
      </c>
      <c r="U68" s="0" t="n">
        <f aca="false">(Q68-R68-T68)*Inputs!$B$10</f>
        <v>0</v>
      </c>
      <c r="V68" s="0" t="n">
        <f aca="false">Q68-R68-T68-U68</f>
        <v>0</v>
      </c>
      <c r="W68" s="0" t="n">
        <f aca="false">Inputs!$D$61-(A68-1)</f>
        <v>-2</v>
      </c>
      <c r="X68" s="0" t="n">
        <f aca="false">IF(W68&lt;=0,0,IF(A68=1,Inputs!$B$61,AC67))</f>
        <v>0</v>
      </c>
      <c r="Y68" s="0" t="n">
        <f aca="false">X68*Inputs!$B$9</f>
        <v>0</v>
      </c>
      <c r="Z68" s="0" t="n">
        <f aca="false">(X68-Y68)*Inputs!$C$61/12</f>
        <v>0</v>
      </c>
      <c r="AA68" s="0" t="n">
        <f aca="false">IF(W68&lt;=0,0,IF(W68=1,X68-Y68,MIN((X68-Y68)*(Inputs!$C$61/12)/(1-(1+Inputs!$C$61/12)^(-W68))-Z68,X68-Y68)))</f>
        <v>0</v>
      </c>
      <c r="AB68" s="0" t="n">
        <f aca="false">(X68-Y68-AA68)*Inputs!$B$10</f>
        <v>0</v>
      </c>
      <c r="AC68" s="0" t="n">
        <f aca="false">X68-Y68-AA68-AB68</f>
        <v>0</v>
      </c>
      <c r="AD68" s="0" t="n">
        <f aca="false">Inputs!$D$62-(A68-1)</f>
        <v>-2</v>
      </c>
      <c r="AE68" s="0" t="n">
        <f aca="false">IF(AD68&lt;=0,0,IF(A68=1,Inputs!$B$62,AJ67))</f>
        <v>0</v>
      </c>
      <c r="AF68" s="0" t="n">
        <f aca="false">AE68*Inputs!$B$9</f>
        <v>0</v>
      </c>
      <c r="AG68" s="0" t="n">
        <f aca="false">(AE68-AF68)*Inputs!$C$62/12</f>
        <v>0</v>
      </c>
      <c r="AH68" s="0" t="n">
        <f aca="false">IF(AD68&lt;=0,0,IF(AD68=1,AE68-AF68,MIN((AE68-AF68)*(Inputs!$C$62/12)/(1-(1+Inputs!$C$62/12)^(-AD68))-AG68,AE68-AF68)))</f>
        <v>0</v>
      </c>
      <c r="AI68" s="0" t="n">
        <f aca="false">(AE68-AF68-AH68)*Inputs!$B$10</f>
        <v>0</v>
      </c>
      <c r="AJ68" s="0" t="n">
        <f aca="false">AE68-AF68-AH68-AI68</f>
        <v>0</v>
      </c>
      <c r="AK68" s="0" t="n">
        <f aca="false">Inputs!$D$63-(A68-1)</f>
        <v>-2</v>
      </c>
      <c r="AL68" s="0" t="n">
        <f aca="false">IF(AK68&lt;=0,0,IF(A68=1,Inputs!$B$63,AQ67))</f>
        <v>0</v>
      </c>
      <c r="AM68" s="0" t="n">
        <f aca="false">AL68*Inputs!$B$9</f>
        <v>0</v>
      </c>
      <c r="AN68" s="0" t="n">
        <f aca="false">(AL68-AM68)*Inputs!$C$63/12</f>
        <v>0</v>
      </c>
      <c r="AO68" s="0" t="n">
        <f aca="false">IF(AK68&lt;=0,0,IF(AK68=1,AL68-AM68,MIN((AL68-AM68)*(Inputs!$C$63/12)/(1-(1+Inputs!$C$63/12)^(-AK68))-AN68,AL68-AM68)))</f>
        <v>0</v>
      </c>
      <c r="AP68" s="0" t="n">
        <f aca="false">(AL68-AM68-AO68)*Inputs!$B$10</f>
        <v>0</v>
      </c>
      <c r="AQ68" s="0" t="n">
        <f aca="false">AL68-AM68-AO68-AP68</f>
        <v>0</v>
      </c>
      <c r="AR68" s="0" t="n">
        <f aca="false">Inputs!$D$64-(A68-1)</f>
        <v>10</v>
      </c>
      <c r="AS68" s="0" t="n">
        <f aca="false">IF(AR68&lt;=0,0,IF(A68=1,Inputs!$B$64,AX67))</f>
        <v>3075278.09062071</v>
      </c>
      <c r="AT68" s="0" t="n">
        <f aca="false">AS68*Inputs!$B$9</f>
        <v>7795.97946079037</v>
      </c>
      <c r="AU68" s="0" t="n">
        <f aca="false">(AS68-AT68)*Inputs!$C$64/12</f>
        <v>25051.103907806</v>
      </c>
      <c r="AV68" s="0" t="n">
        <f aca="false">IF(AR68&lt;=0,0,IF(AR68=1,AS68-AT68,MIN((AS68-AT68)*(Inputs!$C$64/12)/(1-(1+Inputs!$C$64/12)^(-AR68))-AU68,AS68-AT68)))</f>
        <v>295643.291991012</v>
      </c>
      <c r="AW68" s="0" t="n">
        <f aca="false">(AS68-AT68-AV68)*Inputs!$B$10</f>
        <v>24230.3365863005</v>
      </c>
      <c r="AX68" s="0" t="n">
        <f aca="false">AS68-AT68-AV68-AW68</f>
        <v>2747608.48258261</v>
      </c>
      <c r="AY68" s="0" t="n">
        <f aca="false">Inputs!$D$65-(A68-1)</f>
        <v>10</v>
      </c>
      <c r="AZ68" s="0" t="n">
        <f aca="false">IF(AY68&lt;=0,0,IF(A68=1,Inputs!$B$65,BE67))</f>
        <v>3216443.52630342</v>
      </c>
      <c r="BA68" s="0" t="n">
        <f aca="false">AZ68*Inputs!$B$9</f>
        <v>8153.84070283948</v>
      </c>
      <c r="BB68" s="0" t="n">
        <f aca="false">(AZ68-BA68)*Inputs!$C$65/12</f>
        <v>27537.819801405</v>
      </c>
      <c r="BC68" s="0" t="n">
        <f aca="false">IF(AY68&lt;=0,0,IF(AY68=1,AZ68-BA68,MIN((AZ68-BA68)*(Inputs!$C$65/12)/(1-(1+Inputs!$C$65/12)^(-AY68))-BB68,AZ68-BA68)))</f>
        <v>308631.095838522</v>
      </c>
      <c r="BD68" s="0" t="n">
        <f aca="false">(AZ68-BA68-BC68)*Inputs!$B$10</f>
        <v>25347.6872931445</v>
      </c>
      <c r="BE68" s="0" t="n">
        <f aca="false">AZ68-BA68-BC68-BD68</f>
        <v>2874310.90246892</v>
      </c>
      <c r="BF68" s="0" t="n">
        <f aca="false">Inputs!$D$66-(A68-1)</f>
        <v>22</v>
      </c>
      <c r="BG68" s="0" t="n">
        <f aca="false">IF(BF68&lt;=0,0,IF(A68=1,Inputs!$B$66,BL67))</f>
        <v>6020998.4806187</v>
      </c>
      <c r="BH68" s="0" t="n">
        <f aca="false">BG68*Inputs!$B$9</f>
        <v>15263.5238522052</v>
      </c>
      <c r="BI68" s="0" t="n">
        <f aca="false">(BG68-BH68)*Inputs!$C$66/12</f>
        <v>52800.4198282388</v>
      </c>
      <c r="BJ68" s="0" t="n">
        <f aca="false">IF(BF68&lt;=0,0,IF(BF68=1,BG68-BH68,MIN((BG68-BH68)*(Inputs!$C$66/12)/(1-(1+Inputs!$C$66/12)^(-BF68))-BI68,BG68-BH68)))</f>
        <v>248632.799164637</v>
      </c>
      <c r="BK68" s="0" t="n">
        <f aca="false">(BG68-BH68-BJ68)*Inputs!$B$10</f>
        <v>50326.3472882006</v>
      </c>
      <c r="BL68" s="0" t="n">
        <f aca="false">BG68-BH68-BJ68-BK68</f>
        <v>5706775.81031366</v>
      </c>
      <c r="BM68" s="0" t="n">
        <f aca="false">Inputs!$D$67-(A68-1)</f>
        <v>22</v>
      </c>
      <c r="BN68" s="0" t="n">
        <f aca="false">IF(BM68&lt;=0,0,IF(A68=1,Inputs!$B$67,BS67))</f>
        <v>7974634.74518796</v>
      </c>
      <c r="BO68" s="0" t="n">
        <f aca="false">BN68*Inputs!$B$9</f>
        <v>20216.0867566426</v>
      </c>
      <c r="BP68" s="0" t="n">
        <f aca="false">(BN68-BO68)*Inputs!$C$67/12</f>
        <v>73246.9384797217</v>
      </c>
      <c r="BQ68" s="0" t="n">
        <f aca="false">IF(BM68&lt;=0,0,IF(BM68=1,BN68-BO68,MIN((BN68-BO68)*(Inputs!$C$67/12)/(1-(1+Inputs!$C$67/12)^(-BM68))-BP68,BN68-BO68)))</f>
        <v>327833.233955128</v>
      </c>
      <c r="BR68" s="0" t="n">
        <f aca="false">(BN68-BO68-BQ68)*Inputs!$B$10</f>
        <v>66668.6426935314</v>
      </c>
      <c r="BS68" s="0" t="n">
        <f aca="false">BN68-BO68-BQ68-BR68</f>
        <v>7559916.78178266</v>
      </c>
      <c r="BT68" s="0" t="n">
        <f aca="false">C68+J68+Q68+X68+AE68+AL68+AS68+AZ68+BG68+BN68</f>
        <v>20287354.8427308</v>
      </c>
      <c r="BU68" s="0" t="n">
        <f aca="false">D68+K68+R68+Y68+AF68+AM68+AT68+BA68+BH68+BO68</f>
        <v>51429.4307724777</v>
      </c>
      <c r="BV68" s="0" t="n">
        <f aca="false">E68+L68+S68+Z68+AG68+AN68+AU68+BB68+BI68+BP68</f>
        <v>178636.282017172</v>
      </c>
      <c r="BW68" s="0" t="n">
        <f aca="false">F68+M68+T68+AA68+AH68+AO68+AV68+BC68+BJ68+BQ68</f>
        <v>1180740.4209493</v>
      </c>
      <c r="BX68" s="0" t="n">
        <f aca="false">G68+N68+U68+AB68+AI68+AP68+AW68+BD68+BK68+BR68</f>
        <v>166573.013861177</v>
      </c>
      <c r="BY68" s="0" t="n">
        <f aca="false">H68+O68+V68+AC68+AJ68+AQ68+AX68+BE68+BL68+BS68</f>
        <v>18888611.9771478</v>
      </c>
      <c r="BZ68" s="0" t="n">
        <f aca="false">IF(A68&gt;Inputs!$B$7,(1-Inputs!$B$6)*INDEX($BU$6:$BU$125,A68-Inputs!$B$7),0)</f>
        <v>51413.2987192199</v>
      </c>
      <c r="CA68" s="0" t="n">
        <f aca="false">CA67+(1-Inputs!$B$6)*BU68-BZ68</f>
        <v>228705.206434286</v>
      </c>
      <c r="CB68" s="0" t="n">
        <f aca="false">BY68+CA68</f>
        <v>19117317.1835821</v>
      </c>
      <c r="CC68" s="0" t="n">
        <f aca="false">BV68+BW68+BX68+BZ68</f>
        <v>1577363.01554687</v>
      </c>
      <c r="CD68" s="0" t="n">
        <f aca="false">CD67+BU68-BZ68</f>
        <v>10973248.0270956</v>
      </c>
    </row>
    <row r="69" customFormat="false" ht="15" hidden="false" customHeight="false" outlineLevel="0" collapsed="false">
      <c r="A69" s="0" t="n">
        <f aca="false">ROW()-5</f>
        <v>64</v>
      </c>
      <c r="B69" s="0" t="n">
        <f aca="false">Inputs!$D$58-(A69-1)</f>
        <v>-27</v>
      </c>
      <c r="C69" s="0" t="n">
        <f aca="false">IF(B69&lt;=0,0,IF(A69=1,Inputs!$B$58,H68))</f>
        <v>0</v>
      </c>
      <c r="D69" s="0" t="n">
        <f aca="false">C69*Inputs!$B$9</f>
        <v>0</v>
      </c>
      <c r="E69" s="0" t="n">
        <f aca="false">(C69-D69)*Inputs!$C$58/12</f>
        <v>0</v>
      </c>
      <c r="F69" s="0" t="n">
        <f aca="false">IF(B69&lt;=0,0,IF(B69=1,C69-D69,MIN((C69-D69)*(Inputs!$C$58/12)/(1-(1+Inputs!$C$58/12)^(-B69))-E69,C69-D69)))</f>
        <v>0</v>
      </c>
      <c r="G69" s="0" t="n">
        <f aca="false">(C69-D69-F69)*Inputs!$B$10</f>
        <v>0</v>
      </c>
      <c r="H69" s="0" t="n">
        <f aca="false">C69-D69-F69-G69</f>
        <v>0</v>
      </c>
      <c r="I69" s="0" t="n">
        <f aca="false">Inputs!$D$59-(A69-1)</f>
        <v>-15</v>
      </c>
      <c r="J69" s="0" t="n">
        <f aca="false">IF(I69&lt;=0,0,IF(A69=1,Inputs!$B$59,O68))</f>
        <v>0</v>
      </c>
      <c r="K69" s="0" t="n">
        <f aca="false">J69*Inputs!$B$9</f>
        <v>0</v>
      </c>
      <c r="L69" s="0" t="n">
        <f aca="false">(J69-K69)*Inputs!$C$59/12</f>
        <v>0</v>
      </c>
      <c r="M69" s="0" t="n">
        <f aca="false">IF(I69&lt;=0,0,IF(I69=1,J69-K69,MIN((J69-K69)*(Inputs!$C$59/12)/(1-(1+Inputs!$C$59/12)^(-I69))-L69,J69-K69)))</f>
        <v>0</v>
      </c>
      <c r="N69" s="0" t="n">
        <f aca="false">(J69-K69-M69)*Inputs!$B$10</f>
        <v>0</v>
      </c>
      <c r="O69" s="0" t="n">
        <f aca="false">J69-K69-M69-N69</f>
        <v>0</v>
      </c>
      <c r="P69" s="0" t="n">
        <f aca="false">Inputs!$D$60-(A69-1)</f>
        <v>-15</v>
      </c>
      <c r="Q69" s="0" t="n">
        <f aca="false">IF(P69&lt;=0,0,IF(A69=1,Inputs!$B$60,V68))</f>
        <v>0</v>
      </c>
      <c r="R69" s="0" t="n">
        <f aca="false">Q69*Inputs!$B$9</f>
        <v>0</v>
      </c>
      <c r="S69" s="0" t="n">
        <f aca="false">(Q69-R69)*Inputs!$C$60/12</f>
        <v>0</v>
      </c>
      <c r="T69" s="0" t="n">
        <f aca="false">IF(P69&lt;=0,0,IF(P69=1,Q69-R69,MIN((Q69-R69)*(Inputs!$C$60/12)/(1-(1+Inputs!$C$60/12)^(-P69))-S69,Q69-R69)))</f>
        <v>0</v>
      </c>
      <c r="U69" s="0" t="n">
        <f aca="false">(Q69-R69-T69)*Inputs!$B$10</f>
        <v>0</v>
      </c>
      <c r="V69" s="0" t="n">
        <f aca="false">Q69-R69-T69-U69</f>
        <v>0</v>
      </c>
      <c r="W69" s="0" t="n">
        <f aca="false">Inputs!$D$61-(A69-1)</f>
        <v>-3</v>
      </c>
      <c r="X69" s="0" t="n">
        <f aca="false">IF(W69&lt;=0,0,IF(A69=1,Inputs!$B$61,AC68))</f>
        <v>0</v>
      </c>
      <c r="Y69" s="0" t="n">
        <f aca="false">X69*Inputs!$B$9</f>
        <v>0</v>
      </c>
      <c r="Z69" s="0" t="n">
        <f aca="false">(X69-Y69)*Inputs!$C$61/12</f>
        <v>0</v>
      </c>
      <c r="AA69" s="0" t="n">
        <f aca="false">IF(W69&lt;=0,0,IF(W69=1,X69-Y69,MIN((X69-Y69)*(Inputs!$C$61/12)/(1-(1+Inputs!$C$61/12)^(-W69))-Z69,X69-Y69)))</f>
        <v>0</v>
      </c>
      <c r="AB69" s="0" t="n">
        <f aca="false">(X69-Y69-AA69)*Inputs!$B$10</f>
        <v>0</v>
      </c>
      <c r="AC69" s="0" t="n">
        <f aca="false">X69-Y69-AA69-AB69</f>
        <v>0</v>
      </c>
      <c r="AD69" s="0" t="n">
        <f aca="false">Inputs!$D$62-(A69-1)</f>
        <v>-3</v>
      </c>
      <c r="AE69" s="0" t="n">
        <f aca="false">IF(AD69&lt;=0,0,IF(A69=1,Inputs!$B$62,AJ68))</f>
        <v>0</v>
      </c>
      <c r="AF69" s="0" t="n">
        <f aca="false">AE69*Inputs!$B$9</f>
        <v>0</v>
      </c>
      <c r="AG69" s="0" t="n">
        <f aca="false">(AE69-AF69)*Inputs!$C$62/12</f>
        <v>0</v>
      </c>
      <c r="AH69" s="0" t="n">
        <f aca="false">IF(AD69&lt;=0,0,IF(AD69=1,AE69-AF69,MIN((AE69-AF69)*(Inputs!$C$62/12)/(1-(1+Inputs!$C$62/12)^(-AD69))-AG69,AE69-AF69)))</f>
        <v>0</v>
      </c>
      <c r="AI69" s="0" t="n">
        <f aca="false">(AE69-AF69-AH69)*Inputs!$B$10</f>
        <v>0</v>
      </c>
      <c r="AJ69" s="0" t="n">
        <f aca="false">AE69-AF69-AH69-AI69</f>
        <v>0</v>
      </c>
      <c r="AK69" s="0" t="n">
        <f aca="false">Inputs!$D$63-(A69-1)</f>
        <v>-3</v>
      </c>
      <c r="AL69" s="0" t="n">
        <f aca="false">IF(AK69&lt;=0,0,IF(A69=1,Inputs!$B$63,AQ68))</f>
        <v>0</v>
      </c>
      <c r="AM69" s="0" t="n">
        <f aca="false">AL69*Inputs!$B$9</f>
        <v>0</v>
      </c>
      <c r="AN69" s="0" t="n">
        <f aca="false">(AL69-AM69)*Inputs!$C$63/12</f>
        <v>0</v>
      </c>
      <c r="AO69" s="0" t="n">
        <f aca="false">IF(AK69&lt;=0,0,IF(AK69=1,AL69-AM69,MIN((AL69-AM69)*(Inputs!$C$63/12)/(1-(1+Inputs!$C$63/12)^(-AK69))-AN69,AL69-AM69)))</f>
        <v>0</v>
      </c>
      <c r="AP69" s="0" t="n">
        <f aca="false">(AL69-AM69-AO69)*Inputs!$B$10</f>
        <v>0</v>
      </c>
      <c r="AQ69" s="0" t="n">
        <f aca="false">AL69-AM69-AO69-AP69</f>
        <v>0</v>
      </c>
      <c r="AR69" s="0" t="n">
        <f aca="false">Inputs!$D$64-(A69-1)</f>
        <v>9</v>
      </c>
      <c r="AS69" s="0" t="n">
        <f aca="false">IF(AR69&lt;=0,0,IF(A69=1,Inputs!$B$64,AX68))</f>
        <v>2747608.48258261</v>
      </c>
      <c r="AT69" s="0" t="n">
        <f aca="false">AS69*Inputs!$B$9</f>
        <v>6965.32107513696</v>
      </c>
      <c r="AU69" s="0" t="n">
        <f aca="false">(AS69-AT69)*Inputs!$C$64/12</f>
        <v>22381.919152311</v>
      </c>
      <c r="AV69" s="0" t="n">
        <f aca="false">IF(AR69&lt;=0,0,IF(AR69=1,AS69-AT69,MIN((AS69-AT69)*(Inputs!$C$64/12)/(1-(1+Inputs!$C$64/12)^(-AR69))-AU69,AS69-AT69)))</f>
        <v>294703.221937311</v>
      </c>
      <c r="AW69" s="0" t="n">
        <f aca="false">(AS69-AT69-AV69)*Inputs!$B$10</f>
        <v>21381.4553702767</v>
      </c>
      <c r="AX69" s="0" t="n">
        <f aca="false">AS69-AT69-AV69-AW69</f>
        <v>2424558.48419988</v>
      </c>
      <c r="AY69" s="0" t="n">
        <f aca="false">Inputs!$D$65-(A69-1)</f>
        <v>9</v>
      </c>
      <c r="AZ69" s="0" t="n">
        <f aca="false">IF(AY69&lt;=0,0,IF(A69=1,Inputs!$B$65,BE68))</f>
        <v>2874310.90246892</v>
      </c>
      <c r="BA69" s="0" t="n">
        <f aca="false">AZ69*Inputs!$B$9</f>
        <v>7286.51786903951</v>
      </c>
      <c r="BB69" s="0" t="n">
        <f aca="false">(AZ69-BA69)*Inputs!$C$65/12</f>
        <v>24608.6259678156</v>
      </c>
      <c r="BC69" s="0" t="n">
        <f aca="false">IF(AY69&lt;=0,0,IF(AY69=1,AZ69-BA69,MIN((AZ69-BA69)*(Inputs!$C$65/12)/(1-(1+Inputs!$C$65/12)^(-AY69))-BB69,AZ69-BA69)))</f>
        <v>307776.876893492</v>
      </c>
      <c r="BD69" s="0" t="n">
        <f aca="false">(AZ69-BA69-BC69)*Inputs!$B$10</f>
        <v>22371.9460491464</v>
      </c>
      <c r="BE69" s="0" t="n">
        <f aca="false">AZ69-BA69-BC69-BD69</f>
        <v>2536875.56165724</v>
      </c>
      <c r="BF69" s="0" t="n">
        <f aca="false">Inputs!$D$66-(A69-1)</f>
        <v>21</v>
      </c>
      <c r="BG69" s="0" t="n">
        <f aca="false">IF(BF69&lt;=0,0,IF(A69=1,Inputs!$B$66,BL68))</f>
        <v>5706775.81031366</v>
      </c>
      <c r="BH69" s="0" t="n">
        <f aca="false">BG69*Inputs!$B$9</f>
        <v>14466.9541074124</v>
      </c>
      <c r="BI69" s="0" t="n">
        <f aca="false">(BG69-BH69)*Inputs!$C$66/12</f>
        <v>50044.8820274799</v>
      </c>
      <c r="BJ69" s="0" t="n">
        <f aca="false">IF(BF69&lt;=0,0,IF(BF69=1,BG69-BH69,MIN((BG69-BH69)*(Inputs!$C$66/12)/(1-(1+Inputs!$C$66/12)^(-BF69))-BI69,BG69-BH69)))</f>
        <v>247995.857055505</v>
      </c>
      <c r="BK69" s="0" t="n">
        <f aca="false">(BG69-BH69-BJ69)*Inputs!$B$10</f>
        <v>47592.0661541739</v>
      </c>
      <c r="BL69" s="0" t="n">
        <f aca="false">BG69-BH69-BJ69-BK69</f>
        <v>5396720.93299657</v>
      </c>
      <c r="BM69" s="0" t="n">
        <f aca="false">Inputs!$D$67-(A69-1)</f>
        <v>21</v>
      </c>
      <c r="BN69" s="0" t="n">
        <f aca="false">IF(BM69&lt;=0,0,IF(A69=1,Inputs!$B$67,BS68))</f>
        <v>7559916.78178266</v>
      </c>
      <c r="BO69" s="0" t="n">
        <f aca="false">BN69*Inputs!$B$9</f>
        <v>19164.7565583788</v>
      </c>
      <c r="BP69" s="0" t="n">
        <f aca="false">(BN69-BO69)*Inputs!$C$67/12</f>
        <v>69437.7582322736</v>
      </c>
      <c r="BQ69" s="0" t="n">
        <f aca="false">IF(BM69&lt;=0,0,IF(BM69=1,BN69-BO69,MIN((BN69-BO69)*(Inputs!$C$67/12)/(1-(1+Inputs!$C$67/12)^(-BM69))-BP69,BN69-BO69)))</f>
        <v>327128.457738895</v>
      </c>
      <c r="BR69" s="0" t="n">
        <f aca="false">(BN69-BO69-BQ69)*Inputs!$B$10</f>
        <v>63058.6908005887</v>
      </c>
      <c r="BS69" s="0" t="n">
        <f aca="false">BN69-BO69-BQ69-BR69</f>
        <v>7150564.87668479</v>
      </c>
      <c r="BT69" s="0" t="n">
        <f aca="false">C69+J69+Q69+X69+AE69+AL69+AS69+AZ69+BG69+BN69</f>
        <v>18888611.9771478</v>
      </c>
      <c r="BU69" s="0" t="n">
        <f aca="false">D69+K69+R69+Y69+AF69+AM69+AT69+BA69+BH69+BO69</f>
        <v>47883.5496099677</v>
      </c>
      <c r="BV69" s="0" t="n">
        <f aca="false">E69+L69+S69+Z69+AG69+AN69+AU69+BB69+BI69+BP69</f>
        <v>166473.18537988</v>
      </c>
      <c r="BW69" s="0" t="n">
        <f aca="false">F69+M69+T69+AA69+AH69+AO69+AV69+BC69+BJ69+BQ69</f>
        <v>1177604.4136252</v>
      </c>
      <c r="BX69" s="0" t="n">
        <f aca="false">G69+N69+U69+AB69+AI69+AP69+AW69+BD69+BK69+BR69</f>
        <v>154404.158374186</v>
      </c>
      <c r="BY69" s="0" t="n">
        <f aca="false">H69+O69+V69+AC69+AJ69+AQ69+AX69+BE69+BL69+BS69</f>
        <v>17508719.8555385</v>
      </c>
      <c r="BZ69" s="0" t="n">
        <f aca="false">IF(A69&gt;Inputs!$B$7,(1-Inputs!$B$6)*INDEX($BU$6:$BU$125,A69-Inputs!$B$7),0)</f>
        <v>47273.6025302073</v>
      </c>
      <c r="CA69" s="0" t="n">
        <f aca="false">CA68+(1-Inputs!$B$6)*BU69-BZ69</f>
        <v>210161.733670059</v>
      </c>
      <c r="CB69" s="0" t="n">
        <f aca="false">BY69+CA69</f>
        <v>17718881.5892085</v>
      </c>
      <c r="CC69" s="0" t="n">
        <f aca="false">BV69+BW69+BX69+BZ69</f>
        <v>1545755.35990948</v>
      </c>
      <c r="CD69" s="0" t="n">
        <f aca="false">CD68+BU69-BZ69</f>
        <v>10973857.9741754</v>
      </c>
    </row>
    <row r="70" customFormat="false" ht="15" hidden="false" customHeight="false" outlineLevel="0" collapsed="false">
      <c r="A70" s="0" t="n">
        <f aca="false">ROW()-5</f>
        <v>65</v>
      </c>
      <c r="B70" s="0" t="n">
        <f aca="false">Inputs!$D$58-(A70-1)</f>
        <v>-28</v>
      </c>
      <c r="C70" s="0" t="n">
        <f aca="false">IF(B70&lt;=0,0,IF(A70=1,Inputs!$B$58,H69))</f>
        <v>0</v>
      </c>
      <c r="D70" s="0" t="n">
        <f aca="false">C70*Inputs!$B$9</f>
        <v>0</v>
      </c>
      <c r="E70" s="0" t="n">
        <f aca="false">(C70-D70)*Inputs!$C$58/12</f>
        <v>0</v>
      </c>
      <c r="F70" s="0" t="n">
        <f aca="false">IF(B70&lt;=0,0,IF(B70=1,C70-D70,MIN((C70-D70)*(Inputs!$C$58/12)/(1-(1+Inputs!$C$58/12)^(-B70))-E70,C70-D70)))</f>
        <v>0</v>
      </c>
      <c r="G70" s="0" t="n">
        <f aca="false">(C70-D70-F70)*Inputs!$B$10</f>
        <v>0</v>
      </c>
      <c r="H70" s="0" t="n">
        <f aca="false">C70-D70-F70-G70</f>
        <v>0</v>
      </c>
      <c r="I70" s="0" t="n">
        <f aca="false">Inputs!$D$59-(A70-1)</f>
        <v>-16</v>
      </c>
      <c r="J70" s="0" t="n">
        <f aca="false">IF(I70&lt;=0,0,IF(A70=1,Inputs!$B$59,O69))</f>
        <v>0</v>
      </c>
      <c r="K70" s="0" t="n">
        <f aca="false">J70*Inputs!$B$9</f>
        <v>0</v>
      </c>
      <c r="L70" s="0" t="n">
        <f aca="false">(J70-K70)*Inputs!$C$59/12</f>
        <v>0</v>
      </c>
      <c r="M70" s="0" t="n">
        <f aca="false">IF(I70&lt;=0,0,IF(I70=1,J70-K70,MIN((J70-K70)*(Inputs!$C$59/12)/(1-(1+Inputs!$C$59/12)^(-I70))-L70,J70-K70)))</f>
        <v>0</v>
      </c>
      <c r="N70" s="0" t="n">
        <f aca="false">(J70-K70-M70)*Inputs!$B$10</f>
        <v>0</v>
      </c>
      <c r="O70" s="0" t="n">
        <f aca="false">J70-K70-M70-N70</f>
        <v>0</v>
      </c>
      <c r="P70" s="0" t="n">
        <f aca="false">Inputs!$D$60-(A70-1)</f>
        <v>-16</v>
      </c>
      <c r="Q70" s="0" t="n">
        <f aca="false">IF(P70&lt;=0,0,IF(A70=1,Inputs!$B$60,V69))</f>
        <v>0</v>
      </c>
      <c r="R70" s="0" t="n">
        <f aca="false">Q70*Inputs!$B$9</f>
        <v>0</v>
      </c>
      <c r="S70" s="0" t="n">
        <f aca="false">(Q70-R70)*Inputs!$C$60/12</f>
        <v>0</v>
      </c>
      <c r="T70" s="0" t="n">
        <f aca="false">IF(P70&lt;=0,0,IF(P70=1,Q70-R70,MIN((Q70-R70)*(Inputs!$C$60/12)/(1-(1+Inputs!$C$60/12)^(-P70))-S70,Q70-R70)))</f>
        <v>0</v>
      </c>
      <c r="U70" s="0" t="n">
        <f aca="false">(Q70-R70-T70)*Inputs!$B$10</f>
        <v>0</v>
      </c>
      <c r="V70" s="0" t="n">
        <f aca="false">Q70-R70-T70-U70</f>
        <v>0</v>
      </c>
      <c r="W70" s="0" t="n">
        <f aca="false">Inputs!$D$61-(A70-1)</f>
        <v>-4</v>
      </c>
      <c r="X70" s="0" t="n">
        <f aca="false">IF(W70&lt;=0,0,IF(A70=1,Inputs!$B$61,AC69))</f>
        <v>0</v>
      </c>
      <c r="Y70" s="0" t="n">
        <f aca="false">X70*Inputs!$B$9</f>
        <v>0</v>
      </c>
      <c r="Z70" s="0" t="n">
        <f aca="false">(X70-Y70)*Inputs!$C$61/12</f>
        <v>0</v>
      </c>
      <c r="AA70" s="0" t="n">
        <f aca="false">IF(W70&lt;=0,0,IF(W70=1,X70-Y70,MIN((X70-Y70)*(Inputs!$C$61/12)/(1-(1+Inputs!$C$61/12)^(-W70))-Z70,X70-Y70)))</f>
        <v>0</v>
      </c>
      <c r="AB70" s="0" t="n">
        <f aca="false">(X70-Y70-AA70)*Inputs!$B$10</f>
        <v>0</v>
      </c>
      <c r="AC70" s="0" t="n">
        <f aca="false">X70-Y70-AA70-AB70</f>
        <v>0</v>
      </c>
      <c r="AD70" s="0" t="n">
        <f aca="false">Inputs!$D$62-(A70-1)</f>
        <v>-4</v>
      </c>
      <c r="AE70" s="0" t="n">
        <f aca="false">IF(AD70&lt;=0,0,IF(A70=1,Inputs!$B$62,AJ69))</f>
        <v>0</v>
      </c>
      <c r="AF70" s="0" t="n">
        <f aca="false">AE70*Inputs!$B$9</f>
        <v>0</v>
      </c>
      <c r="AG70" s="0" t="n">
        <f aca="false">(AE70-AF70)*Inputs!$C$62/12</f>
        <v>0</v>
      </c>
      <c r="AH70" s="0" t="n">
        <f aca="false">IF(AD70&lt;=0,0,IF(AD70=1,AE70-AF70,MIN((AE70-AF70)*(Inputs!$C$62/12)/(1-(1+Inputs!$C$62/12)^(-AD70))-AG70,AE70-AF70)))</f>
        <v>0</v>
      </c>
      <c r="AI70" s="0" t="n">
        <f aca="false">(AE70-AF70-AH70)*Inputs!$B$10</f>
        <v>0</v>
      </c>
      <c r="AJ70" s="0" t="n">
        <f aca="false">AE70-AF70-AH70-AI70</f>
        <v>0</v>
      </c>
      <c r="AK70" s="0" t="n">
        <f aca="false">Inputs!$D$63-(A70-1)</f>
        <v>-4</v>
      </c>
      <c r="AL70" s="0" t="n">
        <f aca="false">IF(AK70&lt;=0,0,IF(A70=1,Inputs!$B$63,AQ69))</f>
        <v>0</v>
      </c>
      <c r="AM70" s="0" t="n">
        <f aca="false">AL70*Inputs!$B$9</f>
        <v>0</v>
      </c>
      <c r="AN70" s="0" t="n">
        <f aca="false">(AL70-AM70)*Inputs!$C$63/12</f>
        <v>0</v>
      </c>
      <c r="AO70" s="0" t="n">
        <f aca="false">IF(AK70&lt;=0,0,IF(AK70=1,AL70-AM70,MIN((AL70-AM70)*(Inputs!$C$63/12)/(1-(1+Inputs!$C$63/12)^(-AK70))-AN70,AL70-AM70)))</f>
        <v>0</v>
      </c>
      <c r="AP70" s="0" t="n">
        <f aca="false">(AL70-AM70-AO70)*Inputs!$B$10</f>
        <v>0</v>
      </c>
      <c r="AQ70" s="0" t="n">
        <f aca="false">AL70-AM70-AO70-AP70</f>
        <v>0</v>
      </c>
      <c r="AR70" s="0" t="n">
        <f aca="false">Inputs!$D$64-(A70-1)</f>
        <v>8</v>
      </c>
      <c r="AS70" s="0" t="n">
        <f aca="false">IF(AR70&lt;=0,0,IF(A70=1,Inputs!$B$64,AX69))</f>
        <v>2424558.48419988</v>
      </c>
      <c r="AT70" s="0" t="n">
        <f aca="false">AS70*Inputs!$B$9</f>
        <v>6146.37362453689</v>
      </c>
      <c r="AU70" s="0" t="n">
        <f aca="false">(AS70-AT70)*Inputs!$C$64/12</f>
        <v>19750.3655696987</v>
      </c>
      <c r="AV70" s="0" t="n">
        <f aca="false">IF(AR70&lt;=0,0,IF(AR70=1,AS70-AT70,MIN((AS70-AT70)*(Inputs!$C$64/12)/(1-(1+Inputs!$C$64/12)^(-AR70))-AU70,AS70-AT70)))</f>
        <v>293766.141065945</v>
      </c>
      <c r="AW70" s="0" t="n">
        <f aca="false">(AS70-AT70-AV70)*Inputs!$B$10</f>
        <v>18572.8284819156</v>
      </c>
      <c r="AX70" s="0" t="n">
        <f aca="false">AS70-AT70-AV70-AW70</f>
        <v>2106073.14102749</v>
      </c>
      <c r="AY70" s="0" t="n">
        <f aca="false">Inputs!$D$65-(A70-1)</f>
        <v>8</v>
      </c>
      <c r="AZ70" s="0" t="n">
        <f aca="false">IF(AY70&lt;=0,0,IF(A70=1,Inputs!$B$65,BE69))</f>
        <v>2536875.56165724</v>
      </c>
      <c r="BA70" s="0" t="n">
        <f aca="false">AZ70*Inputs!$B$9</f>
        <v>6431.10287605536</v>
      </c>
      <c r="BB70" s="0" t="n">
        <f aca="false">(AZ70-BA70)*Inputs!$C$65/12</f>
        <v>21719.6482712052</v>
      </c>
      <c r="BC70" s="0" t="n">
        <f aca="false">IF(AY70&lt;=0,0,IF(AY70=1,AZ70-BA70,MIN((AZ70-BA70)*(Inputs!$C$65/12)/(1-(1+Inputs!$C$65/12)^(-AY70))-BB70,AZ70-BA70)))</f>
        <v>306925.02222742</v>
      </c>
      <c r="BD70" s="0" t="n">
        <f aca="false">(AZ70-BA70-BC70)*Inputs!$B$10</f>
        <v>19437.1418645595</v>
      </c>
      <c r="BE70" s="0" t="n">
        <f aca="false">AZ70-BA70-BC70-BD70</f>
        <v>2204082.29468921</v>
      </c>
      <c r="BF70" s="0" t="n">
        <f aca="false">Inputs!$D$66-(A70-1)</f>
        <v>20</v>
      </c>
      <c r="BG70" s="0" t="n">
        <f aca="false">IF(BF70&lt;=0,0,IF(A70=1,Inputs!$B$66,BL69))</f>
        <v>5396720.93299657</v>
      </c>
      <c r="BH70" s="0" t="n">
        <f aca="false">BG70*Inputs!$B$9</f>
        <v>13680.9499204564</v>
      </c>
      <c r="BI70" s="0" t="n">
        <f aca="false">(BG70-BH70)*Inputs!$C$66/12</f>
        <v>47325.8931845442</v>
      </c>
      <c r="BJ70" s="0" t="n">
        <f aca="false">IF(BF70&lt;=0,0,IF(BF70=1,BG70-BH70,MIN((BG70-BH70)*(Inputs!$C$66/12)/(1-(1+Inputs!$C$66/12)^(-BF70))-BI70,BG70-BH70)))</f>
        <v>247360.546650845</v>
      </c>
      <c r="BK70" s="0" t="n">
        <f aca="false">(BG70-BH70-BJ70)*Inputs!$B$10</f>
        <v>44894.1116212658</v>
      </c>
      <c r="BL70" s="0" t="n">
        <f aca="false">BG70-BH70-BJ70-BK70</f>
        <v>5090785.324804</v>
      </c>
      <c r="BM70" s="0" t="n">
        <f aca="false">Inputs!$D$67-(A70-1)</f>
        <v>20</v>
      </c>
      <c r="BN70" s="0" t="n">
        <f aca="false">IF(BM70&lt;=0,0,IF(A70=1,Inputs!$B$67,BS69))</f>
        <v>7150564.87668479</v>
      </c>
      <c r="BO70" s="0" t="n">
        <f aca="false">BN70*Inputs!$B$9</f>
        <v>18127.0295787891</v>
      </c>
      <c r="BP70" s="0" t="n">
        <f aca="false">(BN70-BO70)*Inputs!$C$67/12</f>
        <v>65677.8651754345</v>
      </c>
      <c r="BQ70" s="0" t="n">
        <f aca="false">IF(BM70&lt;=0,0,IF(BM70=1,BN70-BO70,MIN((BN70-BO70)*(Inputs!$C$67/12)/(1-(1+Inputs!$C$67/12)^(-BM70))-BP70,BN70-BO70)))</f>
        <v>326425.196651282</v>
      </c>
      <c r="BR70" s="0" t="n">
        <f aca="false">(BN70-BO70-BQ70)*Inputs!$B$10</f>
        <v>59495.5147430195</v>
      </c>
      <c r="BS70" s="0" t="n">
        <f aca="false">BN70-BO70-BQ70-BR70</f>
        <v>6746517.1357117</v>
      </c>
      <c r="BT70" s="0" t="n">
        <f aca="false">C70+J70+Q70+X70+AE70+AL70+AS70+AZ70+BG70+BN70</f>
        <v>17508719.8555385</v>
      </c>
      <c r="BU70" s="0" t="n">
        <f aca="false">D70+K70+R70+Y70+AF70+AM70+AT70+BA70+BH70+BO70</f>
        <v>44385.4559998377</v>
      </c>
      <c r="BV70" s="0" t="n">
        <f aca="false">E70+L70+S70+Z70+AG70+AN70+AU70+BB70+BI70+BP70</f>
        <v>154473.772200882</v>
      </c>
      <c r="BW70" s="0" t="n">
        <f aca="false">F70+M70+T70+AA70+AH70+AO70+AV70+BC70+BJ70+BQ70</f>
        <v>1174476.90659549</v>
      </c>
      <c r="BX70" s="0" t="n">
        <f aca="false">G70+N70+U70+AB70+AI70+AP70+AW70+BD70+BK70+BR70</f>
        <v>142399.59671076</v>
      </c>
      <c r="BY70" s="0" t="n">
        <f aca="false">H70+O70+V70+AC70+AJ70+AQ70+AX70+BE70+BL70+BS70</f>
        <v>16147457.8962324</v>
      </c>
      <c r="BZ70" s="0" t="n">
        <f aca="false">IF(A70&gt;Inputs!$B$7,(1-Inputs!$B$6)*INDEX($BU$6:$BU$125,A70-Inputs!$B$7),0)</f>
        <v>43191.9630770796</v>
      </c>
      <c r="CA70" s="0" t="n">
        <f aca="false">CA69+(1-Inputs!$B$6)*BU70-BZ70</f>
        <v>193601.044192882</v>
      </c>
      <c r="CB70" s="0" t="n">
        <f aca="false">BY70+CA70</f>
        <v>16341058.9404253</v>
      </c>
      <c r="CC70" s="0" t="n">
        <f aca="false">BV70+BW70+BX70+BZ70</f>
        <v>1514542.23858421</v>
      </c>
      <c r="CD70" s="0" t="n">
        <f aca="false">CD69+BU70-BZ70</f>
        <v>10975051.4670981</v>
      </c>
    </row>
    <row r="71" customFormat="false" ht="15" hidden="false" customHeight="false" outlineLevel="0" collapsed="false">
      <c r="A71" s="0" t="n">
        <f aca="false">ROW()-5</f>
        <v>66</v>
      </c>
      <c r="B71" s="0" t="n">
        <f aca="false">Inputs!$D$58-(A71-1)</f>
        <v>-29</v>
      </c>
      <c r="C71" s="0" t="n">
        <f aca="false">IF(B71&lt;=0,0,IF(A71=1,Inputs!$B$58,H70))</f>
        <v>0</v>
      </c>
      <c r="D71" s="0" t="n">
        <f aca="false">C71*Inputs!$B$9</f>
        <v>0</v>
      </c>
      <c r="E71" s="0" t="n">
        <f aca="false">(C71-D71)*Inputs!$C$58/12</f>
        <v>0</v>
      </c>
      <c r="F71" s="0" t="n">
        <f aca="false">IF(B71&lt;=0,0,IF(B71=1,C71-D71,MIN((C71-D71)*(Inputs!$C$58/12)/(1-(1+Inputs!$C$58/12)^(-B71))-E71,C71-D71)))</f>
        <v>0</v>
      </c>
      <c r="G71" s="0" t="n">
        <f aca="false">(C71-D71-F71)*Inputs!$B$10</f>
        <v>0</v>
      </c>
      <c r="H71" s="0" t="n">
        <f aca="false">C71-D71-F71-G71</f>
        <v>0</v>
      </c>
      <c r="I71" s="0" t="n">
        <f aca="false">Inputs!$D$59-(A71-1)</f>
        <v>-17</v>
      </c>
      <c r="J71" s="0" t="n">
        <f aca="false">IF(I71&lt;=0,0,IF(A71=1,Inputs!$B$59,O70))</f>
        <v>0</v>
      </c>
      <c r="K71" s="0" t="n">
        <f aca="false">J71*Inputs!$B$9</f>
        <v>0</v>
      </c>
      <c r="L71" s="0" t="n">
        <f aca="false">(J71-K71)*Inputs!$C$59/12</f>
        <v>0</v>
      </c>
      <c r="M71" s="0" t="n">
        <f aca="false">IF(I71&lt;=0,0,IF(I71=1,J71-K71,MIN((J71-K71)*(Inputs!$C$59/12)/(1-(1+Inputs!$C$59/12)^(-I71))-L71,J71-K71)))</f>
        <v>0</v>
      </c>
      <c r="N71" s="0" t="n">
        <f aca="false">(J71-K71-M71)*Inputs!$B$10</f>
        <v>0</v>
      </c>
      <c r="O71" s="0" t="n">
        <f aca="false">J71-K71-M71-N71</f>
        <v>0</v>
      </c>
      <c r="P71" s="0" t="n">
        <f aca="false">Inputs!$D$60-(A71-1)</f>
        <v>-17</v>
      </c>
      <c r="Q71" s="0" t="n">
        <f aca="false">IF(P71&lt;=0,0,IF(A71=1,Inputs!$B$60,V70))</f>
        <v>0</v>
      </c>
      <c r="R71" s="0" t="n">
        <f aca="false">Q71*Inputs!$B$9</f>
        <v>0</v>
      </c>
      <c r="S71" s="0" t="n">
        <f aca="false">(Q71-R71)*Inputs!$C$60/12</f>
        <v>0</v>
      </c>
      <c r="T71" s="0" t="n">
        <f aca="false">IF(P71&lt;=0,0,IF(P71=1,Q71-R71,MIN((Q71-R71)*(Inputs!$C$60/12)/(1-(1+Inputs!$C$60/12)^(-P71))-S71,Q71-R71)))</f>
        <v>0</v>
      </c>
      <c r="U71" s="0" t="n">
        <f aca="false">(Q71-R71-T71)*Inputs!$B$10</f>
        <v>0</v>
      </c>
      <c r="V71" s="0" t="n">
        <f aca="false">Q71-R71-T71-U71</f>
        <v>0</v>
      </c>
      <c r="W71" s="0" t="n">
        <f aca="false">Inputs!$D$61-(A71-1)</f>
        <v>-5</v>
      </c>
      <c r="X71" s="0" t="n">
        <f aca="false">IF(W71&lt;=0,0,IF(A71=1,Inputs!$B$61,AC70))</f>
        <v>0</v>
      </c>
      <c r="Y71" s="0" t="n">
        <f aca="false">X71*Inputs!$B$9</f>
        <v>0</v>
      </c>
      <c r="Z71" s="0" t="n">
        <f aca="false">(X71-Y71)*Inputs!$C$61/12</f>
        <v>0</v>
      </c>
      <c r="AA71" s="0" t="n">
        <f aca="false">IF(W71&lt;=0,0,IF(W71=1,X71-Y71,MIN((X71-Y71)*(Inputs!$C$61/12)/(1-(1+Inputs!$C$61/12)^(-W71))-Z71,X71-Y71)))</f>
        <v>0</v>
      </c>
      <c r="AB71" s="0" t="n">
        <f aca="false">(X71-Y71-AA71)*Inputs!$B$10</f>
        <v>0</v>
      </c>
      <c r="AC71" s="0" t="n">
        <f aca="false">X71-Y71-AA71-AB71</f>
        <v>0</v>
      </c>
      <c r="AD71" s="0" t="n">
        <f aca="false">Inputs!$D$62-(A71-1)</f>
        <v>-5</v>
      </c>
      <c r="AE71" s="0" t="n">
        <f aca="false">IF(AD71&lt;=0,0,IF(A71=1,Inputs!$B$62,AJ70))</f>
        <v>0</v>
      </c>
      <c r="AF71" s="0" t="n">
        <f aca="false">AE71*Inputs!$B$9</f>
        <v>0</v>
      </c>
      <c r="AG71" s="0" t="n">
        <f aca="false">(AE71-AF71)*Inputs!$C$62/12</f>
        <v>0</v>
      </c>
      <c r="AH71" s="0" t="n">
        <f aca="false">IF(AD71&lt;=0,0,IF(AD71=1,AE71-AF71,MIN((AE71-AF71)*(Inputs!$C$62/12)/(1-(1+Inputs!$C$62/12)^(-AD71))-AG71,AE71-AF71)))</f>
        <v>0</v>
      </c>
      <c r="AI71" s="0" t="n">
        <f aca="false">(AE71-AF71-AH71)*Inputs!$B$10</f>
        <v>0</v>
      </c>
      <c r="AJ71" s="0" t="n">
        <f aca="false">AE71-AF71-AH71-AI71</f>
        <v>0</v>
      </c>
      <c r="AK71" s="0" t="n">
        <f aca="false">Inputs!$D$63-(A71-1)</f>
        <v>-5</v>
      </c>
      <c r="AL71" s="0" t="n">
        <f aca="false">IF(AK71&lt;=0,0,IF(A71=1,Inputs!$B$63,AQ70))</f>
        <v>0</v>
      </c>
      <c r="AM71" s="0" t="n">
        <f aca="false">AL71*Inputs!$B$9</f>
        <v>0</v>
      </c>
      <c r="AN71" s="0" t="n">
        <f aca="false">(AL71-AM71)*Inputs!$C$63/12</f>
        <v>0</v>
      </c>
      <c r="AO71" s="0" t="n">
        <f aca="false">IF(AK71&lt;=0,0,IF(AK71=1,AL71-AM71,MIN((AL71-AM71)*(Inputs!$C$63/12)/(1-(1+Inputs!$C$63/12)^(-AK71))-AN71,AL71-AM71)))</f>
        <v>0</v>
      </c>
      <c r="AP71" s="0" t="n">
        <f aca="false">(AL71-AM71-AO71)*Inputs!$B$10</f>
        <v>0</v>
      </c>
      <c r="AQ71" s="0" t="n">
        <f aca="false">AL71-AM71-AO71-AP71</f>
        <v>0</v>
      </c>
      <c r="AR71" s="0" t="n">
        <f aca="false">Inputs!$D$64-(A71-1)</f>
        <v>7</v>
      </c>
      <c r="AS71" s="0" t="n">
        <f aca="false">IF(AR71&lt;=0,0,IF(A71=1,Inputs!$B$64,AX70))</f>
        <v>2106073.14102749</v>
      </c>
      <c r="AT71" s="0" t="n">
        <f aca="false">AS71*Inputs!$B$9</f>
        <v>5338.99779680041</v>
      </c>
      <c r="AU71" s="0" t="n">
        <f aca="false">(AS71-AT71)*Inputs!$C$64/12</f>
        <v>17155.9955030506</v>
      </c>
      <c r="AV71" s="0" t="n">
        <f aca="false">IF(AR71&lt;=0,0,IF(AR71=1,AS71-AT71,MIN((AS71-AT71)*(Inputs!$C$64/12)/(1-(1+Inputs!$C$64/12)^(-AR71))-AU71,AS71-AT71)))</f>
        <v>292832.039872079</v>
      </c>
      <c r="AW71" s="0" t="n">
        <f aca="false">(AS71-AT71-AV71)*Inputs!$B$10</f>
        <v>15803.9768317388</v>
      </c>
      <c r="AX71" s="0" t="n">
        <f aca="false">AS71-AT71-AV71-AW71</f>
        <v>1792098.12652687</v>
      </c>
      <c r="AY71" s="0" t="n">
        <f aca="false">Inputs!$D$65-(A71-1)</f>
        <v>7</v>
      </c>
      <c r="AZ71" s="0" t="n">
        <f aca="false">IF(AY71&lt;=0,0,IF(A71=1,Inputs!$B$65,BE70))</f>
        <v>2204082.29468921</v>
      </c>
      <c r="BA71" s="0" t="n">
        <f aca="false">AZ71*Inputs!$B$9</f>
        <v>5587.45576593386</v>
      </c>
      <c r="BB71" s="0" t="n">
        <f aca="false">(AZ71-BA71)*Inputs!$C$65/12</f>
        <v>18870.4140340914</v>
      </c>
      <c r="BC71" s="0" t="n">
        <f aca="false">IF(AY71&lt;=0,0,IF(AY71=1,AZ71-BA71,MIN((AZ71-BA71)*(Inputs!$C$65/12)/(1-(1+Inputs!$C$65/12)^(-AY71))-BB71,AZ71-BA71)))</f>
        <v>306075.525296535</v>
      </c>
      <c r="BD71" s="0" t="n">
        <f aca="false">(AZ71-BA71-BC71)*Inputs!$B$10</f>
        <v>16542.7934028791</v>
      </c>
      <c r="BE71" s="0" t="n">
        <f aca="false">AZ71-BA71-BC71-BD71</f>
        <v>1875876.52022386</v>
      </c>
      <c r="BF71" s="0" t="n">
        <f aca="false">Inputs!$D$66-(A71-1)</f>
        <v>19</v>
      </c>
      <c r="BG71" s="0" t="n">
        <f aca="false">IF(BF71&lt;=0,0,IF(A71=1,Inputs!$B$66,BL70))</f>
        <v>5090785.324804</v>
      </c>
      <c r="BH71" s="0" t="n">
        <f aca="false">BG71*Inputs!$B$9</f>
        <v>12905.3882809845</v>
      </c>
      <c r="BI71" s="0" t="n">
        <f aca="false">(BG71-BH71)*Inputs!$C$66/12</f>
        <v>44643.0277752649</v>
      </c>
      <c r="BJ71" s="0" t="n">
        <f aca="false">IF(BF71&lt;=0,0,IF(BF71=1,BG71-BH71,MIN((BG71-BH71)*(Inputs!$C$66/12)/(1-(1+Inputs!$C$66/12)^(-BF71))-BI71,BG71-BH71)))</f>
        <v>246726.863770592</v>
      </c>
      <c r="BK71" s="0" t="n">
        <f aca="false">(BG71-BH71-BJ71)*Inputs!$B$10</f>
        <v>42232.0606245893</v>
      </c>
      <c r="BL71" s="0" t="n">
        <f aca="false">BG71-BH71-BJ71-BK71</f>
        <v>4788921.01212784</v>
      </c>
      <c r="BM71" s="0" t="n">
        <f aca="false">Inputs!$D$67-(A71-1)</f>
        <v>19</v>
      </c>
      <c r="BN71" s="0" t="n">
        <f aca="false">IF(BM71&lt;=0,0,IF(A71=1,Inputs!$B$67,BS70))</f>
        <v>6746517.1357117</v>
      </c>
      <c r="BO71" s="0" t="n">
        <f aca="false">BN71*Inputs!$B$9</f>
        <v>17102.7489131114</v>
      </c>
      <c r="BP71" s="0" t="n">
        <f aca="false">(BN71-BO71)*Inputs!$C$67/12</f>
        <v>61966.6908117704</v>
      </c>
      <c r="BQ71" s="0" t="n">
        <f aca="false">IF(BM71&lt;=0,0,IF(BM71=1,BN71-BO71,MIN((BN71-BO71)*(Inputs!$C$67/12)/(1-(1+Inputs!$C$67/12)^(-BM71))-BP71,BN71-BO71)))</f>
        <v>325723.447435062</v>
      </c>
      <c r="BR71" s="0" t="n">
        <f aca="false">(BN71-BO71-BQ71)*Inputs!$B$10</f>
        <v>55978.5748660324</v>
      </c>
      <c r="BS71" s="0" t="n">
        <f aca="false">BN71-BO71-BQ71-BR71</f>
        <v>6347712.3644975</v>
      </c>
      <c r="BT71" s="0" t="n">
        <f aca="false">C71+J71+Q71+X71+AE71+AL71+AS71+AZ71+BG71+BN71</f>
        <v>16147457.8962324</v>
      </c>
      <c r="BU71" s="0" t="n">
        <f aca="false">D71+K71+R71+Y71+AF71+AM71+AT71+BA71+BH71+BO71</f>
        <v>40934.5907568302</v>
      </c>
      <c r="BV71" s="0" t="n">
        <f aca="false">E71+L71+S71+Z71+AG71+AN71+AU71+BB71+BI71+BP71</f>
        <v>142636.128124177</v>
      </c>
      <c r="BW71" s="0" t="n">
        <f aca="false">F71+M71+T71+AA71+AH71+AO71+AV71+BC71+BJ71+BQ71</f>
        <v>1171357.87637427</v>
      </c>
      <c r="BX71" s="0" t="n">
        <f aca="false">G71+N71+U71+AB71+AI71+AP71+AW71+BD71+BK71+BR71</f>
        <v>130557.40572524</v>
      </c>
      <c r="BY71" s="0" t="n">
        <f aca="false">H71+O71+V71+AC71+AJ71+AQ71+AX71+BE71+BL71+BS71</f>
        <v>14804608.0233761</v>
      </c>
      <c r="BZ71" s="0" t="n">
        <f aca="false">IF(A71&gt;Inputs!$B$7,(1-Inputs!$B$6)*INDEX($BU$6:$BU$125,A71-Inputs!$B$7),0)</f>
        <v>39167.6884891236</v>
      </c>
      <c r="CA71" s="0" t="n">
        <f aca="false">CA70+(1-Inputs!$B$6)*BU71-BZ71</f>
        <v>178994.110157856</v>
      </c>
      <c r="CB71" s="0" t="n">
        <f aca="false">BY71+CA71</f>
        <v>14983602.1335339</v>
      </c>
      <c r="CC71" s="0" t="n">
        <f aca="false">BV71+BW71+BX71+BZ71</f>
        <v>1483719.09871281</v>
      </c>
      <c r="CD71" s="0" t="n">
        <f aca="false">CD70+BU71-BZ71</f>
        <v>10976818.3693659</v>
      </c>
    </row>
    <row r="72" customFormat="false" ht="15" hidden="false" customHeight="false" outlineLevel="0" collapsed="false">
      <c r="A72" s="0" t="n">
        <f aca="false">ROW()-5</f>
        <v>67</v>
      </c>
      <c r="B72" s="0" t="n">
        <f aca="false">Inputs!$D$58-(A72-1)</f>
        <v>-30</v>
      </c>
      <c r="C72" s="0" t="n">
        <f aca="false">IF(B72&lt;=0,0,IF(A72=1,Inputs!$B$58,H71))</f>
        <v>0</v>
      </c>
      <c r="D72" s="0" t="n">
        <f aca="false">C72*Inputs!$B$9</f>
        <v>0</v>
      </c>
      <c r="E72" s="0" t="n">
        <f aca="false">(C72-D72)*Inputs!$C$58/12</f>
        <v>0</v>
      </c>
      <c r="F72" s="0" t="n">
        <f aca="false">IF(B72&lt;=0,0,IF(B72=1,C72-D72,MIN((C72-D72)*(Inputs!$C$58/12)/(1-(1+Inputs!$C$58/12)^(-B72))-E72,C72-D72)))</f>
        <v>0</v>
      </c>
      <c r="G72" s="0" t="n">
        <f aca="false">(C72-D72-F72)*Inputs!$B$10</f>
        <v>0</v>
      </c>
      <c r="H72" s="0" t="n">
        <f aca="false">C72-D72-F72-G72</f>
        <v>0</v>
      </c>
      <c r="I72" s="0" t="n">
        <f aca="false">Inputs!$D$59-(A72-1)</f>
        <v>-18</v>
      </c>
      <c r="J72" s="0" t="n">
        <f aca="false">IF(I72&lt;=0,0,IF(A72=1,Inputs!$B$59,O71))</f>
        <v>0</v>
      </c>
      <c r="K72" s="0" t="n">
        <f aca="false">J72*Inputs!$B$9</f>
        <v>0</v>
      </c>
      <c r="L72" s="0" t="n">
        <f aca="false">(J72-K72)*Inputs!$C$59/12</f>
        <v>0</v>
      </c>
      <c r="M72" s="0" t="n">
        <f aca="false">IF(I72&lt;=0,0,IF(I72=1,J72-K72,MIN((J72-K72)*(Inputs!$C$59/12)/(1-(1+Inputs!$C$59/12)^(-I72))-L72,J72-K72)))</f>
        <v>0</v>
      </c>
      <c r="N72" s="0" t="n">
        <f aca="false">(J72-K72-M72)*Inputs!$B$10</f>
        <v>0</v>
      </c>
      <c r="O72" s="0" t="n">
        <f aca="false">J72-K72-M72-N72</f>
        <v>0</v>
      </c>
      <c r="P72" s="0" t="n">
        <f aca="false">Inputs!$D$60-(A72-1)</f>
        <v>-18</v>
      </c>
      <c r="Q72" s="0" t="n">
        <f aca="false">IF(P72&lt;=0,0,IF(A72=1,Inputs!$B$60,V71))</f>
        <v>0</v>
      </c>
      <c r="R72" s="0" t="n">
        <f aca="false">Q72*Inputs!$B$9</f>
        <v>0</v>
      </c>
      <c r="S72" s="0" t="n">
        <f aca="false">(Q72-R72)*Inputs!$C$60/12</f>
        <v>0</v>
      </c>
      <c r="T72" s="0" t="n">
        <f aca="false">IF(P72&lt;=0,0,IF(P72=1,Q72-R72,MIN((Q72-R72)*(Inputs!$C$60/12)/(1-(1+Inputs!$C$60/12)^(-P72))-S72,Q72-R72)))</f>
        <v>0</v>
      </c>
      <c r="U72" s="0" t="n">
        <f aca="false">(Q72-R72-T72)*Inputs!$B$10</f>
        <v>0</v>
      </c>
      <c r="V72" s="0" t="n">
        <f aca="false">Q72-R72-T72-U72</f>
        <v>0</v>
      </c>
      <c r="W72" s="0" t="n">
        <f aca="false">Inputs!$D$61-(A72-1)</f>
        <v>-6</v>
      </c>
      <c r="X72" s="0" t="n">
        <f aca="false">IF(W72&lt;=0,0,IF(A72=1,Inputs!$B$61,AC71))</f>
        <v>0</v>
      </c>
      <c r="Y72" s="0" t="n">
        <f aca="false">X72*Inputs!$B$9</f>
        <v>0</v>
      </c>
      <c r="Z72" s="0" t="n">
        <f aca="false">(X72-Y72)*Inputs!$C$61/12</f>
        <v>0</v>
      </c>
      <c r="AA72" s="0" t="n">
        <f aca="false">IF(W72&lt;=0,0,IF(W72=1,X72-Y72,MIN((X72-Y72)*(Inputs!$C$61/12)/(1-(1+Inputs!$C$61/12)^(-W72))-Z72,X72-Y72)))</f>
        <v>0</v>
      </c>
      <c r="AB72" s="0" t="n">
        <f aca="false">(X72-Y72-AA72)*Inputs!$B$10</f>
        <v>0</v>
      </c>
      <c r="AC72" s="0" t="n">
        <f aca="false">X72-Y72-AA72-AB72</f>
        <v>0</v>
      </c>
      <c r="AD72" s="0" t="n">
        <f aca="false">Inputs!$D$62-(A72-1)</f>
        <v>-6</v>
      </c>
      <c r="AE72" s="0" t="n">
        <f aca="false">IF(AD72&lt;=0,0,IF(A72=1,Inputs!$B$62,AJ71))</f>
        <v>0</v>
      </c>
      <c r="AF72" s="0" t="n">
        <f aca="false">AE72*Inputs!$B$9</f>
        <v>0</v>
      </c>
      <c r="AG72" s="0" t="n">
        <f aca="false">(AE72-AF72)*Inputs!$C$62/12</f>
        <v>0</v>
      </c>
      <c r="AH72" s="0" t="n">
        <f aca="false">IF(AD72&lt;=0,0,IF(AD72=1,AE72-AF72,MIN((AE72-AF72)*(Inputs!$C$62/12)/(1-(1+Inputs!$C$62/12)^(-AD72))-AG72,AE72-AF72)))</f>
        <v>0</v>
      </c>
      <c r="AI72" s="0" t="n">
        <f aca="false">(AE72-AF72-AH72)*Inputs!$B$10</f>
        <v>0</v>
      </c>
      <c r="AJ72" s="0" t="n">
        <f aca="false">AE72-AF72-AH72-AI72</f>
        <v>0</v>
      </c>
      <c r="AK72" s="0" t="n">
        <f aca="false">Inputs!$D$63-(A72-1)</f>
        <v>-6</v>
      </c>
      <c r="AL72" s="0" t="n">
        <f aca="false">IF(AK72&lt;=0,0,IF(A72=1,Inputs!$B$63,AQ71))</f>
        <v>0</v>
      </c>
      <c r="AM72" s="0" t="n">
        <f aca="false">AL72*Inputs!$B$9</f>
        <v>0</v>
      </c>
      <c r="AN72" s="0" t="n">
        <f aca="false">(AL72-AM72)*Inputs!$C$63/12</f>
        <v>0</v>
      </c>
      <c r="AO72" s="0" t="n">
        <f aca="false">IF(AK72&lt;=0,0,IF(AK72=1,AL72-AM72,MIN((AL72-AM72)*(Inputs!$C$63/12)/(1-(1+Inputs!$C$63/12)^(-AK72))-AN72,AL72-AM72)))</f>
        <v>0</v>
      </c>
      <c r="AP72" s="0" t="n">
        <f aca="false">(AL72-AM72-AO72)*Inputs!$B$10</f>
        <v>0</v>
      </c>
      <c r="AQ72" s="0" t="n">
        <f aca="false">AL72-AM72-AO72-AP72</f>
        <v>0</v>
      </c>
      <c r="AR72" s="0" t="n">
        <f aca="false">Inputs!$D$64-(A72-1)</f>
        <v>6</v>
      </c>
      <c r="AS72" s="0" t="n">
        <f aca="false">IF(AR72&lt;=0,0,IF(A72=1,Inputs!$B$64,AX71))</f>
        <v>1792098.12652687</v>
      </c>
      <c r="AT72" s="0" t="n">
        <f aca="false">AS72*Inputs!$B$9</f>
        <v>4543.05587151126</v>
      </c>
      <c r="AU72" s="0" t="n">
        <f aca="false">(AS72-AT72)*Inputs!$C$64/12</f>
        <v>14598.3664103521</v>
      </c>
      <c r="AV72" s="0" t="n">
        <f aca="false">IF(AR72&lt;=0,0,IF(AR72=1,AS72-AT72,MIN((AS72-AT72)*(Inputs!$C$64/12)/(1-(1+Inputs!$C$64/12)^(-AR72))-AU72,AS72-AT72)))</f>
        <v>291900.9088811</v>
      </c>
      <c r="AW72" s="0" t="n">
        <f aca="false">(AS72-AT72-AV72)*Inputs!$B$10</f>
        <v>13074.4268050036</v>
      </c>
      <c r="AX72" s="0" t="n">
        <f aca="false">AS72-AT72-AV72-AW72</f>
        <v>1482579.73496925</v>
      </c>
      <c r="AY72" s="0" t="n">
        <f aca="false">Inputs!$D$65-(A72-1)</f>
        <v>6</v>
      </c>
      <c r="AZ72" s="0" t="n">
        <f aca="false">IF(AY72&lt;=0,0,IF(A72=1,Inputs!$B$65,BE71))</f>
        <v>1875876.52022386</v>
      </c>
      <c r="BA72" s="0" t="n">
        <f aca="false">AZ72*Inputs!$B$9</f>
        <v>4755.43817232228</v>
      </c>
      <c r="BB72" s="0" t="n">
        <f aca="false">(AZ72-BA72)*Inputs!$C$65/12</f>
        <v>16060.4559542757</v>
      </c>
      <c r="BC72" s="0" t="n">
        <f aca="false">IF(AY72&lt;=0,0,IF(AY72=1,AZ72-BA72,MIN((AZ72-BA72)*(Inputs!$C$65/12)/(1-(1+Inputs!$C$65/12)^(-AY72))-BB72,AZ72-BA72)))</f>
        <v>305228.379575173</v>
      </c>
      <c r="BD72" s="0" t="n">
        <f aca="false">(AZ72-BA72-BC72)*Inputs!$B$10</f>
        <v>13688.424801847</v>
      </c>
      <c r="BE72" s="0" t="n">
        <f aca="false">AZ72-BA72-BC72-BD72</f>
        <v>1552204.27767451</v>
      </c>
      <c r="BF72" s="0" t="n">
        <f aca="false">Inputs!$D$66-(A72-1)</f>
        <v>18</v>
      </c>
      <c r="BG72" s="0" t="n">
        <f aca="false">IF(BF72&lt;=0,0,IF(A72=1,Inputs!$B$66,BL71))</f>
        <v>4788921.01212784</v>
      </c>
      <c r="BH72" s="0" t="n">
        <f aca="false">BG72*Inputs!$B$9</f>
        <v>12140.1475735681</v>
      </c>
      <c r="BI72" s="0" t="n">
        <f aca="false">(BG72-BH72)*Inputs!$C$66/12</f>
        <v>41995.8651008729</v>
      </c>
      <c r="BJ72" s="0" t="n">
        <f aca="false">IF(BF72&lt;=0,0,IF(BF72=1,BG72-BH72,MIN((BG72-BH72)*(Inputs!$C$66/12)/(1-(1+Inputs!$C$66/12)^(-BF72))-BI72,BG72-BH72)))</f>
        <v>246094.804245391</v>
      </c>
      <c r="BK72" s="0" t="n">
        <f aca="false">(BG72-BH72-BJ72)*Inputs!$B$10</f>
        <v>39605.4948970878</v>
      </c>
      <c r="BL72" s="0" t="n">
        <f aca="false">BG72-BH72-BJ72-BK72</f>
        <v>4491080.56541179</v>
      </c>
      <c r="BM72" s="0" t="n">
        <f aca="false">Inputs!$D$67-(A72-1)</f>
        <v>18</v>
      </c>
      <c r="BN72" s="0" t="n">
        <f aca="false">IF(BM72&lt;=0,0,IF(A72=1,Inputs!$B$67,BS71))</f>
        <v>6347712.3644975</v>
      </c>
      <c r="BO72" s="0" t="n">
        <f aca="false">BN72*Inputs!$B$9</f>
        <v>16091.7594306534</v>
      </c>
      <c r="BP72" s="0" t="n">
        <f aca="false">(BN72-BO72)*Inputs!$C$67/12</f>
        <v>58303.6730716572</v>
      </c>
      <c r="BQ72" s="0" t="n">
        <f aca="false">IF(BM72&lt;=0,0,IF(BM72=1,BN72-BO72,MIN((BN72-BO72)*(Inputs!$C$67/12)/(1-(1+Inputs!$C$67/12)^(-BM72))-BP72,BN72-BO72)))</f>
        <v>325023.206840013</v>
      </c>
      <c r="BR72" s="0" t="n">
        <f aca="false">(BN72-BO72-BQ72)*Inputs!$B$10</f>
        <v>52507.3376167925</v>
      </c>
      <c r="BS72" s="0" t="n">
        <f aca="false">BN72-BO72-BQ72-BR72</f>
        <v>5954090.06061004</v>
      </c>
      <c r="BT72" s="0" t="n">
        <f aca="false">C72+J72+Q72+X72+AE72+AL72+AS72+AZ72+BG72+BN72</f>
        <v>14804608.0233761</v>
      </c>
      <c r="BU72" s="0" t="n">
        <f aca="false">D72+K72+R72+Y72+AF72+AM72+AT72+BA72+BH72+BO72</f>
        <v>37530.401048055</v>
      </c>
      <c r="BV72" s="0" t="n">
        <f aca="false">E72+L72+S72+Z72+AG72+AN72+AU72+BB72+BI72+BP72</f>
        <v>130958.360537158</v>
      </c>
      <c r="BW72" s="0" t="n">
        <f aca="false">F72+M72+T72+AA72+AH72+AO72+AV72+BC72+BJ72+BQ72</f>
        <v>1168247.29954168</v>
      </c>
      <c r="BX72" s="0" t="n">
        <f aca="false">G72+N72+U72+AB72+AI72+AP72+AW72+BD72+BK72+BR72</f>
        <v>118875.684120731</v>
      </c>
      <c r="BY72" s="0" t="n">
        <f aca="false">H72+O72+V72+AC72+AJ72+AQ72+AX72+BE72+BL72+BS72</f>
        <v>13479954.6386656</v>
      </c>
      <c r="BZ72" s="0" t="n">
        <f aca="false">IF(A72&gt;Inputs!$B$7,(1-Inputs!$B$6)*INDEX($BU$6:$BU$125,A72-Inputs!$B$7),0)</f>
        <v>35200.094815908</v>
      </c>
      <c r="CA72" s="0" t="n">
        <f aca="false">CA71+(1-Inputs!$B$6)*BU72-BZ72</f>
        <v>166312.255970781</v>
      </c>
      <c r="CB72" s="0" t="n">
        <f aca="false">BY72+CA72</f>
        <v>13646266.8946364</v>
      </c>
      <c r="CC72" s="0" t="n">
        <f aca="false">BV72+BW72+BX72+BZ72</f>
        <v>1453281.43901547</v>
      </c>
      <c r="CD72" s="0" t="n">
        <f aca="false">CD71+BU72-BZ72</f>
        <v>10979148.675598</v>
      </c>
    </row>
    <row r="73" customFormat="false" ht="15" hidden="false" customHeight="false" outlineLevel="0" collapsed="false">
      <c r="A73" s="0" t="n">
        <f aca="false">ROW()-5</f>
        <v>68</v>
      </c>
      <c r="B73" s="0" t="n">
        <f aca="false">Inputs!$D$58-(A73-1)</f>
        <v>-31</v>
      </c>
      <c r="C73" s="0" t="n">
        <f aca="false">IF(B73&lt;=0,0,IF(A73=1,Inputs!$B$58,H72))</f>
        <v>0</v>
      </c>
      <c r="D73" s="0" t="n">
        <f aca="false">C73*Inputs!$B$9</f>
        <v>0</v>
      </c>
      <c r="E73" s="0" t="n">
        <f aca="false">(C73-D73)*Inputs!$C$58/12</f>
        <v>0</v>
      </c>
      <c r="F73" s="0" t="n">
        <f aca="false">IF(B73&lt;=0,0,IF(B73=1,C73-D73,MIN((C73-D73)*(Inputs!$C$58/12)/(1-(1+Inputs!$C$58/12)^(-B73))-E73,C73-D73)))</f>
        <v>0</v>
      </c>
      <c r="G73" s="0" t="n">
        <f aca="false">(C73-D73-F73)*Inputs!$B$10</f>
        <v>0</v>
      </c>
      <c r="H73" s="0" t="n">
        <f aca="false">C73-D73-F73-G73</f>
        <v>0</v>
      </c>
      <c r="I73" s="0" t="n">
        <f aca="false">Inputs!$D$59-(A73-1)</f>
        <v>-19</v>
      </c>
      <c r="J73" s="0" t="n">
        <f aca="false">IF(I73&lt;=0,0,IF(A73=1,Inputs!$B$59,O72))</f>
        <v>0</v>
      </c>
      <c r="K73" s="0" t="n">
        <f aca="false">J73*Inputs!$B$9</f>
        <v>0</v>
      </c>
      <c r="L73" s="0" t="n">
        <f aca="false">(J73-K73)*Inputs!$C$59/12</f>
        <v>0</v>
      </c>
      <c r="M73" s="0" t="n">
        <f aca="false">IF(I73&lt;=0,0,IF(I73=1,J73-K73,MIN((J73-K73)*(Inputs!$C$59/12)/(1-(1+Inputs!$C$59/12)^(-I73))-L73,J73-K73)))</f>
        <v>0</v>
      </c>
      <c r="N73" s="0" t="n">
        <f aca="false">(J73-K73-M73)*Inputs!$B$10</f>
        <v>0</v>
      </c>
      <c r="O73" s="0" t="n">
        <f aca="false">J73-K73-M73-N73</f>
        <v>0</v>
      </c>
      <c r="P73" s="0" t="n">
        <f aca="false">Inputs!$D$60-(A73-1)</f>
        <v>-19</v>
      </c>
      <c r="Q73" s="0" t="n">
        <f aca="false">IF(P73&lt;=0,0,IF(A73=1,Inputs!$B$60,V72))</f>
        <v>0</v>
      </c>
      <c r="R73" s="0" t="n">
        <f aca="false">Q73*Inputs!$B$9</f>
        <v>0</v>
      </c>
      <c r="S73" s="0" t="n">
        <f aca="false">(Q73-R73)*Inputs!$C$60/12</f>
        <v>0</v>
      </c>
      <c r="T73" s="0" t="n">
        <f aca="false">IF(P73&lt;=0,0,IF(P73=1,Q73-R73,MIN((Q73-R73)*(Inputs!$C$60/12)/(1-(1+Inputs!$C$60/12)^(-P73))-S73,Q73-R73)))</f>
        <v>0</v>
      </c>
      <c r="U73" s="0" t="n">
        <f aca="false">(Q73-R73-T73)*Inputs!$B$10</f>
        <v>0</v>
      </c>
      <c r="V73" s="0" t="n">
        <f aca="false">Q73-R73-T73-U73</f>
        <v>0</v>
      </c>
      <c r="W73" s="0" t="n">
        <f aca="false">Inputs!$D$61-(A73-1)</f>
        <v>-7</v>
      </c>
      <c r="X73" s="0" t="n">
        <f aca="false">IF(W73&lt;=0,0,IF(A73=1,Inputs!$B$61,AC72))</f>
        <v>0</v>
      </c>
      <c r="Y73" s="0" t="n">
        <f aca="false">X73*Inputs!$B$9</f>
        <v>0</v>
      </c>
      <c r="Z73" s="0" t="n">
        <f aca="false">(X73-Y73)*Inputs!$C$61/12</f>
        <v>0</v>
      </c>
      <c r="AA73" s="0" t="n">
        <f aca="false">IF(W73&lt;=0,0,IF(W73=1,X73-Y73,MIN((X73-Y73)*(Inputs!$C$61/12)/(1-(1+Inputs!$C$61/12)^(-W73))-Z73,X73-Y73)))</f>
        <v>0</v>
      </c>
      <c r="AB73" s="0" t="n">
        <f aca="false">(X73-Y73-AA73)*Inputs!$B$10</f>
        <v>0</v>
      </c>
      <c r="AC73" s="0" t="n">
        <f aca="false">X73-Y73-AA73-AB73</f>
        <v>0</v>
      </c>
      <c r="AD73" s="0" t="n">
        <f aca="false">Inputs!$D$62-(A73-1)</f>
        <v>-7</v>
      </c>
      <c r="AE73" s="0" t="n">
        <f aca="false">IF(AD73&lt;=0,0,IF(A73=1,Inputs!$B$62,AJ72))</f>
        <v>0</v>
      </c>
      <c r="AF73" s="0" t="n">
        <f aca="false">AE73*Inputs!$B$9</f>
        <v>0</v>
      </c>
      <c r="AG73" s="0" t="n">
        <f aca="false">(AE73-AF73)*Inputs!$C$62/12</f>
        <v>0</v>
      </c>
      <c r="AH73" s="0" t="n">
        <f aca="false">IF(AD73&lt;=0,0,IF(AD73=1,AE73-AF73,MIN((AE73-AF73)*(Inputs!$C$62/12)/(1-(1+Inputs!$C$62/12)^(-AD73))-AG73,AE73-AF73)))</f>
        <v>0</v>
      </c>
      <c r="AI73" s="0" t="n">
        <f aca="false">(AE73-AF73-AH73)*Inputs!$B$10</f>
        <v>0</v>
      </c>
      <c r="AJ73" s="0" t="n">
        <f aca="false">AE73-AF73-AH73-AI73</f>
        <v>0</v>
      </c>
      <c r="AK73" s="0" t="n">
        <f aca="false">Inputs!$D$63-(A73-1)</f>
        <v>-7</v>
      </c>
      <c r="AL73" s="0" t="n">
        <f aca="false">IF(AK73&lt;=0,0,IF(A73=1,Inputs!$B$63,AQ72))</f>
        <v>0</v>
      </c>
      <c r="AM73" s="0" t="n">
        <f aca="false">AL73*Inputs!$B$9</f>
        <v>0</v>
      </c>
      <c r="AN73" s="0" t="n">
        <f aca="false">(AL73-AM73)*Inputs!$C$63/12</f>
        <v>0</v>
      </c>
      <c r="AO73" s="0" t="n">
        <f aca="false">IF(AK73&lt;=0,0,IF(AK73=1,AL73-AM73,MIN((AL73-AM73)*(Inputs!$C$63/12)/(1-(1+Inputs!$C$63/12)^(-AK73))-AN73,AL73-AM73)))</f>
        <v>0</v>
      </c>
      <c r="AP73" s="0" t="n">
        <f aca="false">(AL73-AM73-AO73)*Inputs!$B$10</f>
        <v>0</v>
      </c>
      <c r="AQ73" s="0" t="n">
        <f aca="false">AL73-AM73-AO73-AP73</f>
        <v>0</v>
      </c>
      <c r="AR73" s="0" t="n">
        <f aca="false">Inputs!$D$64-(A73-1)</f>
        <v>5</v>
      </c>
      <c r="AS73" s="0" t="n">
        <f aca="false">IF(AR73&lt;=0,0,IF(A73=1,Inputs!$B$64,AX72))</f>
        <v>1482579.73496925</v>
      </c>
      <c r="AT73" s="0" t="n">
        <f aca="false">AS73*Inputs!$B$9</f>
        <v>3758.41170203617</v>
      </c>
      <c r="AU73" s="0" t="n">
        <f aca="false">(AS73-AT73)*Inputs!$C$64/12</f>
        <v>12077.0408066823</v>
      </c>
      <c r="AV73" s="0" t="n">
        <f aca="false">IF(AR73&lt;=0,0,IF(AR73=1,AS73-AT73,MIN((AS73-AT73)*(Inputs!$C$64/12)/(1-(1+Inputs!$C$64/12)^(-AR73))-AU73,AS73-AT73)))</f>
        <v>290972.738648523</v>
      </c>
      <c r="AW73" s="0" t="n">
        <f aca="false">(AS73-AT73-AV73)*Inputs!$B$10</f>
        <v>10383.7101998238</v>
      </c>
      <c r="AX73" s="0" t="n">
        <f aca="false">AS73-AT73-AV73-AW73</f>
        <v>1177464.87441887</v>
      </c>
      <c r="AY73" s="0" t="n">
        <f aca="false">Inputs!$D$65-(A73-1)</f>
        <v>5</v>
      </c>
      <c r="AZ73" s="0" t="n">
        <f aca="false">IF(AY73&lt;=0,0,IF(A73=1,Inputs!$B$65,BE72))</f>
        <v>1552204.27767451</v>
      </c>
      <c r="BA73" s="0" t="n">
        <f aca="false">AZ73*Inputs!$B$9</f>
        <v>3934.91330251016</v>
      </c>
      <c r="BB73" s="0" t="n">
        <f aca="false">(AZ73-BA73)*Inputs!$C$65/12</f>
        <v>13289.312044193</v>
      </c>
      <c r="BC73" s="0" t="n">
        <f aca="false">IF(AY73&lt;=0,0,IF(AY73=1,AZ73-BA73,MIN((AZ73-BA73)*(Inputs!$C$65/12)/(1-(1+Inputs!$C$65/12)^(-AY73))-BB73,AZ73-BA73)))</f>
        <v>304383.578555737</v>
      </c>
      <c r="BD73" s="0" t="n">
        <f aca="false">(AZ73-BA73-BC73)*Inputs!$B$10</f>
        <v>10873.565611683</v>
      </c>
      <c r="BE73" s="0" t="n">
        <f aca="false">AZ73-BA73-BC73-BD73</f>
        <v>1233012.22020458</v>
      </c>
      <c r="BF73" s="0" t="n">
        <f aca="false">Inputs!$D$66-(A73-1)</f>
        <v>17</v>
      </c>
      <c r="BG73" s="0" t="n">
        <f aca="false">IF(BF73&lt;=0,0,IF(A73=1,Inputs!$B$66,BL72))</f>
        <v>4491080.56541179</v>
      </c>
      <c r="BH73" s="0" t="n">
        <f aca="false">BG73*Inputs!$B$9</f>
        <v>11385.107561976</v>
      </c>
      <c r="BI73" s="0" t="n">
        <f aca="false">(BG73-BH73)*Inputs!$C$66/12</f>
        <v>39383.9892335963</v>
      </c>
      <c r="BJ73" s="0" t="n">
        <f aca="false">IF(BF73&lt;=0,0,IF(BF73=1,BG73-BH73,MIN((BG73-BH73)*(Inputs!$C$66/12)/(1-(1+Inputs!$C$66/12)^(-BF73))-BI73,BG73-BH73)))</f>
        <v>245464.363916564</v>
      </c>
      <c r="BK73" s="0" t="n">
        <f aca="false">(BG73-BH73-BJ73)*Inputs!$B$10</f>
        <v>37014.0009154444</v>
      </c>
      <c r="BL73" s="0" t="n">
        <f aca="false">BG73-BH73-BJ73-BK73</f>
        <v>4197217.09301781</v>
      </c>
      <c r="BM73" s="0" t="n">
        <f aca="false">Inputs!$D$67-(A73-1)</f>
        <v>17</v>
      </c>
      <c r="BN73" s="0" t="n">
        <f aca="false">IF(BM73&lt;=0,0,IF(A73=1,Inputs!$B$67,BS72))</f>
        <v>5954090.06061004</v>
      </c>
      <c r="BO73" s="0" t="n">
        <f aca="false">BN73*Inputs!$B$9</f>
        <v>15093.9077548083</v>
      </c>
      <c r="BP73" s="0" t="n">
        <f aca="false">(BN73-BO73)*Inputs!$C$67/12</f>
        <v>54688.2562408752</v>
      </c>
      <c r="BQ73" s="0" t="n">
        <f aca="false">IF(BM73&lt;=0,0,IF(BM73=1,BN73-BO73,MIN((BN73-BO73)*(Inputs!$C$67/12)/(1-(1+Inputs!$C$67/12)^(-BM73))-BP73,BN73-BO73)))</f>
        <v>324324.4716229</v>
      </c>
      <c r="BR73" s="0" t="n">
        <f aca="false">(BN73-BO73-BQ73)*Inputs!$B$10</f>
        <v>49081.275475686</v>
      </c>
      <c r="BS73" s="0" t="n">
        <f aca="false">BN73-BO73-BQ73-BR73</f>
        <v>5565590.40575664</v>
      </c>
      <c r="BT73" s="0" t="n">
        <f aca="false">C73+J73+Q73+X73+AE73+AL73+AS73+AZ73+BG73+BN73</f>
        <v>13479954.6386656</v>
      </c>
      <c r="BU73" s="0" t="n">
        <f aca="false">D73+K73+R73+Y73+AF73+AM73+AT73+BA73+BH73+BO73</f>
        <v>34172.3403213306</v>
      </c>
      <c r="BV73" s="0" t="n">
        <f aca="false">E73+L73+S73+Z73+AG73+AN73+AU73+BB73+BI73+BP73</f>
        <v>119438.598325347</v>
      </c>
      <c r="BW73" s="0" t="n">
        <f aca="false">F73+M73+T73+AA73+AH73+AO73+AV73+BC73+BJ73+BQ73</f>
        <v>1165145.15274372</v>
      </c>
      <c r="BX73" s="0" t="n">
        <f aca="false">G73+N73+U73+AB73+AI73+AP73+AW73+BD73+BK73+BR73</f>
        <v>107352.552202637</v>
      </c>
      <c r="BY73" s="0" t="n">
        <f aca="false">H73+O73+V73+AC73+AJ73+AQ73+AX73+BE73+BL73+BS73</f>
        <v>12173284.5933979</v>
      </c>
      <c r="BZ73" s="0" t="n">
        <f aca="false">IF(A73&gt;Inputs!$B$7,(1-Inputs!$B$6)*INDEX($BU$6:$BU$125,A73-Inputs!$B$7),0)</f>
        <v>33014.1990584806</v>
      </c>
      <c r="CA73" s="0" t="n">
        <f aca="false">CA72+(1-Inputs!$B$6)*BU73-BZ73</f>
        <v>153801.461105099</v>
      </c>
      <c r="CB73" s="0" t="n">
        <f aca="false">BY73+CA73</f>
        <v>12327086.054503</v>
      </c>
      <c r="CC73" s="0" t="n">
        <f aca="false">BV73+BW73+BX73+BZ73</f>
        <v>1424950.50233019</v>
      </c>
      <c r="CD73" s="0" t="n">
        <f aca="false">CD72+BU73-BZ73</f>
        <v>10980306.8168608</v>
      </c>
    </row>
    <row r="74" customFormat="false" ht="15" hidden="false" customHeight="false" outlineLevel="0" collapsed="false">
      <c r="A74" s="0" t="n">
        <f aca="false">ROW()-5</f>
        <v>69</v>
      </c>
      <c r="B74" s="0" t="n">
        <f aca="false">Inputs!$D$58-(A74-1)</f>
        <v>-32</v>
      </c>
      <c r="C74" s="0" t="n">
        <f aca="false">IF(B74&lt;=0,0,IF(A74=1,Inputs!$B$58,H73))</f>
        <v>0</v>
      </c>
      <c r="D74" s="0" t="n">
        <f aca="false">C74*Inputs!$B$9</f>
        <v>0</v>
      </c>
      <c r="E74" s="0" t="n">
        <f aca="false">(C74-D74)*Inputs!$C$58/12</f>
        <v>0</v>
      </c>
      <c r="F74" s="0" t="n">
        <f aca="false">IF(B74&lt;=0,0,IF(B74=1,C74-D74,MIN((C74-D74)*(Inputs!$C$58/12)/(1-(1+Inputs!$C$58/12)^(-B74))-E74,C74-D74)))</f>
        <v>0</v>
      </c>
      <c r="G74" s="0" t="n">
        <f aca="false">(C74-D74-F74)*Inputs!$B$10</f>
        <v>0</v>
      </c>
      <c r="H74" s="0" t="n">
        <f aca="false">C74-D74-F74-G74</f>
        <v>0</v>
      </c>
      <c r="I74" s="0" t="n">
        <f aca="false">Inputs!$D$59-(A74-1)</f>
        <v>-20</v>
      </c>
      <c r="J74" s="0" t="n">
        <f aca="false">IF(I74&lt;=0,0,IF(A74=1,Inputs!$B$59,O73))</f>
        <v>0</v>
      </c>
      <c r="K74" s="0" t="n">
        <f aca="false">J74*Inputs!$B$9</f>
        <v>0</v>
      </c>
      <c r="L74" s="0" t="n">
        <f aca="false">(J74-K74)*Inputs!$C$59/12</f>
        <v>0</v>
      </c>
      <c r="M74" s="0" t="n">
        <f aca="false">IF(I74&lt;=0,0,IF(I74=1,J74-K74,MIN((J74-K74)*(Inputs!$C$59/12)/(1-(1+Inputs!$C$59/12)^(-I74))-L74,J74-K74)))</f>
        <v>0</v>
      </c>
      <c r="N74" s="0" t="n">
        <f aca="false">(J74-K74-M74)*Inputs!$B$10</f>
        <v>0</v>
      </c>
      <c r="O74" s="0" t="n">
        <f aca="false">J74-K74-M74-N74</f>
        <v>0</v>
      </c>
      <c r="P74" s="0" t="n">
        <f aca="false">Inputs!$D$60-(A74-1)</f>
        <v>-20</v>
      </c>
      <c r="Q74" s="0" t="n">
        <f aca="false">IF(P74&lt;=0,0,IF(A74=1,Inputs!$B$60,V73))</f>
        <v>0</v>
      </c>
      <c r="R74" s="0" t="n">
        <f aca="false">Q74*Inputs!$B$9</f>
        <v>0</v>
      </c>
      <c r="S74" s="0" t="n">
        <f aca="false">(Q74-R74)*Inputs!$C$60/12</f>
        <v>0</v>
      </c>
      <c r="T74" s="0" t="n">
        <f aca="false">IF(P74&lt;=0,0,IF(P74=1,Q74-R74,MIN((Q74-R74)*(Inputs!$C$60/12)/(1-(1+Inputs!$C$60/12)^(-P74))-S74,Q74-R74)))</f>
        <v>0</v>
      </c>
      <c r="U74" s="0" t="n">
        <f aca="false">(Q74-R74-T74)*Inputs!$B$10</f>
        <v>0</v>
      </c>
      <c r="V74" s="0" t="n">
        <f aca="false">Q74-R74-T74-U74</f>
        <v>0</v>
      </c>
      <c r="W74" s="0" t="n">
        <f aca="false">Inputs!$D$61-(A74-1)</f>
        <v>-8</v>
      </c>
      <c r="X74" s="0" t="n">
        <f aca="false">IF(W74&lt;=0,0,IF(A74=1,Inputs!$B$61,AC73))</f>
        <v>0</v>
      </c>
      <c r="Y74" s="0" t="n">
        <f aca="false">X74*Inputs!$B$9</f>
        <v>0</v>
      </c>
      <c r="Z74" s="0" t="n">
        <f aca="false">(X74-Y74)*Inputs!$C$61/12</f>
        <v>0</v>
      </c>
      <c r="AA74" s="0" t="n">
        <f aca="false">IF(W74&lt;=0,0,IF(W74=1,X74-Y74,MIN((X74-Y74)*(Inputs!$C$61/12)/(1-(1+Inputs!$C$61/12)^(-W74))-Z74,X74-Y74)))</f>
        <v>0</v>
      </c>
      <c r="AB74" s="0" t="n">
        <f aca="false">(X74-Y74-AA74)*Inputs!$B$10</f>
        <v>0</v>
      </c>
      <c r="AC74" s="0" t="n">
        <f aca="false">X74-Y74-AA74-AB74</f>
        <v>0</v>
      </c>
      <c r="AD74" s="0" t="n">
        <f aca="false">Inputs!$D$62-(A74-1)</f>
        <v>-8</v>
      </c>
      <c r="AE74" s="0" t="n">
        <f aca="false">IF(AD74&lt;=0,0,IF(A74=1,Inputs!$B$62,AJ73))</f>
        <v>0</v>
      </c>
      <c r="AF74" s="0" t="n">
        <f aca="false">AE74*Inputs!$B$9</f>
        <v>0</v>
      </c>
      <c r="AG74" s="0" t="n">
        <f aca="false">(AE74-AF74)*Inputs!$C$62/12</f>
        <v>0</v>
      </c>
      <c r="AH74" s="0" t="n">
        <f aca="false">IF(AD74&lt;=0,0,IF(AD74=1,AE74-AF74,MIN((AE74-AF74)*(Inputs!$C$62/12)/(1-(1+Inputs!$C$62/12)^(-AD74))-AG74,AE74-AF74)))</f>
        <v>0</v>
      </c>
      <c r="AI74" s="0" t="n">
        <f aca="false">(AE74-AF74-AH74)*Inputs!$B$10</f>
        <v>0</v>
      </c>
      <c r="AJ74" s="0" t="n">
        <f aca="false">AE74-AF74-AH74-AI74</f>
        <v>0</v>
      </c>
      <c r="AK74" s="0" t="n">
        <f aca="false">Inputs!$D$63-(A74-1)</f>
        <v>-8</v>
      </c>
      <c r="AL74" s="0" t="n">
        <f aca="false">IF(AK74&lt;=0,0,IF(A74=1,Inputs!$B$63,AQ73))</f>
        <v>0</v>
      </c>
      <c r="AM74" s="0" t="n">
        <f aca="false">AL74*Inputs!$B$9</f>
        <v>0</v>
      </c>
      <c r="AN74" s="0" t="n">
        <f aca="false">(AL74-AM74)*Inputs!$C$63/12</f>
        <v>0</v>
      </c>
      <c r="AO74" s="0" t="n">
        <f aca="false">IF(AK74&lt;=0,0,IF(AK74=1,AL74-AM74,MIN((AL74-AM74)*(Inputs!$C$63/12)/(1-(1+Inputs!$C$63/12)^(-AK74))-AN74,AL74-AM74)))</f>
        <v>0</v>
      </c>
      <c r="AP74" s="0" t="n">
        <f aca="false">(AL74-AM74-AO74)*Inputs!$B$10</f>
        <v>0</v>
      </c>
      <c r="AQ74" s="0" t="n">
        <f aca="false">AL74-AM74-AO74-AP74</f>
        <v>0</v>
      </c>
      <c r="AR74" s="0" t="n">
        <f aca="false">Inputs!$D$64-(A74-1)</f>
        <v>4</v>
      </c>
      <c r="AS74" s="0" t="n">
        <f aca="false">IF(AR74&lt;=0,0,IF(A74=1,Inputs!$B$64,AX73))</f>
        <v>1177464.87441887</v>
      </c>
      <c r="AT74" s="0" t="n">
        <f aca="false">AS74*Inputs!$B$9</f>
        <v>2984.93069773695</v>
      </c>
      <c r="AU74" s="0" t="n">
        <f aca="false">(AS74-AT74)*Inputs!$C$64/12</f>
        <v>9591.58620705592</v>
      </c>
      <c r="AV74" s="0" t="n">
        <f aca="false">IF(AR74&lt;=0,0,IF(AR74=1,AS74-AT74,MIN((AS74-AT74)*(Inputs!$C$64/12)/(1-(1+Inputs!$C$64/12)^(-AR74))-AU74,AS74-AT74)))</f>
        <v>290047.519759893</v>
      </c>
      <c r="AW74" s="0" t="n">
        <f aca="false">(AS74-AT74-AV74)*Inputs!$B$10</f>
        <v>7731.36416598856</v>
      </c>
      <c r="AX74" s="0" t="n">
        <f aca="false">AS74-AT74-AV74-AW74</f>
        <v>876701.059795252</v>
      </c>
      <c r="AY74" s="0" t="n">
        <f aca="false">Inputs!$D$65-(A74-1)</f>
        <v>4</v>
      </c>
      <c r="AZ74" s="0" t="n">
        <f aca="false">IF(AY74&lt;=0,0,IF(A74=1,Inputs!$B$65,BE73))</f>
        <v>1233012.22020458</v>
      </c>
      <c r="BA74" s="0" t="n">
        <f aca="false">AZ74*Inputs!$B$9</f>
        <v>3125.74591967333</v>
      </c>
      <c r="BB74" s="0" t="n">
        <f aca="false">(AZ74-BA74)*Inputs!$C$65/12</f>
        <v>10556.5255709455</v>
      </c>
      <c r="BC74" s="0" t="n">
        <f aca="false">IF(AY74&lt;=0,0,IF(AY74=1,AZ74-BA74,MIN((AZ74-BA74)*(Inputs!$C$65/12)/(1-(1+Inputs!$C$65/12)^(-AY74))-BB74,AZ74-BA74)))</f>
        <v>303541.115748638</v>
      </c>
      <c r="BD74" s="0" t="n">
        <f aca="false">(AZ74-BA74-BC74)*Inputs!$B$10</f>
        <v>8097.75073401315</v>
      </c>
      <c r="BE74" s="0" t="n">
        <f aca="false">AZ74-BA74-BC74-BD74</f>
        <v>918247.60780226</v>
      </c>
      <c r="BF74" s="0" t="n">
        <f aca="false">Inputs!$D$66-(A74-1)</f>
        <v>16</v>
      </c>
      <c r="BG74" s="0" t="n">
        <f aca="false">IF(BF74&lt;=0,0,IF(A74=1,Inputs!$B$66,BL73))</f>
        <v>4197217.09301781</v>
      </c>
      <c r="BH74" s="0" t="n">
        <f aca="false">BG74*Inputs!$B$9</f>
        <v>10640.1493736264</v>
      </c>
      <c r="BI74" s="0" t="n">
        <f aca="false">(BG74-BH74)*Inputs!$C$66/12</f>
        <v>36806.9889628717</v>
      </c>
      <c r="BJ74" s="0" t="n">
        <f aca="false">IF(BF74&lt;=0,0,IF(BF74=1,BG74-BH74,MIN((BG74-BH74)*(Inputs!$C$66/12)/(1-(1+Inputs!$C$66/12)^(-BF74))-BI74,BG74-BH74)))</f>
        <v>244835.53863609</v>
      </c>
      <c r="BK74" s="0" t="n">
        <f aca="false">(BG74-BH74-BJ74)*Inputs!$B$10</f>
        <v>34457.1698466004</v>
      </c>
      <c r="BL74" s="0" t="n">
        <f aca="false">BG74-BH74-BJ74-BK74</f>
        <v>3907284.23516149</v>
      </c>
      <c r="BM74" s="0" t="n">
        <f aca="false">Inputs!$D$67-(A74-1)</f>
        <v>16</v>
      </c>
      <c r="BN74" s="0" t="n">
        <f aca="false">IF(BM74&lt;=0,0,IF(A74=1,Inputs!$B$67,BS73))</f>
        <v>5565590.40575664</v>
      </c>
      <c r="BO74" s="0" t="n">
        <f aca="false">BN74*Inputs!$B$9</f>
        <v>14109.0422432961</v>
      </c>
      <c r="BP74" s="0" t="n">
        <f aca="false">(BN74-BO74)*Inputs!$C$67/12</f>
        <v>51119.8908890187</v>
      </c>
      <c r="BQ74" s="0" t="n">
        <f aca="false">IF(BM74&lt;=0,0,IF(BM74=1,BN74-BO74,MIN((BN74-BO74)*(Inputs!$C$67/12)/(1-(1+Inputs!$C$67/12)^(-BM74))-BP74,BN74-BO74)))</f>
        <v>323627.23854746</v>
      </c>
      <c r="BR74" s="0" t="n">
        <f aca="false">(BN74-BO74-BQ74)*Inputs!$B$10</f>
        <v>45699.8668883582</v>
      </c>
      <c r="BS74" s="0" t="n">
        <f aca="false">BN74-BO74-BQ74-BR74</f>
        <v>5182154.25807753</v>
      </c>
      <c r="BT74" s="0" t="n">
        <f aca="false">C74+J74+Q74+X74+AE74+AL74+AS74+AZ74+BG74+BN74</f>
        <v>12173284.5933979</v>
      </c>
      <c r="BU74" s="0" t="n">
        <f aca="false">D74+K74+R74+Y74+AF74+AM74+AT74+BA74+BH74+BO74</f>
        <v>30859.8682343329</v>
      </c>
      <c r="BV74" s="0" t="n">
        <f aca="false">E74+L74+S74+Z74+AG74+AN74+AU74+BB74+BI74+BP74</f>
        <v>108074.991629892</v>
      </c>
      <c r="BW74" s="0" t="n">
        <f aca="false">F74+M74+T74+AA74+AH74+AO74+AV74+BC74+BJ74+BQ74</f>
        <v>1162051.41269208</v>
      </c>
      <c r="BX74" s="0" t="n">
        <f aca="false">G74+N74+U74+AB74+AI74+AP74+AW74+BD74+BK74+BR74</f>
        <v>95986.1516349603</v>
      </c>
      <c r="BY74" s="0" t="n">
        <f aca="false">H74+O74+V74+AC74+AJ74+AQ74+AX74+BE74+BL74+BS74</f>
        <v>10884387.1608365</v>
      </c>
      <c r="BZ74" s="0" t="n">
        <f aca="false">IF(A74&gt;Inputs!$B$7,(1-Inputs!$B$6)*INDEX($BU$6:$BU$125,A74-Inputs!$B$7),0)</f>
        <v>30857.6584634866</v>
      </c>
      <c r="CA74" s="0" t="n">
        <f aca="false">CA73+(1-Inputs!$B$6)*BU74-BZ74</f>
        <v>141459.723582212</v>
      </c>
      <c r="CB74" s="0" t="n">
        <f aca="false">BY74+CA74</f>
        <v>11025846.8844187</v>
      </c>
      <c r="CC74" s="0" t="n">
        <f aca="false">BV74+BW74+BX74+BZ74</f>
        <v>1396970.21442042</v>
      </c>
      <c r="CD74" s="0" t="n">
        <f aca="false">CD73+BU74-BZ74</f>
        <v>10980309.0266317</v>
      </c>
    </row>
    <row r="75" customFormat="false" ht="15" hidden="false" customHeight="false" outlineLevel="0" collapsed="false">
      <c r="A75" s="0" t="n">
        <f aca="false">ROW()-5</f>
        <v>70</v>
      </c>
      <c r="B75" s="0" t="n">
        <f aca="false">Inputs!$D$58-(A75-1)</f>
        <v>-33</v>
      </c>
      <c r="C75" s="0" t="n">
        <f aca="false">IF(B75&lt;=0,0,IF(A75=1,Inputs!$B$58,H74))</f>
        <v>0</v>
      </c>
      <c r="D75" s="0" t="n">
        <f aca="false">C75*Inputs!$B$9</f>
        <v>0</v>
      </c>
      <c r="E75" s="0" t="n">
        <f aca="false">(C75-D75)*Inputs!$C$58/12</f>
        <v>0</v>
      </c>
      <c r="F75" s="0" t="n">
        <f aca="false">IF(B75&lt;=0,0,IF(B75=1,C75-D75,MIN((C75-D75)*(Inputs!$C$58/12)/(1-(1+Inputs!$C$58/12)^(-B75))-E75,C75-D75)))</f>
        <v>0</v>
      </c>
      <c r="G75" s="0" t="n">
        <f aca="false">(C75-D75-F75)*Inputs!$B$10</f>
        <v>0</v>
      </c>
      <c r="H75" s="0" t="n">
        <f aca="false">C75-D75-F75-G75</f>
        <v>0</v>
      </c>
      <c r="I75" s="0" t="n">
        <f aca="false">Inputs!$D$59-(A75-1)</f>
        <v>-21</v>
      </c>
      <c r="J75" s="0" t="n">
        <f aca="false">IF(I75&lt;=0,0,IF(A75=1,Inputs!$B$59,O74))</f>
        <v>0</v>
      </c>
      <c r="K75" s="0" t="n">
        <f aca="false">J75*Inputs!$B$9</f>
        <v>0</v>
      </c>
      <c r="L75" s="0" t="n">
        <f aca="false">(J75-K75)*Inputs!$C$59/12</f>
        <v>0</v>
      </c>
      <c r="M75" s="0" t="n">
        <f aca="false">IF(I75&lt;=0,0,IF(I75=1,J75-K75,MIN((J75-K75)*(Inputs!$C$59/12)/(1-(1+Inputs!$C$59/12)^(-I75))-L75,J75-K75)))</f>
        <v>0</v>
      </c>
      <c r="N75" s="0" t="n">
        <f aca="false">(J75-K75-M75)*Inputs!$B$10</f>
        <v>0</v>
      </c>
      <c r="O75" s="0" t="n">
        <f aca="false">J75-K75-M75-N75</f>
        <v>0</v>
      </c>
      <c r="P75" s="0" t="n">
        <f aca="false">Inputs!$D$60-(A75-1)</f>
        <v>-21</v>
      </c>
      <c r="Q75" s="0" t="n">
        <f aca="false">IF(P75&lt;=0,0,IF(A75=1,Inputs!$B$60,V74))</f>
        <v>0</v>
      </c>
      <c r="R75" s="0" t="n">
        <f aca="false">Q75*Inputs!$B$9</f>
        <v>0</v>
      </c>
      <c r="S75" s="0" t="n">
        <f aca="false">(Q75-R75)*Inputs!$C$60/12</f>
        <v>0</v>
      </c>
      <c r="T75" s="0" t="n">
        <f aca="false">IF(P75&lt;=0,0,IF(P75=1,Q75-R75,MIN((Q75-R75)*(Inputs!$C$60/12)/(1-(1+Inputs!$C$60/12)^(-P75))-S75,Q75-R75)))</f>
        <v>0</v>
      </c>
      <c r="U75" s="0" t="n">
        <f aca="false">(Q75-R75-T75)*Inputs!$B$10</f>
        <v>0</v>
      </c>
      <c r="V75" s="0" t="n">
        <f aca="false">Q75-R75-T75-U75</f>
        <v>0</v>
      </c>
      <c r="W75" s="0" t="n">
        <f aca="false">Inputs!$D$61-(A75-1)</f>
        <v>-9</v>
      </c>
      <c r="X75" s="0" t="n">
        <f aca="false">IF(W75&lt;=0,0,IF(A75=1,Inputs!$B$61,AC74))</f>
        <v>0</v>
      </c>
      <c r="Y75" s="0" t="n">
        <f aca="false">X75*Inputs!$B$9</f>
        <v>0</v>
      </c>
      <c r="Z75" s="0" t="n">
        <f aca="false">(X75-Y75)*Inputs!$C$61/12</f>
        <v>0</v>
      </c>
      <c r="AA75" s="0" t="n">
        <f aca="false">IF(W75&lt;=0,0,IF(W75=1,X75-Y75,MIN((X75-Y75)*(Inputs!$C$61/12)/(1-(1+Inputs!$C$61/12)^(-W75))-Z75,X75-Y75)))</f>
        <v>0</v>
      </c>
      <c r="AB75" s="0" t="n">
        <f aca="false">(X75-Y75-AA75)*Inputs!$B$10</f>
        <v>0</v>
      </c>
      <c r="AC75" s="0" t="n">
        <f aca="false">X75-Y75-AA75-AB75</f>
        <v>0</v>
      </c>
      <c r="AD75" s="0" t="n">
        <f aca="false">Inputs!$D$62-(A75-1)</f>
        <v>-9</v>
      </c>
      <c r="AE75" s="0" t="n">
        <f aca="false">IF(AD75&lt;=0,0,IF(A75=1,Inputs!$B$62,AJ74))</f>
        <v>0</v>
      </c>
      <c r="AF75" s="0" t="n">
        <f aca="false">AE75*Inputs!$B$9</f>
        <v>0</v>
      </c>
      <c r="AG75" s="0" t="n">
        <f aca="false">(AE75-AF75)*Inputs!$C$62/12</f>
        <v>0</v>
      </c>
      <c r="AH75" s="0" t="n">
        <f aca="false">IF(AD75&lt;=0,0,IF(AD75=1,AE75-AF75,MIN((AE75-AF75)*(Inputs!$C$62/12)/(1-(1+Inputs!$C$62/12)^(-AD75))-AG75,AE75-AF75)))</f>
        <v>0</v>
      </c>
      <c r="AI75" s="0" t="n">
        <f aca="false">(AE75-AF75-AH75)*Inputs!$B$10</f>
        <v>0</v>
      </c>
      <c r="AJ75" s="0" t="n">
        <f aca="false">AE75-AF75-AH75-AI75</f>
        <v>0</v>
      </c>
      <c r="AK75" s="0" t="n">
        <f aca="false">Inputs!$D$63-(A75-1)</f>
        <v>-9</v>
      </c>
      <c r="AL75" s="0" t="n">
        <f aca="false">IF(AK75&lt;=0,0,IF(A75=1,Inputs!$B$63,AQ74))</f>
        <v>0</v>
      </c>
      <c r="AM75" s="0" t="n">
        <f aca="false">AL75*Inputs!$B$9</f>
        <v>0</v>
      </c>
      <c r="AN75" s="0" t="n">
        <f aca="false">(AL75-AM75)*Inputs!$C$63/12</f>
        <v>0</v>
      </c>
      <c r="AO75" s="0" t="n">
        <f aca="false">IF(AK75&lt;=0,0,IF(AK75=1,AL75-AM75,MIN((AL75-AM75)*(Inputs!$C$63/12)/(1-(1+Inputs!$C$63/12)^(-AK75))-AN75,AL75-AM75)))</f>
        <v>0</v>
      </c>
      <c r="AP75" s="0" t="n">
        <f aca="false">(AL75-AM75-AO75)*Inputs!$B$10</f>
        <v>0</v>
      </c>
      <c r="AQ75" s="0" t="n">
        <f aca="false">AL75-AM75-AO75-AP75</f>
        <v>0</v>
      </c>
      <c r="AR75" s="0" t="n">
        <f aca="false">Inputs!$D$64-(A75-1)</f>
        <v>3</v>
      </c>
      <c r="AS75" s="0" t="n">
        <f aca="false">IF(AR75&lt;=0,0,IF(A75=1,Inputs!$B$64,AX74))</f>
        <v>876701.059795252</v>
      </c>
      <c r="AT75" s="0" t="n">
        <f aca="false">AS75*Inputs!$B$9</f>
        <v>2222.47980638311</v>
      </c>
      <c r="AU75" s="0" t="n">
        <f aca="false">(AS75-AT75)*Inputs!$C$64/12</f>
        <v>7141.5750699091</v>
      </c>
      <c r="AV75" s="0" t="n">
        <f aca="false">IF(AR75&lt;=0,0,IF(AR75=1,AS75-AT75,MIN((AS75-AT75)*(Inputs!$C$64/12)/(1-(1+Inputs!$C$64/12)^(-AR75))-AU75,AS75-AT75)))</f>
        <v>289125.242830691</v>
      </c>
      <c r="AW75" s="0" t="n">
        <f aca="false">(AS75-AT75-AV75)*Inputs!$B$10</f>
        <v>5116.93114447021</v>
      </c>
      <c r="AX75" s="0" t="n">
        <f aca="false">AS75-AT75-AV75-AW75</f>
        <v>580236.406013708</v>
      </c>
      <c r="AY75" s="0" t="n">
        <f aca="false">Inputs!$D$65-(A75-1)</f>
        <v>3</v>
      </c>
      <c r="AZ75" s="0" t="n">
        <f aca="false">IF(AY75&lt;=0,0,IF(A75=1,Inputs!$B$65,BE74))</f>
        <v>918247.60780226</v>
      </c>
      <c r="BA75" s="0" t="n">
        <f aca="false">AZ75*Inputs!$B$9</f>
        <v>2327.80232531797</v>
      </c>
      <c r="BB75" s="0" t="n">
        <f aca="false">(AZ75-BA75)*Inputs!$C$65/12</f>
        <v>7861.64499701042</v>
      </c>
      <c r="BC75" s="0" t="n">
        <f aca="false">IF(AY75&lt;=0,0,IF(AY75=1,AZ75-BA75,MIN((AZ75-BA75)*(Inputs!$C$65/12)/(1-(1+Inputs!$C$65/12)^(-AY75))-BB75,AZ75-BA75)))</f>
        <v>302700.984682247</v>
      </c>
      <c r="BD75" s="0" t="n">
        <f aca="false">(AZ75-BA75-BC75)*Inputs!$B$10</f>
        <v>5360.52036148511</v>
      </c>
      <c r="BE75" s="0" t="n">
        <f aca="false">AZ75-BA75-BC75-BD75</f>
        <v>607858.30043321</v>
      </c>
      <c r="BF75" s="0" t="n">
        <f aca="false">Inputs!$D$66-(A75-1)</f>
        <v>15</v>
      </c>
      <c r="BG75" s="0" t="n">
        <f aca="false">IF(BF75&lt;=0,0,IF(A75=1,Inputs!$B$66,BL74))</f>
        <v>3907284.23516149</v>
      </c>
      <c r="BH75" s="0" t="n">
        <f aca="false">BG75*Inputs!$B$9</f>
        <v>9905.15548421208</v>
      </c>
      <c r="BI75" s="0" t="n">
        <f aca="false">(BG75-BH75)*Inputs!$C$66/12</f>
        <v>34264.4577421627</v>
      </c>
      <c r="BJ75" s="0" t="n">
        <f aca="false">IF(BF75&lt;=0,0,IF(BF75=1,BG75-BH75,MIN((BG75-BH75)*(Inputs!$C$66/12)/(1-(1+Inputs!$C$66/12)^(-BF75))-BI75,BG75-BH75)))</f>
        <v>244208.324266572</v>
      </c>
      <c r="BK75" s="0" t="n">
        <f aca="false">(BG75-BH75-BJ75)*Inputs!$B$10</f>
        <v>31934.5974948759</v>
      </c>
      <c r="BL75" s="0" t="n">
        <f aca="false">BG75-BH75-BJ75-BK75</f>
        <v>3621236.15791583</v>
      </c>
      <c r="BM75" s="0" t="n">
        <f aca="false">Inputs!$D$67-(A75-1)</f>
        <v>15</v>
      </c>
      <c r="BN75" s="0" t="n">
        <f aca="false">IF(BM75&lt;=0,0,IF(A75=1,Inputs!$B$67,BS74))</f>
        <v>5182154.25807753</v>
      </c>
      <c r="BO75" s="0" t="n">
        <f aca="false">BN75*Inputs!$B$9</f>
        <v>13137.0129686273</v>
      </c>
      <c r="BP75" s="0" t="n">
        <f aca="false">(BN75-BO75)*Inputs!$C$67/12</f>
        <v>47598.0337987111</v>
      </c>
      <c r="BQ75" s="0" t="n">
        <f aca="false">IF(BM75&lt;=0,0,IF(BM75=1,BN75-BO75,MIN((BN75-BO75)*(Inputs!$C$67/12)/(1-(1+Inputs!$C$67/12)^(-BM75))-BP75,BN75-BO75)))</f>
        <v>322931.504384387</v>
      </c>
      <c r="BR75" s="0" t="n">
        <f aca="false">(BN75-BO75-BQ75)*Inputs!$B$10</f>
        <v>42362.596198517</v>
      </c>
      <c r="BS75" s="0" t="n">
        <f aca="false">BN75-BO75-BQ75-BR75</f>
        <v>4803723.144526</v>
      </c>
      <c r="BT75" s="0" t="n">
        <f aca="false">C75+J75+Q75+X75+AE75+AL75+AS75+AZ75+BG75+BN75</f>
        <v>10884387.1608365</v>
      </c>
      <c r="BU75" s="0" t="n">
        <f aca="false">D75+K75+R75+Y75+AF75+AM75+AT75+BA75+BH75+BO75</f>
        <v>27592.4505845405</v>
      </c>
      <c r="BV75" s="0" t="n">
        <f aca="false">E75+L75+S75+Z75+AG75+AN75+AU75+BB75+BI75+BP75</f>
        <v>96865.7116077934</v>
      </c>
      <c r="BW75" s="0" t="n">
        <f aca="false">F75+M75+T75+AA75+AH75+AO75+AV75+BC75+BJ75+BQ75</f>
        <v>1158966.0561639</v>
      </c>
      <c r="BX75" s="0" t="n">
        <f aca="false">G75+N75+U75+AB75+AI75+AP75+AW75+BD75+BK75+BR75</f>
        <v>84774.6451993482</v>
      </c>
      <c r="BY75" s="0" t="n">
        <f aca="false">H75+O75+V75+AC75+AJ75+AQ75+AX75+BE75+BL75+BS75</f>
        <v>9613054.00888874</v>
      </c>
      <c r="BZ75" s="0" t="n">
        <f aca="false">IF(A75&gt;Inputs!$B$7,(1-Inputs!$B$6)*INDEX($BU$6:$BU$125,A75-Inputs!$B$7),0)</f>
        <v>28730.1297659806</v>
      </c>
      <c r="CA75" s="0" t="n">
        <f aca="false">CA74+(1-Inputs!$B$6)*BU75-BZ75</f>
        <v>129285.064166956</v>
      </c>
      <c r="CB75" s="0" t="n">
        <f aca="false">BY75+CA75</f>
        <v>9742339.0730557</v>
      </c>
      <c r="CC75" s="0" t="n">
        <f aca="false">BV75+BW75+BX75+BZ75</f>
        <v>1369336.54273702</v>
      </c>
      <c r="CD75" s="0" t="n">
        <f aca="false">CD74+BU75-BZ75</f>
        <v>10979171.3474503</v>
      </c>
    </row>
    <row r="76" customFormat="false" ht="15" hidden="false" customHeight="false" outlineLevel="0" collapsed="false">
      <c r="A76" s="0" t="n">
        <f aca="false">ROW()-5</f>
        <v>71</v>
      </c>
      <c r="B76" s="0" t="n">
        <f aca="false">Inputs!$D$58-(A76-1)</f>
        <v>-34</v>
      </c>
      <c r="C76" s="0" t="n">
        <f aca="false">IF(B76&lt;=0,0,IF(A76=1,Inputs!$B$58,H75))</f>
        <v>0</v>
      </c>
      <c r="D76" s="0" t="n">
        <f aca="false">C76*Inputs!$B$9</f>
        <v>0</v>
      </c>
      <c r="E76" s="0" t="n">
        <f aca="false">(C76-D76)*Inputs!$C$58/12</f>
        <v>0</v>
      </c>
      <c r="F76" s="0" t="n">
        <f aca="false">IF(B76&lt;=0,0,IF(B76=1,C76-D76,MIN((C76-D76)*(Inputs!$C$58/12)/(1-(1+Inputs!$C$58/12)^(-B76))-E76,C76-D76)))</f>
        <v>0</v>
      </c>
      <c r="G76" s="0" t="n">
        <f aca="false">(C76-D76-F76)*Inputs!$B$10</f>
        <v>0</v>
      </c>
      <c r="H76" s="0" t="n">
        <f aca="false">C76-D76-F76-G76</f>
        <v>0</v>
      </c>
      <c r="I76" s="0" t="n">
        <f aca="false">Inputs!$D$59-(A76-1)</f>
        <v>-22</v>
      </c>
      <c r="J76" s="0" t="n">
        <f aca="false">IF(I76&lt;=0,0,IF(A76=1,Inputs!$B$59,O75))</f>
        <v>0</v>
      </c>
      <c r="K76" s="0" t="n">
        <f aca="false">J76*Inputs!$B$9</f>
        <v>0</v>
      </c>
      <c r="L76" s="0" t="n">
        <f aca="false">(J76-K76)*Inputs!$C$59/12</f>
        <v>0</v>
      </c>
      <c r="M76" s="0" t="n">
        <f aca="false">IF(I76&lt;=0,0,IF(I76=1,J76-K76,MIN((J76-K76)*(Inputs!$C$59/12)/(1-(1+Inputs!$C$59/12)^(-I76))-L76,J76-K76)))</f>
        <v>0</v>
      </c>
      <c r="N76" s="0" t="n">
        <f aca="false">(J76-K76-M76)*Inputs!$B$10</f>
        <v>0</v>
      </c>
      <c r="O76" s="0" t="n">
        <f aca="false">J76-K76-M76-N76</f>
        <v>0</v>
      </c>
      <c r="P76" s="0" t="n">
        <f aca="false">Inputs!$D$60-(A76-1)</f>
        <v>-22</v>
      </c>
      <c r="Q76" s="0" t="n">
        <f aca="false">IF(P76&lt;=0,0,IF(A76=1,Inputs!$B$60,V75))</f>
        <v>0</v>
      </c>
      <c r="R76" s="0" t="n">
        <f aca="false">Q76*Inputs!$B$9</f>
        <v>0</v>
      </c>
      <c r="S76" s="0" t="n">
        <f aca="false">(Q76-R76)*Inputs!$C$60/12</f>
        <v>0</v>
      </c>
      <c r="T76" s="0" t="n">
        <f aca="false">IF(P76&lt;=0,0,IF(P76=1,Q76-R76,MIN((Q76-R76)*(Inputs!$C$60/12)/(1-(1+Inputs!$C$60/12)^(-P76))-S76,Q76-R76)))</f>
        <v>0</v>
      </c>
      <c r="U76" s="0" t="n">
        <f aca="false">(Q76-R76-T76)*Inputs!$B$10</f>
        <v>0</v>
      </c>
      <c r="V76" s="0" t="n">
        <f aca="false">Q76-R76-T76-U76</f>
        <v>0</v>
      </c>
      <c r="W76" s="0" t="n">
        <f aca="false">Inputs!$D$61-(A76-1)</f>
        <v>-10</v>
      </c>
      <c r="X76" s="0" t="n">
        <f aca="false">IF(W76&lt;=0,0,IF(A76=1,Inputs!$B$61,AC75))</f>
        <v>0</v>
      </c>
      <c r="Y76" s="0" t="n">
        <f aca="false">X76*Inputs!$B$9</f>
        <v>0</v>
      </c>
      <c r="Z76" s="0" t="n">
        <f aca="false">(X76-Y76)*Inputs!$C$61/12</f>
        <v>0</v>
      </c>
      <c r="AA76" s="0" t="n">
        <f aca="false">IF(W76&lt;=0,0,IF(W76=1,X76-Y76,MIN((X76-Y76)*(Inputs!$C$61/12)/(1-(1+Inputs!$C$61/12)^(-W76))-Z76,X76-Y76)))</f>
        <v>0</v>
      </c>
      <c r="AB76" s="0" t="n">
        <f aca="false">(X76-Y76-AA76)*Inputs!$B$10</f>
        <v>0</v>
      </c>
      <c r="AC76" s="0" t="n">
        <f aca="false">X76-Y76-AA76-AB76</f>
        <v>0</v>
      </c>
      <c r="AD76" s="0" t="n">
        <f aca="false">Inputs!$D$62-(A76-1)</f>
        <v>-10</v>
      </c>
      <c r="AE76" s="0" t="n">
        <f aca="false">IF(AD76&lt;=0,0,IF(A76=1,Inputs!$B$62,AJ75))</f>
        <v>0</v>
      </c>
      <c r="AF76" s="0" t="n">
        <f aca="false">AE76*Inputs!$B$9</f>
        <v>0</v>
      </c>
      <c r="AG76" s="0" t="n">
        <f aca="false">(AE76-AF76)*Inputs!$C$62/12</f>
        <v>0</v>
      </c>
      <c r="AH76" s="0" t="n">
        <f aca="false">IF(AD76&lt;=0,0,IF(AD76=1,AE76-AF76,MIN((AE76-AF76)*(Inputs!$C$62/12)/(1-(1+Inputs!$C$62/12)^(-AD76))-AG76,AE76-AF76)))</f>
        <v>0</v>
      </c>
      <c r="AI76" s="0" t="n">
        <f aca="false">(AE76-AF76-AH76)*Inputs!$B$10</f>
        <v>0</v>
      </c>
      <c r="AJ76" s="0" t="n">
        <f aca="false">AE76-AF76-AH76-AI76</f>
        <v>0</v>
      </c>
      <c r="AK76" s="0" t="n">
        <f aca="false">Inputs!$D$63-(A76-1)</f>
        <v>-10</v>
      </c>
      <c r="AL76" s="0" t="n">
        <f aca="false">IF(AK76&lt;=0,0,IF(A76=1,Inputs!$B$63,AQ75))</f>
        <v>0</v>
      </c>
      <c r="AM76" s="0" t="n">
        <f aca="false">AL76*Inputs!$B$9</f>
        <v>0</v>
      </c>
      <c r="AN76" s="0" t="n">
        <f aca="false">(AL76-AM76)*Inputs!$C$63/12</f>
        <v>0</v>
      </c>
      <c r="AO76" s="0" t="n">
        <f aca="false">IF(AK76&lt;=0,0,IF(AK76=1,AL76-AM76,MIN((AL76-AM76)*(Inputs!$C$63/12)/(1-(1+Inputs!$C$63/12)^(-AK76))-AN76,AL76-AM76)))</f>
        <v>0</v>
      </c>
      <c r="AP76" s="0" t="n">
        <f aca="false">(AL76-AM76-AO76)*Inputs!$B$10</f>
        <v>0</v>
      </c>
      <c r="AQ76" s="0" t="n">
        <f aca="false">AL76-AM76-AO76-AP76</f>
        <v>0</v>
      </c>
      <c r="AR76" s="0" t="n">
        <f aca="false">Inputs!$D$64-(A76-1)</f>
        <v>2</v>
      </c>
      <c r="AS76" s="0" t="n">
        <f aca="false">IF(AR76&lt;=0,0,IF(A76=1,Inputs!$B$64,AX75))</f>
        <v>580236.406013708</v>
      </c>
      <c r="AT76" s="0" t="n">
        <f aca="false">AS76*Inputs!$B$9</f>
        <v>1470.92749676263</v>
      </c>
      <c r="AU76" s="0" t="n">
        <f aca="false">(AS76-AT76)*Inputs!$C$64/12</f>
        <v>4726.58474122172</v>
      </c>
      <c r="AV76" s="0" t="n">
        <f aca="false">IF(AR76&lt;=0,0,IF(AR76=1,AS76-AT76,MIN((AS76-AT76)*(Inputs!$C$64/12)/(1-(1+Inputs!$C$64/12)^(-AR76))-AU76,AS76-AT76)))</f>
        <v>288205.898506239</v>
      </c>
      <c r="AW76" s="0" t="n">
        <f aca="false">(AS76-AT76-AV76)*Inputs!$B$10</f>
        <v>2539.95880761367</v>
      </c>
      <c r="AX76" s="0" t="n">
        <f aca="false">AS76-AT76-AV76-AW76</f>
        <v>288019.621203093</v>
      </c>
      <c r="AY76" s="0" t="n">
        <f aca="false">Inputs!$D$65-(A76-1)</f>
        <v>2</v>
      </c>
      <c r="AZ76" s="0" t="n">
        <f aca="false">IF(AY76&lt;=0,0,IF(A76=1,Inputs!$B$65,BE75))</f>
        <v>607858.30043321</v>
      </c>
      <c r="BA76" s="0" t="n">
        <f aca="false">AZ76*Inputs!$B$9</f>
        <v>1540.95034192233</v>
      </c>
      <c r="BB76" s="0" t="n">
        <f aca="false">(AZ76-BA76)*Inputs!$C$65/12</f>
        <v>5204.22392161689</v>
      </c>
      <c r="BC76" s="0" t="n">
        <f aca="false">IF(AY76&lt;=0,0,IF(AY76=1,AZ76-BA76,MIN((AZ76-BA76)*(Inputs!$C$65/12)/(1-(1+Inputs!$C$65/12)^(-AY76))-BB76,AZ76-BA76)))</f>
        <v>301863.178902851</v>
      </c>
      <c r="BD76" s="0" t="n">
        <f aca="false">(AZ76-BA76-BC76)*Inputs!$B$10</f>
        <v>2661.41991806395</v>
      </c>
      <c r="BE76" s="0" t="n">
        <f aca="false">AZ76-BA76-BC76-BD76</f>
        <v>301792.751270372</v>
      </c>
      <c r="BF76" s="0" t="n">
        <f aca="false">Inputs!$D$66-(A76-1)</f>
        <v>14</v>
      </c>
      <c r="BG76" s="0" t="n">
        <f aca="false">IF(BF76&lt;=0,0,IF(A76=1,Inputs!$B$66,BL75))</f>
        <v>3621236.15791583</v>
      </c>
      <c r="BH76" s="0" t="n">
        <f aca="false">BG76*Inputs!$B$9</f>
        <v>9180.00970249981</v>
      </c>
      <c r="BI76" s="0" t="n">
        <f aca="false">(BG76-BH76)*Inputs!$C$66/12</f>
        <v>31755.9936363755</v>
      </c>
      <c r="BJ76" s="0" t="n">
        <f aca="false">IF(BF76&lt;=0,0,IF(BF76=1,BG76-BH76,MIN((BG76-BH76)*(Inputs!$C$66/12)/(1-(1+Inputs!$C$66/12)^(-BF76))-BI76,BG76-BH76)))</f>
        <v>243582.716681215</v>
      </c>
      <c r="BK76" s="0" t="n">
        <f aca="false">(BG76-BH76-BJ76)*Inputs!$B$10</f>
        <v>29445.884249686</v>
      </c>
      <c r="BL76" s="0" t="n">
        <f aca="false">BG76-BH76-BJ76-BK76</f>
        <v>3339027.54728243</v>
      </c>
      <c r="BM76" s="0" t="n">
        <f aca="false">Inputs!$D$67-(A76-1)</f>
        <v>14</v>
      </c>
      <c r="BN76" s="0" t="n">
        <f aca="false">IF(BM76&lt;=0,0,IF(A76=1,Inputs!$B$67,BS75))</f>
        <v>4803723.144526</v>
      </c>
      <c r="BO76" s="0" t="n">
        <f aca="false">BN76*Inputs!$B$9</f>
        <v>12177.6716987858</v>
      </c>
      <c r="BP76" s="0" t="n">
        <f aca="false">(BN76-BO76)*Inputs!$C$67/12</f>
        <v>44122.1478956172</v>
      </c>
      <c r="BQ76" s="0" t="n">
        <f aca="false">IF(BM76&lt;=0,0,IF(BM76=1,BN76-BO76,MIN((BN76-BO76)*(Inputs!$C$67/12)/(1-(1+Inputs!$C$67/12)^(-BM76))-BP76,BN76-BO76)))</f>
        <v>322237.265911318</v>
      </c>
      <c r="BR76" s="0" t="n">
        <f aca="false">(BN76-BO76-BQ76)*Inputs!$B$10</f>
        <v>39068.9535814919</v>
      </c>
      <c r="BS76" s="0" t="n">
        <f aca="false">BN76-BO76-BQ76-BR76</f>
        <v>4430239.2533344</v>
      </c>
      <c r="BT76" s="0" t="n">
        <f aca="false">C76+J76+Q76+X76+AE76+AL76+AS76+AZ76+BG76+BN76</f>
        <v>9613054.00888874</v>
      </c>
      <c r="BU76" s="0" t="n">
        <f aca="false">D76+K76+R76+Y76+AF76+AM76+AT76+BA76+BH76+BO76</f>
        <v>24369.5592399706</v>
      </c>
      <c r="BV76" s="0" t="n">
        <f aca="false">E76+L76+S76+Z76+AG76+AN76+AU76+BB76+BI76+BP76</f>
        <v>85808.9501948314</v>
      </c>
      <c r="BW76" s="0" t="n">
        <f aca="false">F76+M76+T76+AA76+AH76+AO76+AV76+BC76+BJ76+BQ76</f>
        <v>1155889.06000162</v>
      </c>
      <c r="BX76" s="0" t="n">
        <f aca="false">G76+N76+U76+AB76+AI76+AP76+AW76+BD76+BK76+BR76</f>
        <v>73716.2165568555</v>
      </c>
      <c r="BY76" s="0" t="n">
        <f aca="false">H76+O76+V76+AC76+AJ76+AQ76+AX76+BE76+BL76+BS76</f>
        <v>8359079.17309029</v>
      </c>
      <c r="BZ76" s="0" t="n">
        <f aca="false">IF(A76&gt;Inputs!$B$7,(1-Inputs!$B$6)*INDEX($BU$6:$BU$125,A76-Inputs!$B$7),0)</f>
        <v>26631.2735999026</v>
      </c>
      <c r="CA76" s="0" t="n">
        <f aca="false">CA75+(1-Inputs!$B$6)*BU76-BZ76</f>
        <v>117275.526111036</v>
      </c>
      <c r="CB76" s="0" t="n">
        <f aca="false">BY76+CA76</f>
        <v>8476354.69920133</v>
      </c>
      <c r="CC76" s="0" t="n">
        <f aca="false">BV76+BW76+BX76+BZ76</f>
        <v>1342045.50035321</v>
      </c>
      <c r="CD76" s="0" t="n">
        <f aca="false">CD75+BU76-BZ76</f>
        <v>10976909.6330903</v>
      </c>
    </row>
    <row r="77" customFormat="false" ht="15" hidden="false" customHeight="false" outlineLevel="0" collapsed="false">
      <c r="A77" s="0" t="n">
        <f aca="false">ROW()-5</f>
        <v>72</v>
      </c>
      <c r="B77" s="0" t="n">
        <f aca="false">Inputs!$D$58-(A77-1)</f>
        <v>-35</v>
      </c>
      <c r="C77" s="0" t="n">
        <f aca="false">IF(B77&lt;=0,0,IF(A77=1,Inputs!$B$58,H76))</f>
        <v>0</v>
      </c>
      <c r="D77" s="0" t="n">
        <f aca="false">C77*Inputs!$B$9</f>
        <v>0</v>
      </c>
      <c r="E77" s="0" t="n">
        <f aca="false">(C77-D77)*Inputs!$C$58/12</f>
        <v>0</v>
      </c>
      <c r="F77" s="0" t="n">
        <f aca="false">IF(B77&lt;=0,0,IF(B77=1,C77-D77,MIN((C77-D77)*(Inputs!$C$58/12)/(1-(1+Inputs!$C$58/12)^(-B77))-E77,C77-D77)))</f>
        <v>0</v>
      </c>
      <c r="G77" s="0" t="n">
        <f aca="false">(C77-D77-F77)*Inputs!$B$10</f>
        <v>0</v>
      </c>
      <c r="H77" s="0" t="n">
        <f aca="false">C77-D77-F77-G77</f>
        <v>0</v>
      </c>
      <c r="I77" s="0" t="n">
        <f aca="false">Inputs!$D$59-(A77-1)</f>
        <v>-23</v>
      </c>
      <c r="J77" s="0" t="n">
        <f aca="false">IF(I77&lt;=0,0,IF(A77=1,Inputs!$B$59,O76))</f>
        <v>0</v>
      </c>
      <c r="K77" s="0" t="n">
        <f aca="false">J77*Inputs!$B$9</f>
        <v>0</v>
      </c>
      <c r="L77" s="0" t="n">
        <f aca="false">(J77-K77)*Inputs!$C$59/12</f>
        <v>0</v>
      </c>
      <c r="M77" s="0" t="n">
        <f aca="false">IF(I77&lt;=0,0,IF(I77=1,J77-K77,MIN((J77-K77)*(Inputs!$C$59/12)/(1-(1+Inputs!$C$59/12)^(-I77))-L77,J77-K77)))</f>
        <v>0</v>
      </c>
      <c r="N77" s="0" t="n">
        <f aca="false">(J77-K77-M77)*Inputs!$B$10</f>
        <v>0</v>
      </c>
      <c r="O77" s="0" t="n">
        <f aca="false">J77-K77-M77-N77</f>
        <v>0</v>
      </c>
      <c r="P77" s="0" t="n">
        <f aca="false">Inputs!$D$60-(A77-1)</f>
        <v>-23</v>
      </c>
      <c r="Q77" s="0" t="n">
        <f aca="false">IF(P77&lt;=0,0,IF(A77=1,Inputs!$B$60,V76))</f>
        <v>0</v>
      </c>
      <c r="R77" s="0" t="n">
        <f aca="false">Q77*Inputs!$B$9</f>
        <v>0</v>
      </c>
      <c r="S77" s="0" t="n">
        <f aca="false">(Q77-R77)*Inputs!$C$60/12</f>
        <v>0</v>
      </c>
      <c r="T77" s="0" t="n">
        <f aca="false">IF(P77&lt;=0,0,IF(P77=1,Q77-R77,MIN((Q77-R77)*(Inputs!$C$60/12)/(1-(1+Inputs!$C$60/12)^(-P77))-S77,Q77-R77)))</f>
        <v>0</v>
      </c>
      <c r="U77" s="0" t="n">
        <f aca="false">(Q77-R77-T77)*Inputs!$B$10</f>
        <v>0</v>
      </c>
      <c r="V77" s="0" t="n">
        <f aca="false">Q77-R77-T77-U77</f>
        <v>0</v>
      </c>
      <c r="W77" s="0" t="n">
        <f aca="false">Inputs!$D$61-(A77-1)</f>
        <v>-11</v>
      </c>
      <c r="X77" s="0" t="n">
        <f aca="false">IF(W77&lt;=0,0,IF(A77=1,Inputs!$B$61,AC76))</f>
        <v>0</v>
      </c>
      <c r="Y77" s="0" t="n">
        <f aca="false">X77*Inputs!$B$9</f>
        <v>0</v>
      </c>
      <c r="Z77" s="0" t="n">
        <f aca="false">(X77-Y77)*Inputs!$C$61/12</f>
        <v>0</v>
      </c>
      <c r="AA77" s="0" t="n">
        <f aca="false">IF(W77&lt;=0,0,IF(W77=1,X77-Y77,MIN((X77-Y77)*(Inputs!$C$61/12)/(1-(1+Inputs!$C$61/12)^(-W77))-Z77,X77-Y77)))</f>
        <v>0</v>
      </c>
      <c r="AB77" s="0" t="n">
        <f aca="false">(X77-Y77-AA77)*Inputs!$B$10</f>
        <v>0</v>
      </c>
      <c r="AC77" s="0" t="n">
        <f aca="false">X77-Y77-AA77-AB77</f>
        <v>0</v>
      </c>
      <c r="AD77" s="0" t="n">
        <f aca="false">Inputs!$D$62-(A77-1)</f>
        <v>-11</v>
      </c>
      <c r="AE77" s="0" t="n">
        <f aca="false">IF(AD77&lt;=0,0,IF(A77=1,Inputs!$B$62,AJ76))</f>
        <v>0</v>
      </c>
      <c r="AF77" s="0" t="n">
        <f aca="false">AE77*Inputs!$B$9</f>
        <v>0</v>
      </c>
      <c r="AG77" s="0" t="n">
        <f aca="false">(AE77-AF77)*Inputs!$C$62/12</f>
        <v>0</v>
      </c>
      <c r="AH77" s="0" t="n">
        <f aca="false">IF(AD77&lt;=0,0,IF(AD77=1,AE77-AF77,MIN((AE77-AF77)*(Inputs!$C$62/12)/(1-(1+Inputs!$C$62/12)^(-AD77))-AG77,AE77-AF77)))</f>
        <v>0</v>
      </c>
      <c r="AI77" s="0" t="n">
        <f aca="false">(AE77-AF77-AH77)*Inputs!$B$10</f>
        <v>0</v>
      </c>
      <c r="AJ77" s="0" t="n">
        <f aca="false">AE77-AF77-AH77-AI77</f>
        <v>0</v>
      </c>
      <c r="AK77" s="0" t="n">
        <f aca="false">Inputs!$D$63-(A77-1)</f>
        <v>-11</v>
      </c>
      <c r="AL77" s="0" t="n">
        <f aca="false">IF(AK77&lt;=0,0,IF(A77=1,Inputs!$B$63,AQ76))</f>
        <v>0</v>
      </c>
      <c r="AM77" s="0" t="n">
        <f aca="false">AL77*Inputs!$B$9</f>
        <v>0</v>
      </c>
      <c r="AN77" s="0" t="n">
        <f aca="false">(AL77-AM77)*Inputs!$C$63/12</f>
        <v>0</v>
      </c>
      <c r="AO77" s="0" t="n">
        <f aca="false">IF(AK77&lt;=0,0,IF(AK77=1,AL77-AM77,MIN((AL77-AM77)*(Inputs!$C$63/12)/(1-(1+Inputs!$C$63/12)^(-AK77))-AN77,AL77-AM77)))</f>
        <v>0</v>
      </c>
      <c r="AP77" s="0" t="n">
        <f aca="false">(AL77-AM77-AO77)*Inputs!$B$10</f>
        <v>0</v>
      </c>
      <c r="AQ77" s="0" t="n">
        <f aca="false">AL77-AM77-AO77-AP77</f>
        <v>0</v>
      </c>
      <c r="AR77" s="0" t="n">
        <f aca="false">Inputs!$D$64-(A77-1)</f>
        <v>1</v>
      </c>
      <c r="AS77" s="0" t="n">
        <f aca="false">IF(AR77&lt;=0,0,IF(A77=1,Inputs!$B$64,AX76))</f>
        <v>288019.621203093</v>
      </c>
      <c r="AT77" s="0" t="n">
        <f aca="false">AS77*Inputs!$B$9</f>
        <v>730.143741488668</v>
      </c>
      <c r="AU77" s="0" t="n">
        <f aca="false">(AS77-AT77)*Inputs!$C$64/12</f>
        <v>2346.19739926977</v>
      </c>
      <c r="AV77" s="0" t="n">
        <f aca="false">IF(AR77&lt;=0,0,IF(AR77=1,AS77-AT77,MIN((AS77-AT77)*(Inputs!$C$64/12)/(1-(1+Inputs!$C$64/12)^(-AR77))-AU77,AS77-AT77)))</f>
        <v>287289.477461604</v>
      </c>
      <c r="AW77" s="0" t="n">
        <f aca="false">(AS77-AT77-AV77)*Inputs!$B$10</f>
        <v>0</v>
      </c>
      <c r="AX77" s="0" t="n">
        <f aca="false">AS77-AT77-AV77-AW77</f>
        <v>0</v>
      </c>
      <c r="AY77" s="0" t="n">
        <f aca="false">Inputs!$D$65-(A77-1)</f>
        <v>1</v>
      </c>
      <c r="AZ77" s="0" t="n">
        <f aca="false">IF(AY77&lt;=0,0,IF(A77=1,Inputs!$B$65,BE76))</f>
        <v>301792.751270372</v>
      </c>
      <c r="BA77" s="0" t="n">
        <f aca="false">AZ77*Inputs!$B$9</f>
        <v>765.059295773918</v>
      </c>
      <c r="BB77" s="0" t="n">
        <f aca="false">(AZ77-BA77)*Inputs!$C$65/12</f>
        <v>2583.82102278197</v>
      </c>
      <c r="BC77" s="0" t="n">
        <f aca="false">IF(AY77&lt;=0,0,IF(AY77=1,AZ77-BA77,MIN((AZ77-BA77)*(Inputs!$C$65/12)/(1-(1+Inputs!$C$65/12)^(-AY77))-BB77,AZ77-BA77)))</f>
        <v>301027.691974598</v>
      </c>
      <c r="BD77" s="0" t="n">
        <f aca="false">(AZ77-BA77-BC77)*Inputs!$B$10</f>
        <v>0</v>
      </c>
      <c r="BE77" s="0" t="n">
        <f aca="false">AZ77-BA77-BC77-BD77</f>
        <v>0</v>
      </c>
      <c r="BF77" s="0" t="n">
        <f aca="false">Inputs!$D$66-(A77-1)</f>
        <v>13</v>
      </c>
      <c r="BG77" s="0" t="n">
        <f aca="false">IF(BF77&lt;=0,0,IF(A77=1,Inputs!$B$66,BL76))</f>
        <v>3339027.54728243</v>
      </c>
      <c r="BH77" s="0" t="n">
        <f aca="false">BG77*Inputs!$B$9</f>
        <v>8464.59715530083</v>
      </c>
      <c r="BI77" s="0" t="n">
        <f aca="false">(BG77-BH77)*Inputs!$C$66/12</f>
        <v>29281.1992698677</v>
      </c>
      <c r="BJ77" s="0" t="n">
        <f aca="false">IF(BF77&lt;=0,0,IF(BF77=1,BG77-BH77,MIN((BG77-BH77)*(Inputs!$C$66/12)/(1-(1+Inputs!$C$66/12)^(-BF77))-BI77,BG77-BH77)))</f>
        <v>242958.711763794</v>
      </c>
      <c r="BK77" s="0" t="n">
        <f aca="false">(BG77-BH77-BJ77)*Inputs!$B$10</f>
        <v>26990.6350338449</v>
      </c>
      <c r="BL77" s="0" t="n">
        <f aca="false">BG77-BH77-BJ77-BK77</f>
        <v>3060613.60332949</v>
      </c>
      <c r="BM77" s="0" t="n">
        <f aca="false">Inputs!$D$67-(A77-1)</f>
        <v>13</v>
      </c>
      <c r="BN77" s="0" t="n">
        <f aca="false">IF(BM77&lt;=0,0,IF(A77=1,Inputs!$B$67,BS76))</f>
        <v>4430239.2533344</v>
      </c>
      <c r="BO77" s="0" t="n">
        <f aca="false">BN77*Inputs!$B$9</f>
        <v>11230.8718781303</v>
      </c>
      <c r="BP77" s="0" t="n">
        <f aca="false">(BN77-BO77)*Inputs!$C$67/12</f>
        <v>40691.7021792432</v>
      </c>
      <c r="BQ77" s="0" t="n">
        <f aca="false">IF(BM77&lt;=0,0,IF(BM77=1,BN77-BO77,MIN((BN77-BO77)*(Inputs!$C$67/12)/(1-(1+Inputs!$C$67/12)^(-BM77))-BP77,BN77-BO77)))</f>
        <v>321544.519912817</v>
      </c>
      <c r="BR77" s="0" t="n">
        <f aca="false">(BN77-BO77-BQ77)*Inputs!$B$10</f>
        <v>35818.4349785422</v>
      </c>
      <c r="BS77" s="0" t="n">
        <f aca="false">BN77-BO77-BQ77-BR77</f>
        <v>4061645.42656491</v>
      </c>
      <c r="BT77" s="0" t="n">
        <f aca="false">C77+J77+Q77+X77+AE77+AL77+AS77+AZ77+BG77+BN77</f>
        <v>8359079.17309029</v>
      </c>
      <c r="BU77" s="0" t="n">
        <f aca="false">D77+K77+R77+Y77+AF77+AM77+AT77+BA77+BH77+BO77</f>
        <v>21190.6720706937</v>
      </c>
      <c r="BV77" s="0" t="n">
        <f aca="false">E77+L77+S77+Z77+AG77+AN77+AU77+BB77+BI77+BP77</f>
        <v>74902.9198711626</v>
      </c>
      <c r="BW77" s="0" t="n">
        <f aca="false">F77+M77+T77+AA77+AH77+AO77+AV77+BC77+BJ77+BQ77</f>
        <v>1152820.40111281</v>
      </c>
      <c r="BX77" s="0" t="n">
        <f aca="false">G77+N77+U77+AB77+AI77+AP77+AW77+BD77+BK77+BR77</f>
        <v>62809.0700123871</v>
      </c>
      <c r="BY77" s="0" t="n">
        <f aca="false">H77+O77+V77+AC77+AJ77+AQ77+AX77+BE77+BL77+BS77</f>
        <v>7122259.0298944</v>
      </c>
      <c r="BZ77" s="0" t="n">
        <f aca="false">IF(A77&gt;Inputs!$B$7,(1-Inputs!$B$6)*INDEX($BU$6:$BU$125,A77-Inputs!$B$7),0)</f>
        <v>24560.7544540981</v>
      </c>
      <c r="CA77" s="0" t="n">
        <f aca="false">CA76+(1-Inputs!$B$6)*BU77-BZ77</f>
        <v>105429.174899354</v>
      </c>
      <c r="CB77" s="0" t="n">
        <f aca="false">BY77+CA77</f>
        <v>7227688.20479375</v>
      </c>
      <c r="CC77" s="0" t="n">
        <f aca="false">BV77+BW77+BX77+BZ77</f>
        <v>1315093.14545046</v>
      </c>
      <c r="CD77" s="0" t="n">
        <f aca="false">CD76+BU77-BZ77</f>
        <v>10973539.5507069</v>
      </c>
    </row>
    <row r="78" customFormat="false" ht="15" hidden="false" customHeight="false" outlineLevel="0" collapsed="false">
      <c r="A78" s="0" t="n">
        <f aca="false">ROW()-5</f>
        <v>73</v>
      </c>
      <c r="B78" s="0" t="n">
        <f aca="false">Inputs!$D$58-(A78-1)</f>
        <v>-36</v>
      </c>
      <c r="C78" s="0" t="n">
        <f aca="false">IF(B78&lt;=0,0,IF(A78=1,Inputs!$B$58,H77))</f>
        <v>0</v>
      </c>
      <c r="D78" s="0" t="n">
        <f aca="false">C78*Inputs!$B$9</f>
        <v>0</v>
      </c>
      <c r="E78" s="0" t="n">
        <f aca="false">(C78-D78)*Inputs!$C$58/12</f>
        <v>0</v>
      </c>
      <c r="F78" s="0" t="n">
        <f aca="false">IF(B78&lt;=0,0,IF(B78=1,C78-D78,MIN((C78-D78)*(Inputs!$C$58/12)/(1-(1+Inputs!$C$58/12)^(-B78))-E78,C78-D78)))</f>
        <v>0</v>
      </c>
      <c r="G78" s="0" t="n">
        <f aca="false">(C78-D78-F78)*Inputs!$B$10</f>
        <v>0</v>
      </c>
      <c r="H78" s="0" t="n">
        <f aca="false">C78-D78-F78-G78</f>
        <v>0</v>
      </c>
      <c r="I78" s="0" t="n">
        <f aca="false">Inputs!$D$59-(A78-1)</f>
        <v>-24</v>
      </c>
      <c r="J78" s="0" t="n">
        <f aca="false">IF(I78&lt;=0,0,IF(A78=1,Inputs!$B$59,O77))</f>
        <v>0</v>
      </c>
      <c r="K78" s="0" t="n">
        <f aca="false">J78*Inputs!$B$9</f>
        <v>0</v>
      </c>
      <c r="L78" s="0" t="n">
        <f aca="false">(J78-K78)*Inputs!$C$59/12</f>
        <v>0</v>
      </c>
      <c r="M78" s="0" t="n">
        <f aca="false">IF(I78&lt;=0,0,IF(I78=1,J78-K78,MIN((J78-K78)*(Inputs!$C$59/12)/(1-(1+Inputs!$C$59/12)^(-I78))-L78,J78-K78)))</f>
        <v>0</v>
      </c>
      <c r="N78" s="0" t="n">
        <f aca="false">(J78-K78-M78)*Inputs!$B$10</f>
        <v>0</v>
      </c>
      <c r="O78" s="0" t="n">
        <f aca="false">J78-K78-M78-N78</f>
        <v>0</v>
      </c>
      <c r="P78" s="0" t="n">
        <f aca="false">Inputs!$D$60-(A78-1)</f>
        <v>-24</v>
      </c>
      <c r="Q78" s="0" t="n">
        <f aca="false">IF(P78&lt;=0,0,IF(A78=1,Inputs!$B$60,V77))</f>
        <v>0</v>
      </c>
      <c r="R78" s="0" t="n">
        <f aca="false">Q78*Inputs!$B$9</f>
        <v>0</v>
      </c>
      <c r="S78" s="0" t="n">
        <f aca="false">(Q78-R78)*Inputs!$C$60/12</f>
        <v>0</v>
      </c>
      <c r="T78" s="0" t="n">
        <f aca="false">IF(P78&lt;=0,0,IF(P78=1,Q78-R78,MIN((Q78-R78)*(Inputs!$C$60/12)/(1-(1+Inputs!$C$60/12)^(-P78))-S78,Q78-R78)))</f>
        <v>0</v>
      </c>
      <c r="U78" s="0" t="n">
        <f aca="false">(Q78-R78-T78)*Inputs!$B$10</f>
        <v>0</v>
      </c>
      <c r="V78" s="0" t="n">
        <f aca="false">Q78-R78-T78-U78</f>
        <v>0</v>
      </c>
      <c r="W78" s="0" t="n">
        <f aca="false">Inputs!$D$61-(A78-1)</f>
        <v>-12</v>
      </c>
      <c r="X78" s="0" t="n">
        <f aca="false">IF(W78&lt;=0,0,IF(A78=1,Inputs!$B$61,AC77))</f>
        <v>0</v>
      </c>
      <c r="Y78" s="0" t="n">
        <f aca="false">X78*Inputs!$B$9</f>
        <v>0</v>
      </c>
      <c r="Z78" s="0" t="n">
        <f aca="false">(X78-Y78)*Inputs!$C$61/12</f>
        <v>0</v>
      </c>
      <c r="AA78" s="0" t="n">
        <f aca="false">IF(W78&lt;=0,0,IF(W78=1,X78-Y78,MIN((X78-Y78)*(Inputs!$C$61/12)/(1-(1+Inputs!$C$61/12)^(-W78))-Z78,X78-Y78)))</f>
        <v>0</v>
      </c>
      <c r="AB78" s="0" t="n">
        <f aca="false">(X78-Y78-AA78)*Inputs!$B$10</f>
        <v>0</v>
      </c>
      <c r="AC78" s="0" t="n">
        <f aca="false">X78-Y78-AA78-AB78</f>
        <v>0</v>
      </c>
      <c r="AD78" s="0" t="n">
        <f aca="false">Inputs!$D$62-(A78-1)</f>
        <v>-12</v>
      </c>
      <c r="AE78" s="0" t="n">
        <f aca="false">IF(AD78&lt;=0,0,IF(A78=1,Inputs!$B$62,AJ77))</f>
        <v>0</v>
      </c>
      <c r="AF78" s="0" t="n">
        <f aca="false">AE78*Inputs!$B$9</f>
        <v>0</v>
      </c>
      <c r="AG78" s="0" t="n">
        <f aca="false">(AE78-AF78)*Inputs!$C$62/12</f>
        <v>0</v>
      </c>
      <c r="AH78" s="0" t="n">
        <f aca="false">IF(AD78&lt;=0,0,IF(AD78=1,AE78-AF78,MIN((AE78-AF78)*(Inputs!$C$62/12)/(1-(1+Inputs!$C$62/12)^(-AD78))-AG78,AE78-AF78)))</f>
        <v>0</v>
      </c>
      <c r="AI78" s="0" t="n">
        <f aca="false">(AE78-AF78-AH78)*Inputs!$B$10</f>
        <v>0</v>
      </c>
      <c r="AJ78" s="0" t="n">
        <f aca="false">AE78-AF78-AH78-AI78</f>
        <v>0</v>
      </c>
      <c r="AK78" s="0" t="n">
        <f aca="false">Inputs!$D$63-(A78-1)</f>
        <v>-12</v>
      </c>
      <c r="AL78" s="0" t="n">
        <f aca="false">IF(AK78&lt;=0,0,IF(A78=1,Inputs!$B$63,AQ77))</f>
        <v>0</v>
      </c>
      <c r="AM78" s="0" t="n">
        <f aca="false">AL78*Inputs!$B$9</f>
        <v>0</v>
      </c>
      <c r="AN78" s="0" t="n">
        <f aca="false">(AL78-AM78)*Inputs!$C$63/12</f>
        <v>0</v>
      </c>
      <c r="AO78" s="0" t="n">
        <f aca="false">IF(AK78&lt;=0,0,IF(AK78=1,AL78-AM78,MIN((AL78-AM78)*(Inputs!$C$63/12)/(1-(1+Inputs!$C$63/12)^(-AK78))-AN78,AL78-AM78)))</f>
        <v>0</v>
      </c>
      <c r="AP78" s="0" t="n">
        <f aca="false">(AL78-AM78-AO78)*Inputs!$B$10</f>
        <v>0</v>
      </c>
      <c r="AQ78" s="0" t="n">
        <f aca="false">AL78-AM78-AO78-AP78</f>
        <v>0</v>
      </c>
      <c r="AR78" s="0" t="n">
        <f aca="false">Inputs!$D$64-(A78-1)</f>
        <v>0</v>
      </c>
      <c r="AS78" s="0" t="n">
        <f aca="false">IF(AR78&lt;=0,0,IF(A78=1,Inputs!$B$64,AX77))</f>
        <v>0</v>
      </c>
      <c r="AT78" s="0" t="n">
        <f aca="false">AS78*Inputs!$B$9</f>
        <v>0</v>
      </c>
      <c r="AU78" s="0" t="n">
        <f aca="false">(AS78-AT78)*Inputs!$C$64/12</f>
        <v>0</v>
      </c>
      <c r="AV78" s="0" t="n">
        <f aca="false">IF(AR78&lt;=0,0,IF(AR78=1,AS78-AT78,MIN((AS78-AT78)*(Inputs!$C$64/12)/(1-(1+Inputs!$C$64/12)^(-AR78))-AU78,AS78-AT78)))</f>
        <v>0</v>
      </c>
      <c r="AW78" s="0" t="n">
        <f aca="false">(AS78-AT78-AV78)*Inputs!$B$10</f>
        <v>0</v>
      </c>
      <c r="AX78" s="0" t="n">
        <f aca="false">AS78-AT78-AV78-AW78</f>
        <v>0</v>
      </c>
      <c r="AY78" s="0" t="n">
        <f aca="false">Inputs!$D$65-(A78-1)</f>
        <v>0</v>
      </c>
      <c r="AZ78" s="0" t="n">
        <f aca="false">IF(AY78&lt;=0,0,IF(A78=1,Inputs!$B$65,BE77))</f>
        <v>0</v>
      </c>
      <c r="BA78" s="0" t="n">
        <f aca="false">AZ78*Inputs!$B$9</f>
        <v>0</v>
      </c>
      <c r="BB78" s="0" t="n">
        <f aca="false">(AZ78-BA78)*Inputs!$C$65/12</f>
        <v>0</v>
      </c>
      <c r="BC78" s="0" t="n">
        <f aca="false">IF(AY78&lt;=0,0,IF(AY78=1,AZ78-BA78,MIN((AZ78-BA78)*(Inputs!$C$65/12)/(1-(1+Inputs!$C$65/12)^(-AY78))-BB78,AZ78-BA78)))</f>
        <v>0</v>
      </c>
      <c r="BD78" s="0" t="n">
        <f aca="false">(AZ78-BA78-BC78)*Inputs!$B$10</f>
        <v>0</v>
      </c>
      <c r="BE78" s="0" t="n">
        <f aca="false">AZ78-BA78-BC78-BD78</f>
        <v>0</v>
      </c>
      <c r="BF78" s="0" t="n">
        <f aca="false">Inputs!$D$66-(A78-1)</f>
        <v>12</v>
      </c>
      <c r="BG78" s="0" t="n">
        <f aca="false">IF(BF78&lt;=0,0,IF(A78=1,Inputs!$B$66,BL77))</f>
        <v>3060613.60332949</v>
      </c>
      <c r="BH78" s="0" t="n">
        <f aca="false">BG78*Inputs!$B$9</f>
        <v>7758.80427261013</v>
      </c>
      <c r="BI78" s="0" t="n">
        <f aca="false">(BG78-BH78)*Inputs!$C$66/12</f>
        <v>26839.6817750417</v>
      </c>
      <c r="BJ78" s="0" t="n">
        <f aca="false">IF(BF78&lt;=0,0,IF(BF78=1,BG78-BH78,MIN((BG78-BH78)*(Inputs!$C$66/12)/(1-(1+Inputs!$C$66/12)^(-BF78))-BI78,BG78-BH78)))</f>
        <v>242336.305408627</v>
      </c>
      <c r="BK78" s="0" t="n">
        <f aca="false">(BG78-BH78-BJ78)*Inputs!$B$10</f>
        <v>24568.4592524533</v>
      </c>
      <c r="BL78" s="0" t="n">
        <f aca="false">BG78-BH78-BJ78-BK78</f>
        <v>2785950.0343958</v>
      </c>
      <c r="BM78" s="0" t="n">
        <f aca="false">Inputs!$D$67-(A78-1)</f>
        <v>12</v>
      </c>
      <c r="BN78" s="0" t="n">
        <f aca="false">IF(BM78&lt;=0,0,IF(A78=1,Inputs!$B$67,BS77))</f>
        <v>4061645.42656491</v>
      </c>
      <c r="BO78" s="0" t="n">
        <f aca="false">BN78*Inputs!$B$9</f>
        <v>10296.4686085095</v>
      </c>
      <c r="BP78" s="0" t="n">
        <f aca="false">(BN78-BO78)*Inputs!$C$67/12</f>
        <v>37306.1716545152</v>
      </c>
      <c r="BQ78" s="0" t="n">
        <f aca="false">IF(BM78&lt;=0,0,IF(BM78=1,BN78-BO78,MIN((BN78-BO78)*(Inputs!$C$67/12)/(1-(1+Inputs!$C$67/12)^(-BM78))-BP78,BN78-BO78)))</f>
        <v>320853.263180361</v>
      </c>
      <c r="BR78" s="0" t="n">
        <f aca="false">(BN78-BO78-BQ78)*Inputs!$B$10</f>
        <v>32610.5420319032</v>
      </c>
      <c r="BS78" s="0" t="n">
        <f aca="false">BN78-BO78-BQ78-BR78</f>
        <v>3697885.15274414</v>
      </c>
      <c r="BT78" s="0" t="n">
        <f aca="false">C78+J78+Q78+X78+AE78+AL78+AS78+AZ78+BG78+BN78</f>
        <v>7122259.0298944</v>
      </c>
      <c r="BU78" s="0" t="n">
        <f aca="false">D78+K78+R78+Y78+AF78+AM78+AT78+BA78+BH78+BO78</f>
        <v>18055.2728811196</v>
      </c>
      <c r="BV78" s="0" t="n">
        <f aca="false">E78+L78+S78+Z78+AG78+AN78+AU78+BB78+BI78+BP78</f>
        <v>64145.8534295569</v>
      </c>
      <c r="BW78" s="0" t="n">
        <f aca="false">F78+M78+T78+AA78+AH78+AO78+AV78+BC78+BJ78+BQ78</f>
        <v>563189.568588988</v>
      </c>
      <c r="BX78" s="0" t="n">
        <f aca="false">G78+N78+U78+AB78+AI78+AP78+AW78+BD78+BK78+BR78</f>
        <v>57179.0012843565</v>
      </c>
      <c r="BY78" s="0" t="n">
        <f aca="false">H78+O78+V78+AC78+AJ78+AQ78+AX78+BE78+BL78+BS78</f>
        <v>6483835.18713994</v>
      </c>
      <c r="BZ78" s="0" t="n">
        <f aca="false">IF(A78&gt;Inputs!$B$7,(1-Inputs!$B$6)*INDEX($BU$6:$BU$125,A78-Inputs!$B$7),0)</f>
        <v>22518.240628833</v>
      </c>
      <c r="CA78" s="0" t="n">
        <f aca="false">CA77+(1-Inputs!$B$6)*BU78-BZ78</f>
        <v>93744.0979991926</v>
      </c>
      <c r="CB78" s="0" t="n">
        <f aca="false">BY78+CA78</f>
        <v>6577579.28513913</v>
      </c>
      <c r="CC78" s="0" t="n">
        <f aca="false">BV78+BW78+BX78+BZ78</f>
        <v>707032.663931734</v>
      </c>
      <c r="CD78" s="0" t="n">
        <f aca="false">CD77+BU78-BZ78</f>
        <v>10969076.5829592</v>
      </c>
    </row>
    <row r="79" customFormat="false" ht="15" hidden="false" customHeight="false" outlineLevel="0" collapsed="false">
      <c r="A79" s="0" t="n">
        <f aca="false">ROW()-5</f>
        <v>74</v>
      </c>
      <c r="B79" s="0" t="n">
        <f aca="false">Inputs!$D$58-(A79-1)</f>
        <v>-37</v>
      </c>
      <c r="C79" s="0" t="n">
        <f aca="false">IF(B79&lt;=0,0,IF(A79=1,Inputs!$B$58,H78))</f>
        <v>0</v>
      </c>
      <c r="D79" s="0" t="n">
        <f aca="false">C79*Inputs!$B$9</f>
        <v>0</v>
      </c>
      <c r="E79" s="0" t="n">
        <f aca="false">(C79-D79)*Inputs!$C$58/12</f>
        <v>0</v>
      </c>
      <c r="F79" s="0" t="n">
        <f aca="false">IF(B79&lt;=0,0,IF(B79=1,C79-D79,MIN((C79-D79)*(Inputs!$C$58/12)/(1-(1+Inputs!$C$58/12)^(-B79))-E79,C79-D79)))</f>
        <v>0</v>
      </c>
      <c r="G79" s="0" t="n">
        <f aca="false">(C79-D79-F79)*Inputs!$B$10</f>
        <v>0</v>
      </c>
      <c r="H79" s="0" t="n">
        <f aca="false">C79-D79-F79-G79</f>
        <v>0</v>
      </c>
      <c r="I79" s="0" t="n">
        <f aca="false">Inputs!$D$59-(A79-1)</f>
        <v>-25</v>
      </c>
      <c r="J79" s="0" t="n">
        <f aca="false">IF(I79&lt;=0,0,IF(A79=1,Inputs!$B$59,O78))</f>
        <v>0</v>
      </c>
      <c r="K79" s="0" t="n">
        <f aca="false">J79*Inputs!$B$9</f>
        <v>0</v>
      </c>
      <c r="L79" s="0" t="n">
        <f aca="false">(J79-K79)*Inputs!$C$59/12</f>
        <v>0</v>
      </c>
      <c r="M79" s="0" t="n">
        <f aca="false">IF(I79&lt;=0,0,IF(I79=1,J79-K79,MIN((J79-K79)*(Inputs!$C$59/12)/(1-(1+Inputs!$C$59/12)^(-I79))-L79,J79-K79)))</f>
        <v>0</v>
      </c>
      <c r="N79" s="0" t="n">
        <f aca="false">(J79-K79-M79)*Inputs!$B$10</f>
        <v>0</v>
      </c>
      <c r="O79" s="0" t="n">
        <f aca="false">J79-K79-M79-N79</f>
        <v>0</v>
      </c>
      <c r="P79" s="0" t="n">
        <f aca="false">Inputs!$D$60-(A79-1)</f>
        <v>-25</v>
      </c>
      <c r="Q79" s="0" t="n">
        <f aca="false">IF(P79&lt;=0,0,IF(A79=1,Inputs!$B$60,V78))</f>
        <v>0</v>
      </c>
      <c r="R79" s="0" t="n">
        <f aca="false">Q79*Inputs!$B$9</f>
        <v>0</v>
      </c>
      <c r="S79" s="0" t="n">
        <f aca="false">(Q79-R79)*Inputs!$C$60/12</f>
        <v>0</v>
      </c>
      <c r="T79" s="0" t="n">
        <f aca="false">IF(P79&lt;=0,0,IF(P79=1,Q79-R79,MIN((Q79-R79)*(Inputs!$C$60/12)/(1-(1+Inputs!$C$60/12)^(-P79))-S79,Q79-R79)))</f>
        <v>0</v>
      </c>
      <c r="U79" s="0" t="n">
        <f aca="false">(Q79-R79-T79)*Inputs!$B$10</f>
        <v>0</v>
      </c>
      <c r="V79" s="0" t="n">
        <f aca="false">Q79-R79-T79-U79</f>
        <v>0</v>
      </c>
      <c r="W79" s="0" t="n">
        <f aca="false">Inputs!$D$61-(A79-1)</f>
        <v>-13</v>
      </c>
      <c r="X79" s="0" t="n">
        <f aca="false">IF(W79&lt;=0,0,IF(A79=1,Inputs!$B$61,AC78))</f>
        <v>0</v>
      </c>
      <c r="Y79" s="0" t="n">
        <f aca="false">X79*Inputs!$B$9</f>
        <v>0</v>
      </c>
      <c r="Z79" s="0" t="n">
        <f aca="false">(X79-Y79)*Inputs!$C$61/12</f>
        <v>0</v>
      </c>
      <c r="AA79" s="0" t="n">
        <f aca="false">IF(W79&lt;=0,0,IF(W79=1,X79-Y79,MIN((X79-Y79)*(Inputs!$C$61/12)/(1-(1+Inputs!$C$61/12)^(-W79))-Z79,X79-Y79)))</f>
        <v>0</v>
      </c>
      <c r="AB79" s="0" t="n">
        <f aca="false">(X79-Y79-AA79)*Inputs!$B$10</f>
        <v>0</v>
      </c>
      <c r="AC79" s="0" t="n">
        <f aca="false">X79-Y79-AA79-AB79</f>
        <v>0</v>
      </c>
      <c r="AD79" s="0" t="n">
        <f aca="false">Inputs!$D$62-(A79-1)</f>
        <v>-13</v>
      </c>
      <c r="AE79" s="0" t="n">
        <f aca="false">IF(AD79&lt;=0,0,IF(A79=1,Inputs!$B$62,AJ78))</f>
        <v>0</v>
      </c>
      <c r="AF79" s="0" t="n">
        <f aca="false">AE79*Inputs!$B$9</f>
        <v>0</v>
      </c>
      <c r="AG79" s="0" t="n">
        <f aca="false">(AE79-AF79)*Inputs!$C$62/12</f>
        <v>0</v>
      </c>
      <c r="AH79" s="0" t="n">
        <f aca="false">IF(AD79&lt;=0,0,IF(AD79=1,AE79-AF79,MIN((AE79-AF79)*(Inputs!$C$62/12)/(1-(1+Inputs!$C$62/12)^(-AD79))-AG79,AE79-AF79)))</f>
        <v>0</v>
      </c>
      <c r="AI79" s="0" t="n">
        <f aca="false">(AE79-AF79-AH79)*Inputs!$B$10</f>
        <v>0</v>
      </c>
      <c r="AJ79" s="0" t="n">
        <f aca="false">AE79-AF79-AH79-AI79</f>
        <v>0</v>
      </c>
      <c r="AK79" s="0" t="n">
        <f aca="false">Inputs!$D$63-(A79-1)</f>
        <v>-13</v>
      </c>
      <c r="AL79" s="0" t="n">
        <f aca="false">IF(AK79&lt;=0,0,IF(A79=1,Inputs!$B$63,AQ78))</f>
        <v>0</v>
      </c>
      <c r="AM79" s="0" t="n">
        <f aca="false">AL79*Inputs!$B$9</f>
        <v>0</v>
      </c>
      <c r="AN79" s="0" t="n">
        <f aca="false">(AL79-AM79)*Inputs!$C$63/12</f>
        <v>0</v>
      </c>
      <c r="AO79" s="0" t="n">
        <f aca="false">IF(AK79&lt;=0,0,IF(AK79=1,AL79-AM79,MIN((AL79-AM79)*(Inputs!$C$63/12)/(1-(1+Inputs!$C$63/12)^(-AK79))-AN79,AL79-AM79)))</f>
        <v>0</v>
      </c>
      <c r="AP79" s="0" t="n">
        <f aca="false">(AL79-AM79-AO79)*Inputs!$B$10</f>
        <v>0</v>
      </c>
      <c r="AQ79" s="0" t="n">
        <f aca="false">AL79-AM79-AO79-AP79</f>
        <v>0</v>
      </c>
      <c r="AR79" s="0" t="n">
        <f aca="false">Inputs!$D$64-(A79-1)</f>
        <v>-1</v>
      </c>
      <c r="AS79" s="0" t="n">
        <f aca="false">IF(AR79&lt;=0,0,IF(A79=1,Inputs!$B$64,AX78))</f>
        <v>0</v>
      </c>
      <c r="AT79" s="0" t="n">
        <f aca="false">AS79*Inputs!$B$9</f>
        <v>0</v>
      </c>
      <c r="AU79" s="0" t="n">
        <f aca="false">(AS79-AT79)*Inputs!$C$64/12</f>
        <v>0</v>
      </c>
      <c r="AV79" s="0" t="n">
        <f aca="false">IF(AR79&lt;=0,0,IF(AR79=1,AS79-AT79,MIN((AS79-AT79)*(Inputs!$C$64/12)/(1-(1+Inputs!$C$64/12)^(-AR79))-AU79,AS79-AT79)))</f>
        <v>0</v>
      </c>
      <c r="AW79" s="0" t="n">
        <f aca="false">(AS79-AT79-AV79)*Inputs!$B$10</f>
        <v>0</v>
      </c>
      <c r="AX79" s="0" t="n">
        <f aca="false">AS79-AT79-AV79-AW79</f>
        <v>0</v>
      </c>
      <c r="AY79" s="0" t="n">
        <f aca="false">Inputs!$D$65-(A79-1)</f>
        <v>-1</v>
      </c>
      <c r="AZ79" s="0" t="n">
        <f aca="false">IF(AY79&lt;=0,0,IF(A79=1,Inputs!$B$65,BE78))</f>
        <v>0</v>
      </c>
      <c r="BA79" s="0" t="n">
        <f aca="false">AZ79*Inputs!$B$9</f>
        <v>0</v>
      </c>
      <c r="BB79" s="0" t="n">
        <f aca="false">(AZ79-BA79)*Inputs!$C$65/12</f>
        <v>0</v>
      </c>
      <c r="BC79" s="0" t="n">
        <f aca="false">IF(AY79&lt;=0,0,IF(AY79=1,AZ79-BA79,MIN((AZ79-BA79)*(Inputs!$C$65/12)/(1-(1+Inputs!$C$65/12)^(-AY79))-BB79,AZ79-BA79)))</f>
        <v>0</v>
      </c>
      <c r="BD79" s="0" t="n">
        <f aca="false">(AZ79-BA79-BC79)*Inputs!$B$10</f>
        <v>0</v>
      </c>
      <c r="BE79" s="0" t="n">
        <f aca="false">AZ79-BA79-BC79-BD79</f>
        <v>0</v>
      </c>
      <c r="BF79" s="0" t="n">
        <f aca="false">Inputs!$D$66-(A79-1)</f>
        <v>11</v>
      </c>
      <c r="BG79" s="0" t="n">
        <f aca="false">IF(BF79&lt;=0,0,IF(A79=1,Inputs!$B$66,BL78))</f>
        <v>2785950.0343958</v>
      </c>
      <c r="BH79" s="0" t="n">
        <f aca="false">BG79*Inputs!$B$9</f>
        <v>7062.51877291334</v>
      </c>
      <c r="BI79" s="0" t="n">
        <f aca="false">(BG79-BH79)*Inputs!$C$66/12</f>
        <v>24431.0527415179</v>
      </c>
      <c r="BJ79" s="0" t="n">
        <f aca="false">IF(BF79&lt;=0,0,IF(BF79=1,BG79-BH79,MIN((BG79-BH79)*(Inputs!$C$66/12)/(1-(1+Inputs!$C$66/12)^(-BF79))-BI79,BG79-BH79)))</f>
        <v>241715.493520554</v>
      </c>
      <c r="BK79" s="0" t="n">
        <f aca="false">(BG79-BH79-BJ79)*Inputs!$B$10</f>
        <v>22178.9707423598</v>
      </c>
      <c r="BL79" s="0" t="n">
        <f aca="false">BG79-BH79-BJ79-BK79</f>
        <v>2514993.05135997</v>
      </c>
      <c r="BM79" s="0" t="n">
        <f aca="false">Inputs!$D$67-(A79-1)</f>
        <v>11</v>
      </c>
      <c r="BN79" s="0" t="n">
        <f aca="false">IF(BM79&lt;=0,0,IF(A79=1,Inputs!$B$67,BS78))</f>
        <v>3697885.15274414</v>
      </c>
      <c r="BO79" s="0" t="n">
        <f aca="false">BN79*Inputs!$B$9</f>
        <v>9374.3186305913</v>
      </c>
      <c r="BP79" s="0" t="n">
        <f aca="false">(BN79-BO79)*Inputs!$C$67/12</f>
        <v>33965.0372641289</v>
      </c>
      <c r="BQ79" s="0" t="n">
        <f aca="false">IF(BM79&lt;=0,0,IF(BM79=1,BN79-BO79,MIN((BN79-BO79)*(Inputs!$C$67/12)/(1-(1+Inputs!$C$67/12)^(-BM79))-BP79,BN79-BO79)))</f>
        <v>320163.492512323</v>
      </c>
      <c r="BR79" s="0" t="n">
        <f aca="false">(BN79-BO79-BQ79)*Inputs!$B$10</f>
        <v>29444.7820205648</v>
      </c>
      <c r="BS79" s="0" t="n">
        <f aca="false">BN79-BO79-BQ79-BR79</f>
        <v>3338902.55958066</v>
      </c>
      <c r="BT79" s="0" t="n">
        <f aca="false">C79+J79+Q79+X79+AE79+AL79+AS79+AZ79+BG79+BN79</f>
        <v>6483835.18713994</v>
      </c>
      <c r="BU79" s="0" t="n">
        <f aca="false">D79+K79+R79+Y79+AF79+AM79+AT79+BA79+BH79+BO79</f>
        <v>16436.8374035046</v>
      </c>
      <c r="BV79" s="0" t="n">
        <f aca="false">E79+L79+S79+Z79+AG79+AN79+AU79+BB79+BI79+BP79</f>
        <v>58396.0900056468</v>
      </c>
      <c r="BW79" s="0" t="n">
        <f aca="false">F79+M79+T79+AA79+AH79+AO79+AV79+BC79+BJ79+BQ79</f>
        <v>561878.986032878</v>
      </c>
      <c r="BX79" s="0" t="n">
        <f aca="false">G79+N79+U79+AB79+AI79+AP79+AW79+BD79+BK79+BR79</f>
        <v>51623.7527629246</v>
      </c>
      <c r="BY79" s="0" t="n">
        <f aca="false">H79+O79+V79+AC79+AJ79+AQ79+AX79+BE79+BL79+BS79</f>
        <v>5853895.61094063</v>
      </c>
      <c r="BZ79" s="0" t="n">
        <f aca="false">IF(A79&gt;Inputs!$B$7,(1-Inputs!$B$6)*INDEX($BU$6:$BU$125,A79-Inputs!$B$7),0)</f>
        <v>20503.4041927984</v>
      </c>
      <c r="CA79" s="0" t="n">
        <f aca="false">CA78+(1-Inputs!$B$6)*BU79-BZ79</f>
        <v>83102.796248497</v>
      </c>
      <c r="CB79" s="0" t="n">
        <f aca="false">BY79+CA79</f>
        <v>5936998.40718913</v>
      </c>
      <c r="CC79" s="0" t="n">
        <f aca="false">BV79+BW79+BX79+BZ79</f>
        <v>692402.232994247</v>
      </c>
      <c r="CD79" s="0" t="n">
        <f aca="false">CD78+BU79-BZ79</f>
        <v>10965010.0161699</v>
      </c>
    </row>
    <row r="80" customFormat="false" ht="15" hidden="false" customHeight="false" outlineLevel="0" collapsed="false">
      <c r="A80" s="0" t="n">
        <f aca="false">ROW()-5</f>
        <v>75</v>
      </c>
      <c r="B80" s="0" t="n">
        <f aca="false">Inputs!$D$58-(A80-1)</f>
        <v>-38</v>
      </c>
      <c r="C80" s="0" t="n">
        <f aca="false">IF(B80&lt;=0,0,IF(A80=1,Inputs!$B$58,H79))</f>
        <v>0</v>
      </c>
      <c r="D80" s="0" t="n">
        <f aca="false">C80*Inputs!$B$9</f>
        <v>0</v>
      </c>
      <c r="E80" s="0" t="n">
        <f aca="false">(C80-D80)*Inputs!$C$58/12</f>
        <v>0</v>
      </c>
      <c r="F80" s="0" t="n">
        <f aca="false">IF(B80&lt;=0,0,IF(B80=1,C80-D80,MIN((C80-D80)*(Inputs!$C$58/12)/(1-(1+Inputs!$C$58/12)^(-B80))-E80,C80-D80)))</f>
        <v>0</v>
      </c>
      <c r="G80" s="0" t="n">
        <f aca="false">(C80-D80-F80)*Inputs!$B$10</f>
        <v>0</v>
      </c>
      <c r="H80" s="0" t="n">
        <f aca="false">C80-D80-F80-G80</f>
        <v>0</v>
      </c>
      <c r="I80" s="0" t="n">
        <f aca="false">Inputs!$D$59-(A80-1)</f>
        <v>-26</v>
      </c>
      <c r="J80" s="0" t="n">
        <f aca="false">IF(I80&lt;=0,0,IF(A80=1,Inputs!$B$59,O79))</f>
        <v>0</v>
      </c>
      <c r="K80" s="0" t="n">
        <f aca="false">J80*Inputs!$B$9</f>
        <v>0</v>
      </c>
      <c r="L80" s="0" t="n">
        <f aca="false">(J80-K80)*Inputs!$C$59/12</f>
        <v>0</v>
      </c>
      <c r="M80" s="0" t="n">
        <f aca="false">IF(I80&lt;=0,0,IF(I80=1,J80-K80,MIN((J80-K80)*(Inputs!$C$59/12)/(1-(1+Inputs!$C$59/12)^(-I80))-L80,J80-K80)))</f>
        <v>0</v>
      </c>
      <c r="N80" s="0" t="n">
        <f aca="false">(J80-K80-M80)*Inputs!$B$10</f>
        <v>0</v>
      </c>
      <c r="O80" s="0" t="n">
        <f aca="false">J80-K80-M80-N80</f>
        <v>0</v>
      </c>
      <c r="P80" s="0" t="n">
        <f aca="false">Inputs!$D$60-(A80-1)</f>
        <v>-26</v>
      </c>
      <c r="Q80" s="0" t="n">
        <f aca="false">IF(P80&lt;=0,0,IF(A80=1,Inputs!$B$60,V79))</f>
        <v>0</v>
      </c>
      <c r="R80" s="0" t="n">
        <f aca="false">Q80*Inputs!$B$9</f>
        <v>0</v>
      </c>
      <c r="S80" s="0" t="n">
        <f aca="false">(Q80-R80)*Inputs!$C$60/12</f>
        <v>0</v>
      </c>
      <c r="T80" s="0" t="n">
        <f aca="false">IF(P80&lt;=0,0,IF(P80=1,Q80-R80,MIN((Q80-R80)*(Inputs!$C$60/12)/(1-(1+Inputs!$C$60/12)^(-P80))-S80,Q80-R80)))</f>
        <v>0</v>
      </c>
      <c r="U80" s="0" t="n">
        <f aca="false">(Q80-R80-T80)*Inputs!$B$10</f>
        <v>0</v>
      </c>
      <c r="V80" s="0" t="n">
        <f aca="false">Q80-R80-T80-U80</f>
        <v>0</v>
      </c>
      <c r="W80" s="0" t="n">
        <f aca="false">Inputs!$D$61-(A80-1)</f>
        <v>-14</v>
      </c>
      <c r="X80" s="0" t="n">
        <f aca="false">IF(W80&lt;=0,0,IF(A80=1,Inputs!$B$61,AC79))</f>
        <v>0</v>
      </c>
      <c r="Y80" s="0" t="n">
        <f aca="false">X80*Inputs!$B$9</f>
        <v>0</v>
      </c>
      <c r="Z80" s="0" t="n">
        <f aca="false">(X80-Y80)*Inputs!$C$61/12</f>
        <v>0</v>
      </c>
      <c r="AA80" s="0" t="n">
        <f aca="false">IF(W80&lt;=0,0,IF(W80=1,X80-Y80,MIN((X80-Y80)*(Inputs!$C$61/12)/(1-(1+Inputs!$C$61/12)^(-W80))-Z80,X80-Y80)))</f>
        <v>0</v>
      </c>
      <c r="AB80" s="0" t="n">
        <f aca="false">(X80-Y80-AA80)*Inputs!$B$10</f>
        <v>0</v>
      </c>
      <c r="AC80" s="0" t="n">
        <f aca="false">X80-Y80-AA80-AB80</f>
        <v>0</v>
      </c>
      <c r="AD80" s="0" t="n">
        <f aca="false">Inputs!$D$62-(A80-1)</f>
        <v>-14</v>
      </c>
      <c r="AE80" s="0" t="n">
        <f aca="false">IF(AD80&lt;=0,0,IF(A80=1,Inputs!$B$62,AJ79))</f>
        <v>0</v>
      </c>
      <c r="AF80" s="0" t="n">
        <f aca="false">AE80*Inputs!$B$9</f>
        <v>0</v>
      </c>
      <c r="AG80" s="0" t="n">
        <f aca="false">(AE80-AF80)*Inputs!$C$62/12</f>
        <v>0</v>
      </c>
      <c r="AH80" s="0" t="n">
        <f aca="false">IF(AD80&lt;=0,0,IF(AD80=1,AE80-AF80,MIN((AE80-AF80)*(Inputs!$C$62/12)/(1-(1+Inputs!$C$62/12)^(-AD80))-AG80,AE80-AF80)))</f>
        <v>0</v>
      </c>
      <c r="AI80" s="0" t="n">
        <f aca="false">(AE80-AF80-AH80)*Inputs!$B$10</f>
        <v>0</v>
      </c>
      <c r="AJ80" s="0" t="n">
        <f aca="false">AE80-AF80-AH80-AI80</f>
        <v>0</v>
      </c>
      <c r="AK80" s="0" t="n">
        <f aca="false">Inputs!$D$63-(A80-1)</f>
        <v>-14</v>
      </c>
      <c r="AL80" s="0" t="n">
        <f aca="false">IF(AK80&lt;=0,0,IF(A80=1,Inputs!$B$63,AQ79))</f>
        <v>0</v>
      </c>
      <c r="AM80" s="0" t="n">
        <f aca="false">AL80*Inputs!$B$9</f>
        <v>0</v>
      </c>
      <c r="AN80" s="0" t="n">
        <f aca="false">(AL80-AM80)*Inputs!$C$63/12</f>
        <v>0</v>
      </c>
      <c r="AO80" s="0" t="n">
        <f aca="false">IF(AK80&lt;=0,0,IF(AK80=1,AL80-AM80,MIN((AL80-AM80)*(Inputs!$C$63/12)/(1-(1+Inputs!$C$63/12)^(-AK80))-AN80,AL80-AM80)))</f>
        <v>0</v>
      </c>
      <c r="AP80" s="0" t="n">
        <f aca="false">(AL80-AM80-AO80)*Inputs!$B$10</f>
        <v>0</v>
      </c>
      <c r="AQ80" s="0" t="n">
        <f aca="false">AL80-AM80-AO80-AP80</f>
        <v>0</v>
      </c>
      <c r="AR80" s="0" t="n">
        <f aca="false">Inputs!$D$64-(A80-1)</f>
        <v>-2</v>
      </c>
      <c r="AS80" s="0" t="n">
        <f aca="false">IF(AR80&lt;=0,0,IF(A80=1,Inputs!$B$64,AX79))</f>
        <v>0</v>
      </c>
      <c r="AT80" s="0" t="n">
        <f aca="false">AS80*Inputs!$B$9</f>
        <v>0</v>
      </c>
      <c r="AU80" s="0" t="n">
        <f aca="false">(AS80-AT80)*Inputs!$C$64/12</f>
        <v>0</v>
      </c>
      <c r="AV80" s="0" t="n">
        <f aca="false">IF(AR80&lt;=0,0,IF(AR80=1,AS80-AT80,MIN((AS80-AT80)*(Inputs!$C$64/12)/(1-(1+Inputs!$C$64/12)^(-AR80))-AU80,AS80-AT80)))</f>
        <v>0</v>
      </c>
      <c r="AW80" s="0" t="n">
        <f aca="false">(AS80-AT80-AV80)*Inputs!$B$10</f>
        <v>0</v>
      </c>
      <c r="AX80" s="0" t="n">
        <f aca="false">AS80-AT80-AV80-AW80</f>
        <v>0</v>
      </c>
      <c r="AY80" s="0" t="n">
        <f aca="false">Inputs!$D$65-(A80-1)</f>
        <v>-2</v>
      </c>
      <c r="AZ80" s="0" t="n">
        <f aca="false">IF(AY80&lt;=0,0,IF(A80=1,Inputs!$B$65,BE79))</f>
        <v>0</v>
      </c>
      <c r="BA80" s="0" t="n">
        <f aca="false">AZ80*Inputs!$B$9</f>
        <v>0</v>
      </c>
      <c r="BB80" s="0" t="n">
        <f aca="false">(AZ80-BA80)*Inputs!$C$65/12</f>
        <v>0</v>
      </c>
      <c r="BC80" s="0" t="n">
        <f aca="false">IF(AY80&lt;=0,0,IF(AY80=1,AZ80-BA80,MIN((AZ80-BA80)*(Inputs!$C$65/12)/(1-(1+Inputs!$C$65/12)^(-AY80))-BB80,AZ80-BA80)))</f>
        <v>0</v>
      </c>
      <c r="BD80" s="0" t="n">
        <f aca="false">(AZ80-BA80-BC80)*Inputs!$B$10</f>
        <v>0</v>
      </c>
      <c r="BE80" s="0" t="n">
        <f aca="false">AZ80-BA80-BC80-BD80</f>
        <v>0</v>
      </c>
      <c r="BF80" s="0" t="n">
        <f aca="false">Inputs!$D$66-(A80-1)</f>
        <v>10</v>
      </c>
      <c r="BG80" s="0" t="n">
        <f aca="false">IF(BF80&lt;=0,0,IF(A80=1,Inputs!$B$66,BL79))</f>
        <v>2514993.05135997</v>
      </c>
      <c r="BH80" s="0" t="n">
        <f aca="false">BG80*Inputs!$B$9</f>
        <v>6375.62964865899</v>
      </c>
      <c r="BI80" s="0" t="n">
        <f aca="false">(BG80-BH80)*Inputs!$C$66/12</f>
        <v>22054.9281658786</v>
      </c>
      <c r="BJ80" s="0" t="n">
        <f aca="false">IF(BF80&lt;=0,0,IF(BF80=1,BG80-BH80,MIN((BG80-BH80)*(Inputs!$C$66/12)/(1-(1+Inputs!$C$66/12)^(-BF80))-BI80,BG80-BH80)))</f>
        <v>241096.272014904</v>
      </c>
      <c r="BK80" s="0" t="n">
        <f aca="false">(BG80-BH80-BJ80)*Inputs!$B$10</f>
        <v>19821.7877221926</v>
      </c>
      <c r="BL80" s="0" t="n">
        <f aca="false">BG80-BH80-BJ80-BK80</f>
        <v>2247699.36197421</v>
      </c>
      <c r="BM80" s="0" t="n">
        <f aca="false">Inputs!$D$67-(A80-1)</f>
        <v>10</v>
      </c>
      <c r="BN80" s="0" t="n">
        <f aca="false">IF(BM80&lt;=0,0,IF(A80=1,Inputs!$B$67,BS79))</f>
        <v>3338902.55958066</v>
      </c>
      <c r="BO80" s="0" t="n">
        <f aca="false">BN80*Inputs!$B$9</f>
        <v>8464.28030540072</v>
      </c>
      <c r="BP80" s="0" t="n">
        <f aca="false">(BN80-BO80)*Inputs!$C$67/12</f>
        <v>30667.7858216597</v>
      </c>
      <c r="BQ80" s="0" t="n">
        <f aca="false">IF(BM80&lt;=0,0,IF(BM80=1,BN80-BO80,MIN((BN80-BO80)*(Inputs!$C$67/12)/(1-(1+Inputs!$C$67/12)^(-BM80))-BP80,BN80-BO80)))</f>
        <v>319475.204713962</v>
      </c>
      <c r="BR80" s="0" t="n">
        <f aca="false">(BN80-BO80-BQ80)*Inputs!$B$10</f>
        <v>26320.6677967724</v>
      </c>
      <c r="BS80" s="0" t="n">
        <f aca="false">BN80-BO80-BQ80-BR80</f>
        <v>2984642.40676452</v>
      </c>
      <c r="BT80" s="0" t="n">
        <f aca="false">C80+J80+Q80+X80+AE80+AL80+AS80+AZ80+BG80+BN80</f>
        <v>5853895.61094063</v>
      </c>
      <c r="BU80" s="0" t="n">
        <f aca="false">D80+K80+R80+Y80+AF80+AM80+AT80+BA80+BH80+BO80</f>
        <v>14839.9099540597</v>
      </c>
      <c r="BV80" s="0" t="n">
        <f aca="false">E80+L80+S80+Z80+AG80+AN80+AU80+BB80+BI80+BP80</f>
        <v>52722.7139875383</v>
      </c>
      <c r="BW80" s="0" t="n">
        <f aca="false">F80+M80+T80+AA80+AH80+AO80+AV80+BC80+BJ80+BQ80</f>
        <v>560571.476728866</v>
      </c>
      <c r="BX80" s="0" t="n">
        <f aca="false">G80+N80+U80+AB80+AI80+AP80+AW80+BD80+BK80+BR80</f>
        <v>46142.455518965</v>
      </c>
      <c r="BY80" s="0" t="n">
        <f aca="false">H80+O80+V80+AC80+AJ80+AQ80+AX80+BE80+BL80+BS80</f>
        <v>5232341.76873874</v>
      </c>
      <c r="BZ80" s="0" t="n">
        <f aca="false">IF(A80&gt;Inputs!$B$7,(1-Inputs!$B$6)*INDEX($BU$6:$BU$125,A80-Inputs!$B$7),0)</f>
        <v>18515.9209405997</v>
      </c>
      <c r="CA80" s="0" t="n">
        <f aca="false">CA79+(1-Inputs!$B$6)*BU80-BZ80</f>
        <v>73490.8212803332</v>
      </c>
      <c r="CB80" s="0" t="n">
        <f aca="false">BY80+CA80</f>
        <v>5305832.59001907</v>
      </c>
      <c r="CC80" s="0" t="n">
        <f aca="false">BV80+BW80+BX80+BZ80</f>
        <v>677952.567175969</v>
      </c>
      <c r="CD80" s="0" t="n">
        <f aca="false">CD79+BU80-BZ80</f>
        <v>10961334.0051834</v>
      </c>
    </row>
    <row r="81" customFormat="false" ht="15" hidden="false" customHeight="false" outlineLevel="0" collapsed="false">
      <c r="A81" s="0" t="n">
        <f aca="false">ROW()-5</f>
        <v>76</v>
      </c>
      <c r="B81" s="0" t="n">
        <f aca="false">Inputs!$D$58-(A81-1)</f>
        <v>-39</v>
      </c>
      <c r="C81" s="0" t="n">
        <f aca="false">IF(B81&lt;=0,0,IF(A81=1,Inputs!$B$58,H80))</f>
        <v>0</v>
      </c>
      <c r="D81" s="0" t="n">
        <f aca="false">C81*Inputs!$B$9</f>
        <v>0</v>
      </c>
      <c r="E81" s="0" t="n">
        <f aca="false">(C81-D81)*Inputs!$C$58/12</f>
        <v>0</v>
      </c>
      <c r="F81" s="0" t="n">
        <f aca="false">IF(B81&lt;=0,0,IF(B81=1,C81-D81,MIN((C81-D81)*(Inputs!$C$58/12)/(1-(1+Inputs!$C$58/12)^(-B81))-E81,C81-D81)))</f>
        <v>0</v>
      </c>
      <c r="G81" s="0" t="n">
        <f aca="false">(C81-D81-F81)*Inputs!$B$10</f>
        <v>0</v>
      </c>
      <c r="H81" s="0" t="n">
        <f aca="false">C81-D81-F81-G81</f>
        <v>0</v>
      </c>
      <c r="I81" s="0" t="n">
        <f aca="false">Inputs!$D$59-(A81-1)</f>
        <v>-27</v>
      </c>
      <c r="J81" s="0" t="n">
        <f aca="false">IF(I81&lt;=0,0,IF(A81=1,Inputs!$B$59,O80))</f>
        <v>0</v>
      </c>
      <c r="K81" s="0" t="n">
        <f aca="false">J81*Inputs!$B$9</f>
        <v>0</v>
      </c>
      <c r="L81" s="0" t="n">
        <f aca="false">(J81-K81)*Inputs!$C$59/12</f>
        <v>0</v>
      </c>
      <c r="M81" s="0" t="n">
        <f aca="false">IF(I81&lt;=0,0,IF(I81=1,J81-K81,MIN((J81-K81)*(Inputs!$C$59/12)/(1-(1+Inputs!$C$59/12)^(-I81))-L81,J81-K81)))</f>
        <v>0</v>
      </c>
      <c r="N81" s="0" t="n">
        <f aca="false">(J81-K81-M81)*Inputs!$B$10</f>
        <v>0</v>
      </c>
      <c r="O81" s="0" t="n">
        <f aca="false">J81-K81-M81-N81</f>
        <v>0</v>
      </c>
      <c r="P81" s="0" t="n">
        <f aca="false">Inputs!$D$60-(A81-1)</f>
        <v>-27</v>
      </c>
      <c r="Q81" s="0" t="n">
        <f aca="false">IF(P81&lt;=0,0,IF(A81=1,Inputs!$B$60,V80))</f>
        <v>0</v>
      </c>
      <c r="R81" s="0" t="n">
        <f aca="false">Q81*Inputs!$B$9</f>
        <v>0</v>
      </c>
      <c r="S81" s="0" t="n">
        <f aca="false">(Q81-R81)*Inputs!$C$60/12</f>
        <v>0</v>
      </c>
      <c r="T81" s="0" t="n">
        <f aca="false">IF(P81&lt;=0,0,IF(P81=1,Q81-R81,MIN((Q81-R81)*(Inputs!$C$60/12)/(1-(1+Inputs!$C$60/12)^(-P81))-S81,Q81-R81)))</f>
        <v>0</v>
      </c>
      <c r="U81" s="0" t="n">
        <f aca="false">(Q81-R81-T81)*Inputs!$B$10</f>
        <v>0</v>
      </c>
      <c r="V81" s="0" t="n">
        <f aca="false">Q81-R81-T81-U81</f>
        <v>0</v>
      </c>
      <c r="W81" s="0" t="n">
        <f aca="false">Inputs!$D$61-(A81-1)</f>
        <v>-15</v>
      </c>
      <c r="X81" s="0" t="n">
        <f aca="false">IF(W81&lt;=0,0,IF(A81=1,Inputs!$B$61,AC80))</f>
        <v>0</v>
      </c>
      <c r="Y81" s="0" t="n">
        <f aca="false">X81*Inputs!$B$9</f>
        <v>0</v>
      </c>
      <c r="Z81" s="0" t="n">
        <f aca="false">(X81-Y81)*Inputs!$C$61/12</f>
        <v>0</v>
      </c>
      <c r="AA81" s="0" t="n">
        <f aca="false">IF(W81&lt;=0,0,IF(W81=1,X81-Y81,MIN((X81-Y81)*(Inputs!$C$61/12)/(1-(1+Inputs!$C$61/12)^(-W81))-Z81,X81-Y81)))</f>
        <v>0</v>
      </c>
      <c r="AB81" s="0" t="n">
        <f aca="false">(X81-Y81-AA81)*Inputs!$B$10</f>
        <v>0</v>
      </c>
      <c r="AC81" s="0" t="n">
        <f aca="false">X81-Y81-AA81-AB81</f>
        <v>0</v>
      </c>
      <c r="AD81" s="0" t="n">
        <f aca="false">Inputs!$D$62-(A81-1)</f>
        <v>-15</v>
      </c>
      <c r="AE81" s="0" t="n">
        <f aca="false">IF(AD81&lt;=0,0,IF(A81=1,Inputs!$B$62,AJ80))</f>
        <v>0</v>
      </c>
      <c r="AF81" s="0" t="n">
        <f aca="false">AE81*Inputs!$B$9</f>
        <v>0</v>
      </c>
      <c r="AG81" s="0" t="n">
        <f aca="false">(AE81-AF81)*Inputs!$C$62/12</f>
        <v>0</v>
      </c>
      <c r="AH81" s="0" t="n">
        <f aca="false">IF(AD81&lt;=0,0,IF(AD81=1,AE81-AF81,MIN((AE81-AF81)*(Inputs!$C$62/12)/(1-(1+Inputs!$C$62/12)^(-AD81))-AG81,AE81-AF81)))</f>
        <v>0</v>
      </c>
      <c r="AI81" s="0" t="n">
        <f aca="false">(AE81-AF81-AH81)*Inputs!$B$10</f>
        <v>0</v>
      </c>
      <c r="AJ81" s="0" t="n">
        <f aca="false">AE81-AF81-AH81-AI81</f>
        <v>0</v>
      </c>
      <c r="AK81" s="0" t="n">
        <f aca="false">Inputs!$D$63-(A81-1)</f>
        <v>-15</v>
      </c>
      <c r="AL81" s="0" t="n">
        <f aca="false">IF(AK81&lt;=0,0,IF(A81=1,Inputs!$B$63,AQ80))</f>
        <v>0</v>
      </c>
      <c r="AM81" s="0" t="n">
        <f aca="false">AL81*Inputs!$B$9</f>
        <v>0</v>
      </c>
      <c r="AN81" s="0" t="n">
        <f aca="false">(AL81-AM81)*Inputs!$C$63/12</f>
        <v>0</v>
      </c>
      <c r="AO81" s="0" t="n">
        <f aca="false">IF(AK81&lt;=0,0,IF(AK81=1,AL81-AM81,MIN((AL81-AM81)*(Inputs!$C$63/12)/(1-(1+Inputs!$C$63/12)^(-AK81))-AN81,AL81-AM81)))</f>
        <v>0</v>
      </c>
      <c r="AP81" s="0" t="n">
        <f aca="false">(AL81-AM81-AO81)*Inputs!$B$10</f>
        <v>0</v>
      </c>
      <c r="AQ81" s="0" t="n">
        <f aca="false">AL81-AM81-AO81-AP81</f>
        <v>0</v>
      </c>
      <c r="AR81" s="0" t="n">
        <f aca="false">Inputs!$D$64-(A81-1)</f>
        <v>-3</v>
      </c>
      <c r="AS81" s="0" t="n">
        <f aca="false">IF(AR81&lt;=0,0,IF(A81=1,Inputs!$B$64,AX80))</f>
        <v>0</v>
      </c>
      <c r="AT81" s="0" t="n">
        <f aca="false">AS81*Inputs!$B$9</f>
        <v>0</v>
      </c>
      <c r="AU81" s="0" t="n">
        <f aca="false">(AS81-AT81)*Inputs!$C$64/12</f>
        <v>0</v>
      </c>
      <c r="AV81" s="0" t="n">
        <f aca="false">IF(AR81&lt;=0,0,IF(AR81=1,AS81-AT81,MIN((AS81-AT81)*(Inputs!$C$64/12)/(1-(1+Inputs!$C$64/12)^(-AR81))-AU81,AS81-AT81)))</f>
        <v>0</v>
      </c>
      <c r="AW81" s="0" t="n">
        <f aca="false">(AS81-AT81-AV81)*Inputs!$B$10</f>
        <v>0</v>
      </c>
      <c r="AX81" s="0" t="n">
        <f aca="false">AS81-AT81-AV81-AW81</f>
        <v>0</v>
      </c>
      <c r="AY81" s="0" t="n">
        <f aca="false">Inputs!$D$65-(A81-1)</f>
        <v>-3</v>
      </c>
      <c r="AZ81" s="0" t="n">
        <f aca="false">IF(AY81&lt;=0,0,IF(A81=1,Inputs!$B$65,BE80))</f>
        <v>0</v>
      </c>
      <c r="BA81" s="0" t="n">
        <f aca="false">AZ81*Inputs!$B$9</f>
        <v>0</v>
      </c>
      <c r="BB81" s="0" t="n">
        <f aca="false">(AZ81-BA81)*Inputs!$C$65/12</f>
        <v>0</v>
      </c>
      <c r="BC81" s="0" t="n">
        <f aca="false">IF(AY81&lt;=0,0,IF(AY81=1,AZ81-BA81,MIN((AZ81-BA81)*(Inputs!$C$65/12)/(1-(1+Inputs!$C$65/12)^(-AY81))-BB81,AZ81-BA81)))</f>
        <v>0</v>
      </c>
      <c r="BD81" s="0" t="n">
        <f aca="false">(AZ81-BA81-BC81)*Inputs!$B$10</f>
        <v>0</v>
      </c>
      <c r="BE81" s="0" t="n">
        <f aca="false">AZ81-BA81-BC81-BD81</f>
        <v>0</v>
      </c>
      <c r="BF81" s="0" t="n">
        <f aca="false">Inputs!$D$66-(A81-1)</f>
        <v>9</v>
      </c>
      <c r="BG81" s="0" t="n">
        <f aca="false">IF(BF81&lt;=0,0,IF(A81=1,Inputs!$B$66,BL80))</f>
        <v>2247699.36197421</v>
      </c>
      <c r="BH81" s="0" t="n">
        <f aca="false">BG81*Inputs!$B$9</f>
        <v>5698.02715189434</v>
      </c>
      <c r="BI81" s="0" t="n">
        <f aca="false">(BG81-BH81)*Inputs!$C$66/12</f>
        <v>19710.9284019796</v>
      </c>
      <c r="BJ81" s="0" t="n">
        <f aca="false">IF(BF81&lt;=0,0,IF(BF81=1,BG81-BH81,MIN((BG81-BH81)*(Inputs!$C$66/12)/(1-(1+Inputs!$C$66/12)^(-BF81))-BI81,BG81-BH81)))</f>
        <v>240478.636817468</v>
      </c>
      <c r="BK81" s="0" t="n">
        <f aca="false">(BG81-BH81-BJ81)*Inputs!$B$10</f>
        <v>17496.5327429533</v>
      </c>
      <c r="BL81" s="0" t="n">
        <f aca="false">BG81-BH81-BJ81-BK81</f>
        <v>1984026.1652619</v>
      </c>
      <c r="BM81" s="0" t="n">
        <f aca="false">Inputs!$D$67-(A81-1)</f>
        <v>9</v>
      </c>
      <c r="BN81" s="0" t="n">
        <f aca="false">IF(BM81&lt;=0,0,IF(A81=1,Inputs!$B$67,BS80))</f>
        <v>2984642.40676452</v>
      </c>
      <c r="BO81" s="0" t="n">
        <f aca="false">BN81*Inputs!$B$9</f>
        <v>7566.2135960666</v>
      </c>
      <c r="BP81" s="0" t="n">
        <f aca="false">(BN81-BO81)*Inputs!$C$67/12</f>
        <v>27413.9099454262</v>
      </c>
      <c r="BQ81" s="0" t="n">
        <f aca="false">IF(BM81&lt;=0,0,IF(BM81=1,BN81-BO81,MIN((BN81-BO81)*(Inputs!$C$67/12)/(1-(1+Inputs!$C$67/12)^(-BM81))-BP81,BN81-BO81)))</f>
        <v>318788.396597402</v>
      </c>
      <c r="BR81" s="0" t="n">
        <f aca="false">(BN81-BO81-BQ81)*Inputs!$B$10</f>
        <v>23237.7177232422</v>
      </c>
      <c r="BS81" s="0" t="n">
        <f aca="false">BN81-BO81-BQ81-BR81</f>
        <v>2635050.07884781</v>
      </c>
      <c r="BT81" s="0" t="n">
        <f aca="false">C81+J81+Q81+X81+AE81+AL81+AS81+AZ81+BG81+BN81</f>
        <v>5232341.76873874</v>
      </c>
      <c r="BU81" s="0" t="n">
        <f aca="false">D81+K81+R81+Y81+AF81+AM81+AT81+BA81+BH81+BO81</f>
        <v>13264.2407479609</v>
      </c>
      <c r="BV81" s="0" t="n">
        <f aca="false">E81+L81+S81+Z81+AG81+AN81+AU81+BB81+BI81+BP81</f>
        <v>47124.8383474058</v>
      </c>
      <c r="BW81" s="0" t="n">
        <f aca="false">F81+M81+T81+AA81+AH81+AO81+AV81+BC81+BJ81+BQ81</f>
        <v>559267.03341487</v>
      </c>
      <c r="BX81" s="0" t="n">
        <f aca="false">G81+N81+U81+AB81+AI81+AP81+AW81+BD81+BK81+BR81</f>
        <v>40734.2504661955</v>
      </c>
      <c r="BY81" s="0" t="n">
        <f aca="false">H81+O81+V81+AC81+AJ81+AQ81+AX81+BE81+BL81+BS81</f>
        <v>4619076.24410971</v>
      </c>
      <c r="BZ81" s="0" t="n">
        <f aca="false">IF(A81&gt;Inputs!$B$7,(1-Inputs!$B$6)*INDEX($BU$6:$BU$125,A81-Inputs!$B$7),0)</f>
        <v>16555.4703507243</v>
      </c>
      <c r="CA81" s="0" t="n">
        <f aca="false">CA80+(1-Inputs!$B$6)*BU81-BZ81</f>
        <v>64893.8953783854</v>
      </c>
      <c r="CB81" s="0" t="n">
        <f aca="false">BY81+CA81</f>
        <v>4683970.1394881</v>
      </c>
      <c r="CC81" s="0" t="n">
        <f aca="false">BV81+BW81+BX81+BZ81</f>
        <v>663681.592579196</v>
      </c>
      <c r="CD81" s="0" t="n">
        <f aca="false">CD80+BU81-BZ81</f>
        <v>10958042.7755806</v>
      </c>
    </row>
    <row r="82" customFormat="false" ht="15" hidden="false" customHeight="false" outlineLevel="0" collapsed="false">
      <c r="A82" s="0" t="n">
        <f aca="false">ROW()-5</f>
        <v>77</v>
      </c>
      <c r="B82" s="0" t="n">
        <f aca="false">Inputs!$D$58-(A82-1)</f>
        <v>-40</v>
      </c>
      <c r="C82" s="0" t="n">
        <f aca="false">IF(B82&lt;=0,0,IF(A82=1,Inputs!$B$58,H81))</f>
        <v>0</v>
      </c>
      <c r="D82" s="0" t="n">
        <f aca="false">C82*Inputs!$B$9</f>
        <v>0</v>
      </c>
      <c r="E82" s="0" t="n">
        <f aca="false">(C82-D82)*Inputs!$C$58/12</f>
        <v>0</v>
      </c>
      <c r="F82" s="0" t="n">
        <f aca="false">IF(B82&lt;=0,0,IF(B82=1,C82-D82,MIN((C82-D82)*(Inputs!$C$58/12)/(1-(1+Inputs!$C$58/12)^(-B82))-E82,C82-D82)))</f>
        <v>0</v>
      </c>
      <c r="G82" s="0" t="n">
        <f aca="false">(C82-D82-F82)*Inputs!$B$10</f>
        <v>0</v>
      </c>
      <c r="H82" s="0" t="n">
        <f aca="false">C82-D82-F82-G82</f>
        <v>0</v>
      </c>
      <c r="I82" s="0" t="n">
        <f aca="false">Inputs!$D$59-(A82-1)</f>
        <v>-28</v>
      </c>
      <c r="J82" s="0" t="n">
        <f aca="false">IF(I82&lt;=0,0,IF(A82=1,Inputs!$B$59,O81))</f>
        <v>0</v>
      </c>
      <c r="K82" s="0" t="n">
        <f aca="false">J82*Inputs!$B$9</f>
        <v>0</v>
      </c>
      <c r="L82" s="0" t="n">
        <f aca="false">(J82-K82)*Inputs!$C$59/12</f>
        <v>0</v>
      </c>
      <c r="M82" s="0" t="n">
        <f aca="false">IF(I82&lt;=0,0,IF(I82=1,J82-K82,MIN((J82-K82)*(Inputs!$C$59/12)/(1-(1+Inputs!$C$59/12)^(-I82))-L82,J82-K82)))</f>
        <v>0</v>
      </c>
      <c r="N82" s="0" t="n">
        <f aca="false">(J82-K82-M82)*Inputs!$B$10</f>
        <v>0</v>
      </c>
      <c r="O82" s="0" t="n">
        <f aca="false">J82-K82-M82-N82</f>
        <v>0</v>
      </c>
      <c r="P82" s="0" t="n">
        <f aca="false">Inputs!$D$60-(A82-1)</f>
        <v>-28</v>
      </c>
      <c r="Q82" s="0" t="n">
        <f aca="false">IF(P82&lt;=0,0,IF(A82=1,Inputs!$B$60,V81))</f>
        <v>0</v>
      </c>
      <c r="R82" s="0" t="n">
        <f aca="false">Q82*Inputs!$B$9</f>
        <v>0</v>
      </c>
      <c r="S82" s="0" t="n">
        <f aca="false">(Q82-R82)*Inputs!$C$60/12</f>
        <v>0</v>
      </c>
      <c r="T82" s="0" t="n">
        <f aca="false">IF(P82&lt;=0,0,IF(P82=1,Q82-R82,MIN((Q82-R82)*(Inputs!$C$60/12)/(1-(1+Inputs!$C$60/12)^(-P82))-S82,Q82-R82)))</f>
        <v>0</v>
      </c>
      <c r="U82" s="0" t="n">
        <f aca="false">(Q82-R82-T82)*Inputs!$B$10</f>
        <v>0</v>
      </c>
      <c r="V82" s="0" t="n">
        <f aca="false">Q82-R82-T82-U82</f>
        <v>0</v>
      </c>
      <c r="W82" s="0" t="n">
        <f aca="false">Inputs!$D$61-(A82-1)</f>
        <v>-16</v>
      </c>
      <c r="X82" s="0" t="n">
        <f aca="false">IF(W82&lt;=0,0,IF(A82=1,Inputs!$B$61,AC81))</f>
        <v>0</v>
      </c>
      <c r="Y82" s="0" t="n">
        <f aca="false">X82*Inputs!$B$9</f>
        <v>0</v>
      </c>
      <c r="Z82" s="0" t="n">
        <f aca="false">(X82-Y82)*Inputs!$C$61/12</f>
        <v>0</v>
      </c>
      <c r="AA82" s="0" t="n">
        <f aca="false">IF(W82&lt;=0,0,IF(W82=1,X82-Y82,MIN((X82-Y82)*(Inputs!$C$61/12)/(1-(1+Inputs!$C$61/12)^(-W82))-Z82,X82-Y82)))</f>
        <v>0</v>
      </c>
      <c r="AB82" s="0" t="n">
        <f aca="false">(X82-Y82-AA82)*Inputs!$B$10</f>
        <v>0</v>
      </c>
      <c r="AC82" s="0" t="n">
        <f aca="false">X82-Y82-AA82-AB82</f>
        <v>0</v>
      </c>
      <c r="AD82" s="0" t="n">
        <f aca="false">Inputs!$D$62-(A82-1)</f>
        <v>-16</v>
      </c>
      <c r="AE82" s="0" t="n">
        <f aca="false">IF(AD82&lt;=0,0,IF(A82=1,Inputs!$B$62,AJ81))</f>
        <v>0</v>
      </c>
      <c r="AF82" s="0" t="n">
        <f aca="false">AE82*Inputs!$B$9</f>
        <v>0</v>
      </c>
      <c r="AG82" s="0" t="n">
        <f aca="false">(AE82-AF82)*Inputs!$C$62/12</f>
        <v>0</v>
      </c>
      <c r="AH82" s="0" t="n">
        <f aca="false">IF(AD82&lt;=0,0,IF(AD82=1,AE82-AF82,MIN((AE82-AF82)*(Inputs!$C$62/12)/(1-(1+Inputs!$C$62/12)^(-AD82))-AG82,AE82-AF82)))</f>
        <v>0</v>
      </c>
      <c r="AI82" s="0" t="n">
        <f aca="false">(AE82-AF82-AH82)*Inputs!$B$10</f>
        <v>0</v>
      </c>
      <c r="AJ82" s="0" t="n">
        <f aca="false">AE82-AF82-AH82-AI82</f>
        <v>0</v>
      </c>
      <c r="AK82" s="0" t="n">
        <f aca="false">Inputs!$D$63-(A82-1)</f>
        <v>-16</v>
      </c>
      <c r="AL82" s="0" t="n">
        <f aca="false">IF(AK82&lt;=0,0,IF(A82=1,Inputs!$B$63,AQ81))</f>
        <v>0</v>
      </c>
      <c r="AM82" s="0" t="n">
        <f aca="false">AL82*Inputs!$B$9</f>
        <v>0</v>
      </c>
      <c r="AN82" s="0" t="n">
        <f aca="false">(AL82-AM82)*Inputs!$C$63/12</f>
        <v>0</v>
      </c>
      <c r="AO82" s="0" t="n">
        <f aca="false">IF(AK82&lt;=0,0,IF(AK82=1,AL82-AM82,MIN((AL82-AM82)*(Inputs!$C$63/12)/(1-(1+Inputs!$C$63/12)^(-AK82))-AN82,AL82-AM82)))</f>
        <v>0</v>
      </c>
      <c r="AP82" s="0" t="n">
        <f aca="false">(AL82-AM82-AO82)*Inputs!$B$10</f>
        <v>0</v>
      </c>
      <c r="AQ82" s="0" t="n">
        <f aca="false">AL82-AM82-AO82-AP82</f>
        <v>0</v>
      </c>
      <c r="AR82" s="0" t="n">
        <f aca="false">Inputs!$D$64-(A82-1)</f>
        <v>-4</v>
      </c>
      <c r="AS82" s="0" t="n">
        <f aca="false">IF(AR82&lt;=0,0,IF(A82=1,Inputs!$B$64,AX81))</f>
        <v>0</v>
      </c>
      <c r="AT82" s="0" t="n">
        <f aca="false">AS82*Inputs!$B$9</f>
        <v>0</v>
      </c>
      <c r="AU82" s="0" t="n">
        <f aca="false">(AS82-AT82)*Inputs!$C$64/12</f>
        <v>0</v>
      </c>
      <c r="AV82" s="0" t="n">
        <f aca="false">IF(AR82&lt;=0,0,IF(AR82=1,AS82-AT82,MIN((AS82-AT82)*(Inputs!$C$64/12)/(1-(1+Inputs!$C$64/12)^(-AR82))-AU82,AS82-AT82)))</f>
        <v>0</v>
      </c>
      <c r="AW82" s="0" t="n">
        <f aca="false">(AS82-AT82-AV82)*Inputs!$B$10</f>
        <v>0</v>
      </c>
      <c r="AX82" s="0" t="n">
        <f aca="false">AS82-AT82-AV82-AW82</f>
        <v>0</v>
      </c>
      <c r="AY82" s="0" t="n">
        <f aca="false">Inputs!$D$65-(A82-1)</f>
        <v>-4</v>
      </c>
      <c r="AZ82" s="0" t="n">
        <f aca="false">IF(AY82&lt;=0,0,IF(A82=1,Inputs!$B$65,BE81))</f>
        <v>0</v>
      </c>
      <c r="BA82" s="0" t="n">
        <f aca="false">AZ82*Inputs!$B$9</f>
        <v>0</v>
      </c>
      <c r="BB82" s="0" t="n">
        <f aca="false">(AZ82-BA82)*Inputs!$C$65/12</f>
        <v>0</v>
      </c>
      <c r="BC82" s="0" t="n">
        <f aca="false">IF(AY82&lt;=0,0,IF(AY82=1,AZ82-BA82,MIN((AZ82-BA82)*(Inputs!$C$65/12)/(1-(1+Inputs!$C$65/12)^(-AY82))-BB82,AZ82-BA82)))</f>
        <v>0</v>
      </c>
      <c r="BD82" s="0" t="n">
        <f aca="false">(AZ82-BA82-BC82)*Inputs!$B$10</f>
        <v>0</v>
      </c>
      <c r="BE82" s="0" t="n">
        <f aca="false">AZ82-BA82-BC82-BD82</f>
        <v>0</v>
      </c>
      <c r="BF82" s="0" t="n">
        <f aca="false">Inputs!$D$66-(A82-1)</f>
        <v>8</v>
      </c>
      <c r="BG82" s="0" t="n">
        <f aca="false">IF(BF82&lt;=0,0,IF(A82=1,Inputs!$B$66,BL81))</f>
        <v>1984026.1652619</v>
      </c>
      <c r="BH82" s="0" t="n">
        <f aca="false">BG82*Inputs!$B$9</f>
        <v>5029.60278006289</v>
      </c>
      <c r="BI82" s="0" t="n">
        <f aca="false">(BG82-BH82)*Inputs!$C$66/12</f>
        <v>17398.6781118195</v>
      </c>
      <c r="BJ82" s="0" t="n">
        <f aca="false">IF(BF82&lt;=0,0,IF(BF82=1,BG82-BH82,MIN((BG82-BH82)*(Inputs!$C$66/12)/(1-(1+Inputs!$C$66/12)^(-BF82))-BI82,BG82-BH82)))</f>
        <v>239862.583864478</v>
      </c>
      <c r="BK82" s="0" t="n">
        <f aca="false">(BG82-BH82-BJ82)*Inputs!$B$10</f>
        <v>15202.8326391668</v>
      </c>
      <c r="BL82" s="0" t="n">
        <f aca="false">BG82-BH82-BJ82-BK82</f>
        <v>1723931.14597819</v>
      </c>
      <c r="BM82" s="0" t="n">
        <f aca="false">Inputs!$D$67-(A82-1)</f>
        <v>8</v>
      </c>
      <c r="BN82" s="0" t="n">
        <f aca="false">IF(BM82&lt;=0,0,IF(A82=1,Inputs!$B$67,BS81))</f>
        <v>2635050.07884781</v>
      </c>
      <c r="BO82" s="0" t="n">
        <f aca="false">BN82*Inputs!$B$9</f>
        <v>6679.98004977341</v>
      </c>
      <c r="BP82" s="0" t="n">
        <f aca="false">(BN82-BO82)*Inputs!$C$67/12</f>
        <v>24202.9079930986</v>
      </c>
      <c r="BQ82" s="0" t="n">
        <f aca="false">IF(BM82&lt;=0,0,IF(BM82=1,BN82-BO82,MIN((BN82-BO82)*(Inputs!$C$67/12)/(1-(1+Inputs!$C$67/12)^(-BM82))-BP82,BN82-BO82)))</f>
        <v>318103.064981622</v>
      </c>
      <c r="BR82" s="0" t="n">
        <f aca="false">(BN82-BO82-BQ82)*Inputs!$B$10</f>
        <v>20195.4556110843</v>
      </c>
      <c r="BS82" s="0" t="n">
        <f aca="false">BN82-BO82-BQ82-BR82</f>
        <v>2290071.57820533</v>
      </c>
      <c r="BT82" s="0" t="n">
        <f aca="false">C82+J82+Q82+X82+AE82+AL82+AS82+AZ82+BG82+BN82</f>
        <v>4619076.24410971</v>
      </c>
      <c r="BU82" s="0" t="n">
        <f aca="false">D82+K82+R82+Y82+AF82+AM82+AT82+BA82+BH82+BO82</f>
        <v>11709.5828298363</v>
      </c>
      <c r="BV82" s="0" t="n">
        <f aca="false">E82+L82+S82+Z82+AG82+AN82+AU82+BB82+BI82+BP82</f>
        <v>41601.5861049181</v>
      </c>
      <c r="BW82" s="0" t="n">
        <f aca="false">F82+M82+T82+AA82+AH82+AO82+AV82+BC82+BJ82+BQ82</f>
        <v>557965.6488461</v>
      </c>
      <c r="BX82" s="0" t="n">
        <f aca="false">G82+N82+U82+AB82+AI82+AP82+AW82+BD82+BK82+BR82</f>
        <v>35398.2882502511</v>
      </c>
      <c r="BY82" s="0" t="n">
        <f aca="false">H82+O82+V82+AC82+AJ82+AQ82+AX82+BE82+BL82+BS82</f>
        <v>4014002.72418352</v>
      </c>
      <c r="BZ82" s="0" t="n">
        <f aca="false">IF(A82&gt;Inputs!$B$7,(1-Inputs!$B$6)*INDEX($BU$6:$BU$125,A82-Inputs!$B$7),0)</f>
        <v>14621.7355439824</v>
      </c>
      <c r="CA82" s="0" t="n">
        <f aca="false">CA81+(1-Inputs!$B$6)*BU82-BZ82</f>
        <v>57297.9095323048</v>
      </c>
      <c r="CB82" s="0" t="n">
        <f aca="false">BY82+CA82</f>
        <v>4071300.63371583</v>
      </c>
      <c r="CC82" s="0" t="n">
        <f aca="false">BV82+BW82+BX82+BZ82</f>
        <v>649587.258745252</v>
      </c>
      <c r="CD82" s="0" t="n">
        <f aca="false">CD81+BU82-BZ82</f>
        <v>10955130.6228665</v>
      </c>
    </row>
    <row r="83" customFormat="false" ht="15" hidden="false" customHeight="false" outlineLevel="0" collapsed="false">
      <c r="A83" s="0" t="n">
        <f aca="false">ROW()-5</f>
        <v>78</v>
      </c>
      <c r="B83" s="0" t="n">
        <f aca="false">Inputs!$D$58-(A83-1)</f>
        <v>-41</v>
      </c>
      <c r="C83" s="0" t="n">
        <f aca="false">IF(B83&lt;=0,0,IF(A83=1,Inputs!$B$58,H82))</f>
        <v>0</v>
      </c>
      <c r="D83" s="0" t="n">
        <f aca="false">C83*Inputs!$B$9</f>
        <v>0</v>
      </c>
      <c r="E83" s="0" t="n">
        <f aca="false">(C83-D83)*Inputs!$C$58/12</f>
        <v>0</v>
      </c>
      <c r="F83" s="0" t="n">
        <f aca="false">IF(B83&lt;=0,0,IF(B83=1,C83-D83,MIN((C83-D83)*(Inputs!$C$58/12)/(1-(1+Inputs!$C$58/12)^(-B83))-E83,C83-D83)))</f>
        <v>0</v>
      </c>
      <c r="G83" s="0" t="n">
        <f aca="false">(C83-D83-F83)*Inputs!$B$10</f>
        <v>0</v>
      </c>
      <c r="H83" s="0" t="n">
        <f aca="false">C83-D83-F83-G83</f>
        <v>0</v>
      </c>
      <c r="I83" s="0" t="n">
        <f aca="false">Inputs!$D$59-(A83-1)</f>
        <v>-29</v>
      </c>
      <c r="J83" s="0" t="n">
        <f aca="false">IF(I83&lt;=0,0,IF(A83=1,Inputs!$B$59,O82))</f>
        <v>0</v>
      </c>
      <c r="K83" s="0" t="n">
        <f aca="false">J83*Inputs!$B$9</f>
        <v>0</v>
      </c>
      <c r="L83" s="0" t="n">
        <f aca="false">(J83-K83)*Inputs!$C$59/12</f>
        <v>0</v>
      </c>
      <c r="M83" s="0" t="n">
        <f aca="false">IF(I83&lt;=0,0,IF(I83=1,J83-K83,MIN((J83-K83)*(Inputs!$C$59/12)/(1-(1+Inputs!$C$59/12)^(-I83))-L83,J83-K83)))</f>
        <v>0</v>
      </c>
      <c r="N83" s="0" t="n">
        <f aca="false">(J83-K83-M83)*Inputs!$B$10</f>
        <v>0</v>
      </c>
      <c r="O83" s="0" t="n">
        <f aca="false">J83-K83-M83-N83</f>
        <v>0</v>
      </c>
      <c r="P83" s="0" t="n">
        <f aca="false">Inputs!$D$60-(A83-1)</f>
        <v>-29</v>
      </c>
      <c r="Q83" s="0" t="n">
        <f aca="false">IF(P83&lt;=0,0,IF(A83=1,Inputs!$B$60,V82))</f>
        <v>0</v>
      </c>
      <c r="R83" s="0" t="n">
        <f aca="false">Q83*Inputs!$B$9</f>
        <v>0</v>
      </c>
      <c r="S83" s="0" t="n">
        <f aca="false">(Q83-R83)*Inputs!$C$60/12</f>
        <v>0</v>
      </c>
      <c r="T83" s="0" t="n">
        <f aca="false">IF(P83&lt;=0,0,IF(P83=1,Q83-R83,MIN((Q83-R83)*(Inputs!$C$60/12)/(1-(1+Inputs!$C$60/12)^(-P83))-S83,Q83-R83)))</f>
        <v>0</v>
      </c>
      <c r="U83" s="0" t="n">
        <f aca="false">(Q83-R83-T83)*Inputs!$B$10</f>
        <v>0</v>
      </c>
      <c r="V83" s="0" t="n">
        <f aca="false">Q83-R83-T83-U83</f>
        <v>0</v>
      </c>
      <c r="W83" s="0" t="n">
        <f aca="false">Inputs!$D$61-(A83-1)</f>
        <v>-17</v>
      </c>
      <c r="X83" s="0" t="n">
        <f aca="false">IF(W83&lt;=0,0,IF(A83=1,Inputs!$B$61,AC82))</f>
        <v>0</v>
      </c>
      <c r="Y83" s="0" t="n">
        <f aca="false">X83*Inputs!$B$9</f>
        <v>0</v>
      </c>
      <c r="Z83" s="0" t="n">
        <f aca="false">(X83-Y83)*Inputs!$C$61/12</f>
        <v>0</v>
      </c>
      <c r="AA83" s="0" t="n">
        <f aca="false">IF(W83&lt;=0,0,IF(W83=1,X83-Y83,MIN((X83-Y83)*(Inputs!$C$61/12)/(1-(1+Inputs!$C$61/12)^(-W83))-Z83,X83-Y83)))</f>
        <v>0</v>
      </c>
      <c r="AB83" s="0" t="n">
        <f aca="false">(X83-Y83-AA83)*Inputs!$B$10</f>
        <v>0</v>
      </c>
      <c r="AC83" s="0" t="n">
        <f aca="false">X83-Y83-AA83-AB83</f>
        <v>0</v>
      </c>
      <c r="AD83" s="0" t="n">
        <f aca="false">Inputs!$D$62-(A83-1)</f>
        <v>-17</v>
      </c>
      <c r="AE83" s="0" t="n">
        <f aca="false">IF(AD83&lt;=0,0,IF(A83=1,Inputs!$B$62,AJ82))</f>
        <v>0</v>
      </c>
      <c r="AF83" s="0" t="n">
        <f aca="false">AE83*Inputs!$B$9</f>
        <v>0</v>
      </c>
      <c r="AG83" s="0" t="n">
        <f aca="false">(AE83-AF83)*Inputs!$C$62/12</f>
        <v>0</v>
      </c>
      <c r="AH83" s="0" t="n">
        <f aca="false">IF(AD83&lt;=0,0,IF(AD83=1,AE83-AF83,MIN((AE83-AF83)*(Inputs!$C$62/12)/(1-(1+Inputs!$C$62/12)^(-AD83))-AG83,AE83-AF83)))</f>
        <v>0</v>
      </c>
      <c r="AI83" s="0" t="n">
        <f aca="false">(AE83-AF83-AH83)*Inputs!$B$10</f>
        <v>0</v>
      </c>
      <c r="AJ83" s="0" t="n">
        <f aca="false">AE83-AF83-AH83-AI83</f>
        <v>0</v>
      </c>
      <c r="AK83" s="0" t="n">
        <f aca="false">Inputs!$D$63-(A83-1)</f>
        <v>-17</v>
      </c>
      <c r="AL83" s="0" t="n">
        <f aca="false">IF(AK83&lt;=0,0,IF(A83=1,Inputs!$B$63,AQ82))</f>
        <v>0</v>
      </c>
      <c r="AM83" s="0" t="n">
        <f aca="false">AL83*Inputs!$B$9</f>
        <v>0</v>
      </c>
      <c r="AN83" s="0" t="n">
        <f aca="false">(AL83-AM83)*Inputs!$C$63/12</f>
        <v>0</v>
      </c>
      <c r="AO83" s="0" t="n">
        <f aca="false">IF(AK83&lt;=0,0,IF(AK83=1,AL83-AM83,MIN((AL83-AM83)*(Inputs!$C$63/12)/(1-(1+Inputs!$C$63/12)^(-AK83))-AN83,AL83-AM83)))</f>
        <v>0</v>
      </c>
      <c r="AP83" s="0" t="n">
        <f aca="false">(AL83-AM83-AO83)*Inputs!$B$10</f>
        <v>0</v>
      </c>
      <c r="AQ83" s="0" t="n">
        <f aca="false">AL83-AM83-AO83-AP83</f>
        <v>0</v>
      </c>
      <c r="AR83" s="0" t="n">
        <f aca="false">Inputs!$D$64-(A83-1)</f>
        <v>-5</v>
      </c>
      <c r="AS83" s="0" t="n">
        <f aca="false">IF(AR83&lt;=0,0,IF(A83=1,Inputs!$B$64,AX82))</f>
        <v>0</v>
      </c>
      <c r="AT83" s="0" t="n">
        <f aca="false">AS83*Inputs!$B$9</f>
        <v>0</v>
      </c>
      <c r="AU83" s="0" t="n">
        <f aca="false">(AS83-AT83)*Inputs!$C$64/12</f>
        <v>0</v>
      </c>
      <c r="AV83" s="0" t="n">
        <f aca="false">IF(AR83&lt;=0,0,IF(AR83=1,AS83-AT83,MIN((AS83-AT83)*(Inputs!$C$64/12)/(1-(1+Inputs!$C$64/12)^(-AR83))-AU83,AS83-AT83)))</f>
        <v>0</v>
      </c>
      <c r="AW83" s="0" t="n">
        <f aca="false">(AS83-AT83-AV83)*Inputs!$B$10</f>
        <v>0</v>
      </c>
      <c r="AX83" s="0" t="n">
        <f aca="false">AS83-AT83-AV83-AW83</f>
        <v>0</v>
      </c>
      <c r="AY83" s="0" t="n">
        <f aca="false">Inputs!$D$65-(A83-1)</f>
        <v>-5</v>
      </c>
      <c r="AZ83" s="0" t="n">
        <f aca="false">IF(AY83&lt;=0,0,IF(A83=1,Inputs!$B$65,BE82))</f>
        <v>0</v>
      </c>
      <c r="BA83" s="0" t="n">
        <f aca="false">AZ83*Inputs!$B$9</f>
        <v>0</v>
      </c>
      <c r="BB83" s="0" t="n">
        <f aca="false">(AZ83-BA83)*Inputs!$C$65/12</f>
        <v>0</v>
      </c>
      <c r="BC83" s="0" t="n">
        <f aca="false">IF(AY83&lt;=0,0,IF(AY83=1,AZ83-BA83,MIN((AZ83-BA83)*(Inputs!$C$65/12)/(1-(1+Inputs!$C$65/12)^(-AY83))-BB83,AZ83-BA83)))</f>
        <v>0</v>
      </c>
      <c r="BD83" s="0" t="n">
        <f aca="false">(AZ83-BA83-BC83)*Inputs!$B$10</f>
        <v>0</v>
      </c>
      <c r="BE83" s="0" t="n">
        <f aca="false">AZ83-BA83-BC83-BD83</f>
        <v>0</v>
      </c>
      <c r="BF83" s="0" t="n">
        <f aca="false">Inputs!$D$66-(A83-1)</f>
        <v>7</v>
      </c>
      <c r="BG83" s="0" t="n">
        <f aca="false">IF(BF83&lt;=0,0,IF(A83=1,Inputs!$B$66,BL82))</f>
        <v>1723931.14597819</v>
      </c>
      <c r="BH83" s="0" t="n">
        <f aca="false">BG83*Inputs!$B$9</f>
        <v>4370.24926196191</v>
      </c>
      <c r="BI83" s="0" t="n">
        <f aca="false">(BG83-BH83)*Inputs!$C$66/12</f>
        <v>15117.8062169635</v>
      </c>
      <c r="BJ83" s="0" t="n">
        <f aca="false">IF(BF83&lt;=0,0,IF(BF83=1,BG83-BH83,MIN((BG83-BH83)*(Inputs!$C$66/12)/(1-(1+Inputs!$C$66/12)^(-BF83))-BI83,BG83-BH83)))</f>
        <v>239248.109102573</v>
      </c>
      <c r="BK83" s="0" t="n">
        <f aca="false">(BG83-BH83-BJ83)*Inputs!$B$10</f>
        <v>12940.3184805812</v>
      </c>
      <c r="BL83" s="0" t="n">
        <f aca="false">BG83-BH83-BJ83-BK83</f>
        <v>1467372.46913307</v>
      </c>
      <c r="BM83" s="0" t="n">
        <f aca="false">Inputs!$D$67-(A83-1)</f>
        <v>7</v>
      </c>
      <c r="BN83" s="0" t="n">
        <f aca="false">IF(BM83&lt;=0,0,IF(A83=1,Inputs!$B$67,BS82))</f>
        <v>2290071.57820533</v>
      </c>
      <c r="BO83" s="0" t="n">
        <f aca="false">BN83*Inputs!$B$9</f>
        <v>5805.44277991623</v>
      </c>
      <c r="BP83" s="0" t="n">
        <f aca="false">(BN83-BO83)*Inputs!$C$67/12</f>
        <v>21034.2839970424</v>
      </c>
      <c r="BQ83" s="0" t="n">
        <f aca="false">IF(BM83&lt;=0,0,IF(BM83=1,BN83-BO83,MIN((BN83-BO83)*(Inputs!$C$67/12)/(1-(1+Inputs!$C$67/12)^(-BM83))-BP83,BN83-BO83)))</f>
        <v>317419.20669244</v>
      </c>
      <c r="BR83" s="0" t="n">
        <f aca="false">(BN83-BO83-BQ83)*Inputs!$B$10</f>
        <v>17193.4106584238</v>
      </c>
      <c r="BS83" s="0" t="n">
        <f aca="false">BN83-BO83-BQ83-BR83</f>
        <v>1949653.51807455</v>
      </c>
      <c r="BT83" s="0" t="n">
        <f aca="false">C83+J83+Q83+X83+AE83+AL83+AS83+AZ83+BG83+BN83</f>
        <v>4014002.72418352</v>
      </c>
      <c r="BU83" s="0" t="n">
        <f aca="false">D83+K83+R83+Y83+AF83+AM83+AT83+BA83+BH83+BO83</f>
        <v>10175.6920418781</v>
      </c>
      <c r="BV83" s="0" t="n">
        <f aca="false">E83+L83+S83+Z83+AG83+AN83+AU83+BB83+BI83+BP83</f>
        <v>36152.0902140059</v>
      </c>
      <c r="BW83" s="0" t="n">
        <f aca="false">F83+M83+T83+AA83+AH83+AO83+AV83+BC83+BJ83+BQ83</f>
        <v>556667.315795012</v>
      </c>
      <c r="BX83" s="0" t="n">
        <f aca="false">G83+N83+U83+AB83+AI83+AP83+AW83+BD83+BK83+BR83</f>
        <v>30133.729139005</v>
      </c>
      <c r="BY83" s="0" t="n">
        <f aca="false">H83+O83+V83+AC83+AJ83+AQ83+AX83+BE83+BL83+BS83</f>
        <v>3417025.98720763</v>
      </c>
      <c r="BZ83" s="0" t="n">
        <f aca="false">IF(A83&gt;Inputs!$B$7,(1-Inputs!$B$6)*INDEX($BU$6:$BU$125,A83-Inputs!$B$7),0)</f>
        <v>12714.4032424162</v>
      </c>
      <c r="CA83" s="0" t="n">
        <f aca="false">CA82+(1-Inputs!$B$6)*BU83-BZ83</f>
        <v>50688.9215150155</v>
      </c>
      <c r="CB83" s="0" t="n">
        <f aca="false">BY83+CA83</f>
        <v>3467714.90872264</v>
      </c>
      <c r="CC83" s="0" t="n">
        <f aca="false">BV83+BW83+BX83+BZ83</f>
        <v>635667.538390439</v>
      </c>
      <c r="CD83" s="0" t="n">
        <f aca="false">CD82+BU83-BZ83</f>
        <v>10952591.9116659</v>
      </c>
    </row>
    <row r="84" customFormat="false" ht="15" hidden="false" customHeight="false" outlineLevel="0" collapsed="false">
      <c r="A84" s="0" t="n">
        <f aca="false">ROW()-5</f>
        <v>79</v>
      </c>
      <c r="B84" s="0" t="n">
        <f aca="false">Inputs!$D$58-(A84-1)</f>
        <v>-42</v>
      </c>
      <c r="C84" s="0" t="n">
        <f aca="false">IF(B84&lt;=0,0,IF(A84=1,Inputs!$B$58,H83))</f>
        <v>0</v>
      </c>
      <c r="D84" s="0" t="n">
        <f aca="false">C84*Inputs!$B$9</f>
        <v>0</v>
      </c>
      <c r="E84" s="0" t="n">
        <f aca="false">(C84-D84)*Inputs!$C$58/12</f>
        <v>0</v>
      </c>
      <c r="F84" s="0" t="n">
        <f aca="false">IF(B84&lt;=0,0,IF(B84=1,C84-D84,MIN((C84-D84)*(Inputs!$C$58/12)/(1-(1+Inputs!$C$58/12)^(-B84))-E84,C84-D84)))</f>
        <v>0</v>
      </c>
      <c r="G84" s="0" t="n">
        <f aca="false">(C84-D84-F84)*Inputs!$B$10</f>
        <v>0</v>
      </c>
      <c r="H84" s="0" t="n">
        <f aca="false">C84-D84-F84-G84</f>
        <v>0</v>
      </c>
      <c r="I84" s="0" t="n">
        <f aca="false">Inputs!$D$59-(A84-1)</f>
        <v>-30</v>
      </c>
      <c r="J84" s="0" t="n">
        <f aca="false">IF(I84&lt;=0,0,IF(A84=1,Inputs!$B$59,O83))</f>
        <v>0</v>
      </c>
      <c r="K84" s="0" t="n">
        <f aca="false">J84*Inputs!$B$9</f>
        <v>0</v>
      </c>
      <c r="L84" s="0" t="n">
        <f aca="false">(J84-K84)*Inputs!$C$59/12</f>
        <v>0</v>
      </c>
      <c r="M84" s="0" t="n">
        <f aca="false">IF(I84&lt;=0,0,IF(I84=1,J84-K84,MIN((J84-K84)*(Inputs!$C$59/12)/(1-(1+Inputs!$C$59/12)^(-I84))-L84,J84-K84)))</f>
        <v>0</v>
      </c>
      <c r="N84" s="0" t="n">
        <f aca="false">(J84-K84-M84)*Inputs!$B$10</f>
        <v>0</v>
      </c>
      <c r="O84" s="0" t="n">
        <f aca="false">J84-K84-M84-N84</f>
        <v>0</v>
      </c>
      <c r="P84" s="0" t="n">
        <f aca="false">Inputs!$D$60-(A84-1)</f>
        <v>-30</v>
      </c>
      <c r="Q84" s="0" t="n">
        <f aca="false">IF(P84&lt;=0,0,IF(A84=1,Inputs!$B$60,V83))</f>
        <v>0</v>
      </c>
      <c r="R84" s="0" t="n">
        <f aca="false">Q84*Inputs!$B$9</f>
        <v>0</v>
      </c>
      <c r="S84" s="0" t="n">
        <f aca="false">(Q84-R84)*Inputs!$C$60/12</f>
        <v>0</v>
      </c>
      <c r="T84" s="0" t="n">
        <f aca="false">IF(P84&lt;=0,0,IF(P84=1,Q84-R84,MIN((Q84-R84)*(Inputs!$C$60/12)/(1-(1+Inputs!$C$60/12)^(-P84))-S84,Q84-R84)))</f>
        <v>0</v>
      </c>
      <c r="U84" s="0" t="n">
        <f aca="false">(Q84-R84-T84)*Inputs!$B$10</f>
        <v>0</v>
      </c>
      <c r="V84" s="0" t="n">
        <f aca="false">Q84-R84-T84-U84</f>
        <v>0</v>
      </c>
      <c r="W84" s="0" t="n">
        <f aca="false">Inputs!$D$61-(A84-1)</f>
        <v>-18</v>
      </c>
      <c r="X84" s="0" t="n">
        <f aca="false">IF(W84&lt;=0,0,IF(A84=1,Inputs!$B$61,AC83))</f>
        <v>0</v>
      </c>
      <c r="Y84" s="0" t="n">
        <f aca="false">X84*Inputs!$B$9</f>
        <v>0</v>
      </c>
      <c r="Z84" s="0" t="n">
        <f aca="false">(X84-Y84)*Inputs!$C$61/12</f>
        <v>0</v>
      </c>
      <c r="AA84" s="0" t="n">
        <f aca="false">IF(W84&lt;=0,0,IF(W84=1,X84-Y84,MIN((X84-Y84)*(Inputs!$C$61/12)/(1-(1+Inputs!$C$61/12)^(-W84))-Z84,X84-Y84)))</f>
        <v>0</v>
      </c>
      <c r="AB84" s="0" t="n">
        <f aca="false">(X84-Y84-AA84)*Inputs!$B$10</f>
        <v>0</v>
      </c>
      <c r="AC84" s="0" t="n">
        <f aca="false">X84-Y84-AA84-AB84</f>
        <v>0</v>
      </c>
      <c r="AD84" s="0" t="n">
        <f aca="false">Inputs!$D$62-(A84-1)</f>
        <v>-18</v>
      </c>
      <c r="AE84" s="0" t="n">
        <f aca="false">IF(AD84&lt;=0,0,IF(A84=1,Inputs!$B$62,AJ83))</f>
        <v>0</v>
      </c>
      <c r="AF84" s="0" t="n">
        <f aca="false">AE84*Inputs!$B$9</f>
        <v>0</v>
      </c>
      <c r="AG84" s="0" t="n">
        <f aca="false">(AE84-AF84)*Inputs!$C$62/12</f>
        <v>0</v>
      </c>
      <c r="AH84" s="0" t="n">
        <f aca="false">IF(AD84&lt;=0,0,IF(AD84=1,AE84-AF84,MIN((AE84-AF84)*(Inputs!$C$62/12)/(1-(1+Inputs!$C$62/12)^(-AD84))-AG84,AE84-AF84)))</f>
        <v>0</v>
      </c>
      <c r="AI84" s="0" t="n">
        <f aca="false">(AE84-AF84-AH84)*Inputs!$B$10</f>
        <v>0</v>
      </c>
      <c r="AJ84" s="0" t="n">
        <f aca="false">AE84-AF84-AH84-AI84</f>
        <v>0</v>
      </c>
      <c r="AK84" s="0" t="n">
        <f aca="false">Inputs!$D$63-(A84-1)</f>
        <v>-18</v>
      </c>
      <c r="AL84" s="0" t="n">
        <f aca="false">IF(AK84&lt;=0,0,IF(A84=1,Inputs!$B$63,AQ83))</f>
        <v>0</v>
      </c>
      <c r="AM84" s="0" t="n">
        <f aca="false">AL84*Inputs!$B$9</f>
        <v>0</v>
      </c>
      <c r="AN84" s="0" t="n">
        <f aca="false">(AL84-AM84)*Inputs!$C$63/12</f>
        <v>0</v>
      </c>
      <c r="AO84" s="0" t="n">
        <f aca="false">IF(AK84&lt;=0,0,IF(AK84=1,AL84-AM84,MIN((AL84-AM84)*(Inputs!$C$63/12)/(1-(1+Inputs!$C$63/12)^(-AK84))-AN84,AL84-AM84)))</f>
        <v>0</v>
      </c>
      <c r="AP84" s="0" t="n">
        <f aca="false">(AL84-AM84-AO84)*Inputs!$B$10</f>
        <v>0</v>
      </c>
      <c r="AQ84" s="0" t="n">
        <f aca="false">AL84-AM84-AO84-AP84</f>
        <v>0</v>
      </c>
      <c r="AR84" s="0" t="n">
        <f aca="false">Inputs!$D$64-(A84-1)</f>
        <v>-6</v>
      </c>
      <c r="AS84" s="0" t="n">
        <f aca="false">IF(AR84&lt;=0,0,IF(A84=1,Inputs!$B$64,AX83))</f>
        <v>0</v>
      </c>
      <c r="AT84" s="0" t="n">
        <f aca="false">AS84*Inputs!$B$9</f>
        <v>0</v>
      </c>
      <c r="AU84" s="0" t="n">
        <f aca="false">(AS84-AT84)*Inputs!$C$64/12</f>
        <v>0</v>
      </c>
      <c r="AV84" s="0" t="n">
        <f aca="false">IF(AR84&lt;=0,0,IF(AR84=1,AS84-AT84,MIN((AS84-AT84)*(Inputs!$C$64/12)/(1-(1+Inputs!$C$64/12)^(-AR84))-AU84,AS84-AT84)))</f>
        <v>0</v>
      </c>
      <c r="AW84" s="0" t="n">
        <f aca="false">(AS84-AT84-AV84)*Inputs!$B$10</f>
        <v>0</v>
      </c>
      <c r="AX84" s="0" t="n">
        <f aca="false">AS84-AT84-AV84-AW84</f>
        <v>0</v>
      </c>
      <c r="AY84" s="0" t="n">
        <f aca="false">Inputs!$D$65-(A84-1)</f>
        <v>-6</v>
      </c>
      <c r="AZ84" s="0" t="n">
        <f aca="false">IF(AY84&lt;=0,0,IF(A84=1,Inputs!$B$65,BE83))</f>
        <v>0</v>
      </c>
      <c r="BA84" s="0" t="n">
        <f aca="false">AZ84*Inputs!$B$9</f>
        <v>0</v>
      </c>
      <c r="BB84" s="0" t="n">
        <f aca="false">(AZ84-BA84)*Inputs!$C$65/12</f>
        <v>0</v>
      </c>
      <c r="BC84" s="0" t="n">
        <f aca="false">IF(AY84&lt;=0,0,IF(AY84=1,AZ84-BA84,MIN((AZ84-BA84)*(Inputs!$C$65/12)/(1-(1+Inputs!$C$65/12)^(-AY84))-BB84,AZ84-BA84)))</f>
        <v>0</v>
      </c>
      <c r="BD84" s="0" t="n">
        <f aca="false">(AZ84-BA84-BC84)*Inputs!$B$10</f>
        <v>0</v>
      </c>
      <c r="BE84" s="0" t="n">
        <f aca="false">AZ84-BA84-BC84-BD84</f>
        <v>0</v>
      </c>
      <c r="BF84" s="0" t="n">
        <f aca="false">Inputs!$D$66-(A84-1)</f>
        <v>6</v>
      </c>
      <c r="BG84" s="0" t="n">
        <f aca="false">IF(BF84&lt;=0,0,IF(A84=1,Inputs!$B$66,BL83))</f>
        <v>1467372.46913307</v>
      </c>
      <c r="BH84" s="0" t="n">
        <f aca="false">BG84*Inputs!$B$9</f>
        <v>3719.86054385792</v>
      </c>
      <c r="BI84" s="0" t="n">
        <f aca="false">(BG84-BH84)*Inputs!$C$66/12</f>
        <v>12867.9458505135</v>
      </c>
      <c r="BJ84" s="0" t="n">
        <f aca="false">IF(BF84&lt;=0,0,IF(BF84=1,BG84-BH84,MIN((BG84-BH84)*(Inputs!$C$66/12)/(1-(1+Inputs!$C$66/12)^(-BF84))-BI84,BG84-BH84)))</f>
        <v>238635.208488778</v>
      </c>
      <c r="BK84" s="0" t="n">
        <f aca="false">(BG84-BH84-BJ84)*Inputs!$B$10</f>
        <v>10708.6255244121</v>
      </c>
      <c r="BL84" s="0" t="n">
        <f aca="false">BG84-BH84-BJ84-BK84</f>
        <v>1214308.77457603</v>
      </c>
      <c r="BM84" s="0" t="n">
        <f aca="false">Inputs!$D$67-(A84-1)</f>
        <v>6</v>
      </c>
      <c r="BN84" s="0" t="n">
        <f aca="false">IF(BM84&lt;=0,0,IF(A84=1,Inputs!$B$67,BS83))</f>
        <v>1949653.51807455</v>
      </c>
      <c r="BO84" s="0" t="n">
        <f aca="false">BN84*Inputs!$B$9</f>
        <v>4942.46644845672</v>
      </c>
      <c r="BP84" s="0" t="n">
        <f aca="false">(BN84-BO84)*Inputs!$C$67/12</f>
        <v>17907.5476003903</v>
      </c>
      <c r="BQ84" s="0" t="n">
        <f aca="false">IF(BM84&lt;=0,0,IF(BM84=1,BN84-BO84,MIN((BN84-BO84)*(Inputs!$C$67/12)/(1-(1+Inputs!$C$67/12)^(-BM84))-BP84,BN84-BO84)))</f>
        <v>316736.818562495</v>
      </c>
      <c r="BR84" s="0" t="n">
        <f aca="false">(BN84-BO84-BQ84)*Inputs!$B$10</f>
        <v>14231.1173897128</v>
      </c>
      <c r="BS84" s="0" t="n">
        <f aca="false">BN84-BO84-BQ84-BR84</f>
        <v>1613743.11567389</v>
      </c>
      <c r="BT84" s="0" t="n">
        <f aca="false">C84+J84+Q84+X84+AE84+AL84+AS84+AZ84+BG84+BN84</f>
        <v>3417025.98720763</v>
      </c>
      <c r="BU84" s="0" t="n">
        <f aca="false">D84+K84+R84+Y84+AF84+AM84+AT84+BA84+BH84+BO84</f>
        <v>8662.32699231464</v>
      </c>
      <c r="BV84" s="0" t="n">
        <f aca="false">E84+L84+S84+Z84+AG84+AN84+AU84+BB84+BI84+BP84</f>
        <v>30775.4934509038</v>
      </c>
      <c r="BW84" s="0" t="n">
        <f aca="false">F84+M84+T84+AA84+AH84+AO84+AV84+BC84+BJ84+BQ84</f>
        <v>555372.027051273</v>
      </c>
      <c r="BX84" s="0" t="n">
        <f aca="false">G84+N84+U84+AB84+AI84+AP84+AW84+BD84+BK84+BR84</f>
        <v>24939.7429141249</v>
      </c>
      <c r="BY84" s="0" t="n">
        <f aca="false">H84+O84+V84+AC84+AJ84+AQ84+AX84+BE84+BL84+BS84</f>
        <v>2828051.89024992</v>
      </c>
      <c r="BZ84" s="0" t="n">
        <f aca="false">IF(A84&gt;Inputs!$B$7,(1-Inputs!$B$6)*INDEX($BU$6:$BU$125,A84-Inputs!$B$7),0)</f>
        <v>10833.1637286718</v>
      </c>
      <c r="CA84" s="0" t="n">
        <f aca="false">CA83+(1-Inputs!$B$6)*BU84-BZ84</f>
        <v>45053.1539817325</v>
      </c>
      <c r="CB84" s="0" t="n">
        <f aca="false">BY84+CA84</f>
        <v>2873105.04423165</v>
      </c>
      <c r="CC84" s="0" t="n">
        <f aca="false">BV84+BW84+BX84+BZ84</f>
        <v>621920.427144973</v>
      </c>
      <c r="CD84" s="0" t="n">
        <f aca="false">CD83+BU84-BZ84</f>
        <v>10950421.0749296</v>
      </c>
    </row>
    <row r="85" customFormat="false" ht="15" hidden="false" customHeight="false" outlineLevel="0" collapsed="false">
      <c r="A85" s="0" t="n">
        <f aca="false">ROW()-5</f>
        <v>80</v>
      </c>
      <c r="B85" s="0" t="n">
        <f aca="false">Inputs!$D$58-(A85-1)</f>
        <v>-43</v>
      </c>
      <c r="C85" s="0" t="n">
        <f aca="false">IF(B85&lt;=0,0,IF(A85=1,Inputs!$B$58,H84))</f>
        <v>0</v>
      </c>
      <c r="D85" s="0" t="n">
        <f aca="false">C85*Inputs!$B$9</f>
        <v>0</v>
      </c>
      <c r="E85" s="0" t="n">
        <f aca="false">(C85-D85)*Inputs!$C$58/12</f>
        <v>0</v>
      </c>
      <c r="F85" s="0" t="n">
        <f aca="false">IF(B85&lt;=0,0,IF(B85=1,C85-D85,MIN((C85-D85)*(Inputs!$C$58/12)/(1-(1+Inputs!$C$58/12)^(-B85))-E85,C85-D85)))</f>
        <v>0</v>
      </c>
      <c r="G85" s="0" t="n">
        <f aca="false">(C85-D85-F85)*Inputs!$B$10</f>
        <v>0</v>
      </c>
      <c r="H85" s="0" t="n">
        <f aca="false">C85-D85-F85-G85</f>
        <v>0</v>
      </c>
      <c r="I85" s="0" t="n">
        <f aca="false">Inputs!$D$59-(A85-1)</f>
        <v>-31</v>
      </c>
      <c r="J85" s="0" t="n">
        <f aca="false">IF(I85&lt;=0,0,IF(A85=1,Inputs!$B$59,O84))</f>
        <v>0</v>
      </c>
      <c r="K85" s="0" t="n">
        <f aca="false">J85*Inputs!$B$9</f>
        <v>0</v>
      </c>
      <c r="L85" s="0" t="n">
        <f aca="false">(J85-K85)*Inputs!$C$59/12</f>
        <v>0</v>
      </c>
      <c r="M85" s="0" t="n">
        <f aca="false">IF(I85&lt;=0,0,IF(I85=1,J85-K85,MIN((J85-K85)*(Inputs!$C$59/12)/(1-(1+Inputs!$C$59/12)^(-I85))-L85,J85-K85)))</f>
        <v>0</v>
      </c>
      <c r="N85" s="0" t="n">
        <f aca="false">(J85-K85-M85)*Inputs!$B$10</f>
        <v>0</v>
      </c>
      <c r="O85" s="0" t="n">
        <f aca="false">J85-K85-M85-N85</f>
        <v>0</v>
      </c>
      <c r="P85" s="0" t="n">
        <f aca="false">Inputs!$D$60-(A85-1)</f>
        <v>-31</v>
      </c>
      <c r="Q85" s="0" t="n">
        <f aca="false">IF(P85&lt;=0,0,IF(A85=1,Inputs!$B$60,V84))</f>
        <v>0</v>
      </c>
      <c r="R85" s="0" t="n">
        <f aca="false">Q85*Inputs!$B$9</f>
        <v>0</v>
      </c>
      <c r="S85" s="0" t="n">
        <f aca="false">(Q85-R85)*Inputs!$C$60/12</f>
        <v>0</v>
      </c>
      <c r="T85" s="0" t="n">
        <f aca="false">IF(P85&lt;=0,0,IF(P85=1,Q85-R85,MIN((Q85-R85)*(Inputs!$C$60/12)/(1-(1+Inputs!$C$60/12)^(-P85))-S85,Q85-R85)))</f>
        <v>0</v>
      </c>
      <c r="U85" s="0" t="n">
        <f aca="false">(Q85-R85-T85)*Inputs!$B$10</f>
        <v>0</v>
      </c>
      <c r="V85" s="0" t="n">
        <f aca="false">Q85-R85-T85-U85</f>
        <v>0</v>
      </c>
      <c r="W85" s="0" t="n">
        <f aca="false">Inputs!$D$61-(A85-1)</f>
        <v>-19</v>
      </c>
      <c r="X85" s="0" t="n">
        <f aca="false">IF(W85&lt;=0,0,IF(A85=1,Inputs!$B$61,AC84))</f>
        <v>0</v>
      </c>
      <c r="Y85" s="0" t="n">
        <f aca="false">X85*Inputs!$B$9</f>
        <v>0</v>
      </c>
      <c r="Z85" s="0" t="n">
        <f aca="false">(X85-Y85)*Inputs!$C$61/12</f>
        <v>0</v>
      </c>
      <c r="AA85" s="0" t="n">
        <f aca="false">IF(W85&lt;=0,0,IF(W85=1,X85-Y85,MIN((X85-Y85)*(Inputs!$C$61/12)/(1-(1+Inputs!$C$61/12)^(-W85))-Z85,X85-Y85)))</f>
        <v>0</v>
      </c>
      <c r="AB85" s="0" t="n">
        <f aca="false">(X85-Y85-AA85)*Inputs!$B$10</f>
        <v>0</v>
      </c>
      <c r="AC85" s="0" t="n">
        <f aca="false">X85-Y85-AA85-AB85</f>
        <v>0</v>
      </c>
      <c r="AD85" s="0" t="n">
        <f aca="false">Inputs!$D$62-(A85-1)</f>
        <v>-19</v>
      </c>
      <c r="AE85" s="0" t="n">
        <f aca="false">IF(AD85&lt;=0,0,IF(A85=1,Inputs!$B$62,AJ84))</f>
        <v>0</v>
      </c>
      <c r="AF85" s="0" t="n">
        <f aca="false">AE85*Inputs!$B$9</f>
        <v>0</v>
      </c>
      <c r="AG85" s="0" t="n">
        <f aca="false">(AE85-AF85)*Inputs!$C$62/12</f>
        <v>0</v>
      </c>
      <c r="AH85" s="0" t="n">
        <f aca="false">IF(AD85&lt;=0,0,IF(AD85=1,AE85-AF85,MIN((AE85-AF85)*(Inputs!$C$62/12)/(1-(1+Inputs!$C$62/12)^(-AD85))-AG85,AE85-AF85)))</f>
        <v>0</v>
      </c>
      <c r="AI85" s="0" t="n">
        <f aca="false">(AE85-AF85-AH85)*Inputs!$B$10</f>
        <v>0</v>
      </c>
      <c r="AJ85" s="0" t="n">
        <f aca="false">AE85-AF85-AH85-AI85</f>
        <v>0</v>
      </c>
      <c r="AK85" s="0" t="n">
        <f aca="false">Inputs!$D$63-(A85-1)</f>
        <v>-19</v>
      </c>
      <c r="AL85" s="0" t="n">
        <f aca="false">IF(AK85&lt;=0,0,IF(A85=1,Inputs!$B$63,AQ84))</f>
        <v>0</v>
      </c>
      <c r="AM85" s="0" t="n">
        <f aca="false">AL85*Inputs!$B$9</f>
        <v>0</v>
      </c>
      <c r="AN85" s="0" t="n">
        <f aca="false">(AL85-AM85)*Inputs!$C$63/12</f>
        <v>0</v>
      </c>
      <c r="AO85" s="0" t="n">
        <f aca="false">IF(AK85&lt;=0,0,IF(AK85=1,AL85-AM85,MIN((AL85-AM85)*(Inputs!$C$63/12)/(1-(1+Inputs!$C$63/12)^(-AK85))-AN85,AL85-AM85)))</f>
        <v>0</v>
      </c>
      <c r="AP85" s="0" t="n">
        <f aca="false">(AL85-AM85-AO85)*Inputs!$B$10</f>
        <v>0</v>
      </c>
      <c r="AQ85" s="0" t="n">
        <f aca="false">AL85-AM85-AO85-AP85</f>
        <v>0</v>
      </c>
      <c r="AR85" s="0" t="n">
        <f aca="false">Inputs!$D$64-(A85-1)</f>
        <v>-7</v>
      </c>
      <c r="AS85" s="0" t="n">
        <f aca="false">IF(AR85&lt;=0,0,IF(A85=1,Inputs!$B$64,AX84))</f>
        <v>0</v>
      </c>
      <c r="AT85" s="0" t="n">
        <f aca="false">AS85*Inputs!$B$9</f>
        <v>0</v>
      </c>
      <c r="AU85" s="0" t="n">
        <f aca="false">(AS85-AT85)*Inputs!$C$64/12</f>
        <v>0</v>
      </c>
      <c r="AV85" s="0" t="n">
        <f aca="false">IF(AR85&lt;=0,0,IF(AR85=1,AS85-AT85,MIN((AS85-AT85)*(Inputs!$C$64/12)/(1-(1+Inputs!$C$64/12)^(-AR85))-AU85,AS85-AT85)))</f>
        <v>0</v>
      </c>
      <c r="AW85" s="0" t="n">
        <f aca="false">(AS85-AT85-AV85)*Inputs!$B$10</f>
        <v>0</v>
      </c>
      <c r="AX85" s="0" t="n">
        <f aca="false">AS85-AT85-AV85-AW85</f>
        <v>0</v>
      </c>
      <c r="AY85" s="0" t="n">
        <f aca="false">Inputs!$D$65-(A85-1)</f>
        <v>-7</v>
      </c>
      <c r="AZ85" s="0" t="n">
        <f aca="false">IF(AY85&lt;=0,0,IF(A85=1,Inputs!$B$65,BE84))</f>
        <v>0</v>
      </c>
      <c r="BA85" s="0" t="n">
        <f aca="false">AZ85*Inputs!$B$9</f>
        <v>0</v>
      </c>
      <c r="BB85" s="0" t="n">
        <f aca="false">(AZ85-BA85)*Inputs!$C$65/12</f>
        <v>0</v>
      </c>
      <c r="BC85" s="0" t="n">
        <f aca="false">IF(AY85&lt;=0,0,IF(AY85=1,AZ85-BA85,MIN((AZ85-BA85)*(Inputs!$C$65/12)/(1-(1+Inputs!$C$65/12)^(-AY85))-BB85,AZ85-BA85)))</f>
        <v>0</v>
      </c>
      <c r="BD85" s="0" t="n">
        <f aca="false">(AZ85-BA85-BC85)*Inputs!$B$10</f>
        <v>0</v>
      </c>
      <c r="BE85" s="0" t="n">
        <f aca="false">AZ85-BA85-BC85-BD85</f>
        <v>0</v>
      </c>
      <c r="BF85" s="0" t="n">
        <f aca="false">Inputs!$D$66-(A85-1)</f>
        <v>5</v>
      </c>
      <c r="BG85" s="0" t="n">
        <f aca="false">IF(BF85&lt;=0,0,IF(A85=1,Inputs!$B$66,BL84))</f>
        <v>1214308.77457603</v>
      </c>
      <c r="BH85" s="0" t="n">
        <f aca="false">BG85*Inputs!$B$9</f>
        <v>3078.33177575868</v>
      </c>
      <c r="BI85" s="0" t="n">
        <f aca="false">(BG85-BH85)*Inputs!$C$66/12</f>
        <v>10648.734309619</v>
      </c>
      <c r="BJ85" s="0" t="n">
        <f aca="false">IF(BF85&lt;=0,0,IF(BF85=1,BG85-BH85,MIN((BG85-BH85)*(Inputs!$C$66/12)/(1-(1+Inputs!$C$66/12)^(-BF85))-BI85,BG85-BH85)))</f>
        <v>238023.877990474</v>
      </c>
      <c r="BK85" s="0" t="n">
        <f aca="false">(BG85-BH85-BJ85)*Inputs!$B$10</f>
        <v>8507.39316812407</v>
      </c>
      <c r="BL85" s="0" t="n">
        <f aca="false">BG85-BH85-BJ85-BK85</f>
        <v>964699.171641671</v>
      </c>
      <c r="BM85" s="0" t="n">
        <f aca="false">Inputs!$D$67-(A85-1)</f>
        <v>5</v>
      </c>
      <c r="BN85" s="0" t="n">
        <f aca="false">IF(BM85&lt;=0,0,IF(A85=1,Inputs!$B$67,BS84))</f>
        <v>1613743.11567389</v>
      </c>
      <c r="BO85" s="0" t="n">
        <f aca="false">BN85*Inputs!$B$9</f>
        <v>4090.91724847759</v>
      </c>
      <c r="BP85" s="0" t="n">
        <f aca="false">(BN85-BO85)*Inputs!$C$67/12</f>
        <v>14822.213993834</v>
      </c>
      <c r="BQ85" s="0" t="n">
        <f aca="false">IF(BM85&lt;=0,0,IF(BM85=1,BN85-BO85,MIN((BN85-BO85)*(Inputs!$C$67/12)/(1-(1+Inputs!$C$67/12)^(-BM85))-BP85,BN85-BO85)))</f>
        <v>316055.897431239</v>
      </c>
      <c r="BR85" s="0" t="n">
        <f aca="false">(BN85-BO85-BQ85)*Inputs!$B$10</f>
        <v>11308.1155957258</v>
      </c>
      <c r="BS85" s="0" t="n">
        <f aca="false">BN85-BO85-BQ85-BR85</f>
        <v>1282288.18539845</v>
      </c>
      <c r="BT85" s="0" t="n">
        <f aca="false">C85+J85+Q85+X85+AE85+AL85+AS85+AZ85+BG85+BN85</f>
        <v>2828051.89024992</v>
      </c>
      <c r="BU85" s="0" t="n">
        <f aca="false">D85+K85+R85+Y85+AF85+AM85+AT85+BA85+BH85+BO85</f>
        <v>7169.24902423628</v>
      </c>
      <c r="BV85" s="0" t="n">
        <f aca="false">E85+L85+S85+Z85+AG85+AN85+AU85+BB85+BI85+BP85</f>
        <v>25470.948303453</v>
      </c>
      <c r="BW85" s="0" t="n">
        <f aca="false">F85+M85+T85+AA85+AH85+AO85+AV85+BC85+BJ85+BQ85</f>
        <v>554079.775421713</v>
      </c>
      <c r="BX85" s="0" t="n">
        <f aca="false">G85+N85+U85+AB85+AI85+AP85+AW85+BD85+BK85+BR85</f>
        <v>19815.5087638499</v>
      </c>
      <c r="BY85" s="0" t="n">
        <f aca="false">H85+O85+V85+AC85+AJ85+AQ85+AX85+BE85+BL85+BS85</f>
        <v>2246987.35704012</v>
      </c>
      <c r="BZ85" s="0" t="n">
        <f aca="false">IF(A85&gt;Inputs!$B$7,(1-Inputs!$B$6)*INDEX($BU$6:$BU$125,A85-Inputs!$B$7),0)</f>
        <v>9862.10244210278</v>
      </c>
      <c r="CA85" s="0" t="n">
        <f aca="false">CA84+(1-Inputs!$B$6)*BU85-BZ85</f>
        <v>39492.6009541715</v>
      </c>
      <c r="CB85" s="0" t="n">
        <f aca="false">BY85+CA85</f>
        <v>2286479.95799429</v>
      </c>
      <c r="CC85" s="0" t="n">
        <f aca="false">BV85+BW85+BX85+BZ85</f>
        <v>609228.334931119</v>
      </c>
      <c r="CD85" s="0" t="n">
        <f aca="false">CD84+BU85-BZ85</f>
        <v>10947728.2215117</v>
      </c>
    </row>
    <row r="86" customFormat="false" ht="15" hidden="false" customHeight="false" outlineLevel="0" collapsed="false">
      <c r="A86" s="0" t="n">
        <f aca="false">ROW()-5</f>
        <v>81</v>
      </c>
      <c r="B86" s="0" t="n">
        <f aca="false">Inputs!$D$58-(A86-1)</f>
        <v>-44</v>
      </c>
      <c r="C86" s="0" t="n">
        <f aca="false">IF(B86&lt;=0,0,IF(A86=1,Inputs!$B$58,H85))</f>
        <v>0</v>
      </c>
      <c r="D86" s="0" t="n">
        <f aca="false">C86*Inputs!$B$9</f>
        <v>0</v>
      </c>
      <c r="E86" s="0" t="n">
        <f aca="false">(C86-D86)*Inputs!$C$58/12</f>
        <v>0</v>
      </c>
      <c r="F86" s="0" t="n">
        <f aca="false">IF(B86&lt;=0,0,IF(B86=1,C86-D86,MIN((C86-D86)*(Inputs!$C$58/12)/(1-(1+Inputs!$C$58/12)^(-B86))-E86,C86-D86)))</f>
        <v>0</v>
      </c>
      <c r="G86" s="0" t="n">
        <f aca="false">(C86-D86-F86)*Inputs!$B$10</f>
        <v>0</v>
      </c>
      <c r="H86" s="0" t="n">
        <f aca="false">C86-D86-F86-G86</f>
        <v>0</v>
      </c>
      <c r="I86" s="0" t="n">
        <f aca="false">Inputs!$D$59-(A86-1)</f>
        <v>-32</v>
      </c>
      <c r="J86" s="0" t="n">
        <f aca="false">IF(I86&lt;=0,0,IF(A86=1,Inputs!$B$59,O85))</f>
        <v>0</v>
      </c>
      <c r="K86" s="0" t="n">
        <f aca="false">J86*Inputs!$B$9</f>
        <v>0</v>
      </c>
      <c r="L86" s="0" t="n">
        <f aca="false">(J86-K86)*Inputs!$C$59/12</f>
        <v>0</v>
      </c>
      <c r="M86" s="0" t="n">
        <f aca="false">IF(I86&lt;=0,0,IF(I86=1,J86-K86,MIN((J86-K86)*(Inputs!$C$59/12)/(1-(1+Inputs!$C$59/12)^(-I86))-L86,J86-K86)))</f>
        <v>0</v>
      </c>
      <c r="N86" s="0" t="n">
        <f aca="false">(J86-K86-M86)*Inputs!$B$10</f>
        <v>0</v>
      </c>
      <c r="O86" s="0" t="n">
        <f aca="false">J86-K86-M86-N86</f>
        <v>0</v>
      </c>
      <c r="P86" s="0" t="n">
        <f aca="false">Inputs!$D$60-(A86-1)</f>
        <v>-32</v>
      </c>
      <c r="Q86" s="0" t="n">
        <f aca="false">IF(P86&lt;=0,0,IF(A86=1,Inputs!$B$60,V85))</f>
        <v>0</v>
      </c>
      <c r="R86" s="0" t="n">
        <f aca="false">Q86*Inputs!$B$9</f>
        <v>0</v>
      </c>
      <c r="S86" s="0" t="n">
        <f aca="false">(Q86-R86)*Inputs!$C$60/12</f>
        <v>0</v>
      </c>
      <c r="T86" s="0" t="n">
        <f aca="false">IF(P86&lt;=0,0,IF(P86=1,Q86-R86,MIN((Q86-R86)*(Inputs!$C$60/12)/(1-(1+Inputs!$C$60/12)^(-P86))-S86,Q86-R86)))</f>
        <v>0</v>
      </c>
      <c r="U86" s="0" t="n">
        <f aca="false">(Q86-R86-T86)*Inputs!$B$10</f>
        <v>0</v>
      </c>
      <c r="V86" s="0" t="n">
        <f aca="false">Q86-R86-T86-U86</f>
        <v>0</v>
      </c>
      <c r="W86" s="0" t="n">
        <f aca="false">Inputs!$D$61-(A86-1)</f>
        <v>-20</v>
      </c>
      <c r="X86" s="0" t="n">
        <f aca="false">IF(W86&lt;=0,0,IF(A86=1,Inputs!$B$61,AC85))</f>
        <v>0</v>
      </c>
      <c r="Y86" s="0" t="n">
        <f aca="false">X86*Inputs!$B$9</f>
        <v>0</v>
      </c>
      <c r="Z86" s="0" t="n">
        <f aca="false">(X86-Y86)*Inputs!$C$61/12</f>
        <v>0</v>
      </c>
      <c r="AA86" s="0" t="n">
        <f aca="false">IF(W86&lt;=0,0,IF(W86=1,X86-Y86,MIN((X86-Y86)*(Inputs!$C$61/12)/(1-(1+Inputs!$C$61/12)^(-W86))-Z86,X86-Y86)))</f>
        <v>0</v>
      </c>
      <c r="AB86" s="0" t="n">
        <f aca="false">(X86-Y86-AA86)*Inputs!$B$10</f>
        <v>0</v>
      </c>
      <c r="AC86" s="0" t="n">
        <f aca="false">X86-Y86-AA86-AB86</f>
        <v>0</v>
      </c>
      <c r="AD86" s="0" t="n">
        <f aca="false">Inputs!$D$62-(A86-1)</f>
        <v>-20</v>
      </c>
      <c r="AE86" s="0" t="n">
        <f aca="false">IF(AD86&lt;=0,0,IF(A86=1,Inputs!$B$62,AJ85))</f>
        <v>0</v>
      </c>
      <c r="AF86" s="0" t="n">
        <f aca="false">AE86*Inputs!$B$9</f>
        <v>0</v>
      </c>
      <c r="AG86" s="0" t="n">
        <f aca="false">(AE86-AF86)*Inputs!$C$62/12</f>
        <v>0</v>
      </c>
      <c r="AH86" s="0" t="n">
        <f aca="false">IF(AD86&lt;=0,0,IF(AD86=1,AE86-AF86,MIN((AE86-AF86)*(Inputs!$C$62/12)/(1-(1+Inputs!$C$62/12)^(-AD86))-AG86,AE86-AF86)))</f>
        <v>0</v>
      </c>
      <c r="AI86" s="0" t="n">
        <f aca="false">(AE86-AF86-AH86)*Inputs!$B$10</f>
        <v>0</v>
      </c>
      <c r="AJ86" s="0" t="n">
        <f aca="false">AE86-AF86-AH86-AI86</f>
        <v>0</v>
      </c>
      <c r="AK86" s="0" t="n">
        <f aca="false">Inputs!$D$63-(A86-1)</f>
        <v>-20</v>
      </c>
      <c r="AL86" s="0" t="n">
        <f aca="false">IF(AK86&lt;=0,0,IF(A86=1,Inputs!$B$63,AQ85))</f>
        <v>0</v>
      </c>
      <c r="AM86" s="0" t="n">
        <f aca="false">AL86*Inputs!$B$9</f>
        <v>0</v>
      </c>
      <c r="AN86" s="0" t="n">
        <f aca="false">(AL86-AM86)*Inputs!$C$63/12</f>
        <v>0</v>
      </c>
      <c r="AO86" s="0" t="n">
        <f aca="false">IF(AK86&lt;=0,0,IF(AK86=1,AL86-AM86,MIN((AL86-AM86)*(Inputs!$C$63/12)/(1-(1+Inputs!$C$63/12)^(-AK86))-AN86,AL86-AM86)))</f>
        <v>0</v>
      </c>
      <c r="AP86" s="0" t="n">
        <f aca="false">(AL86-AM86-AO86)*Inputs!$B$10</f>
        <v>0</v>
      </c>
      <c r="AQ86" s="0" t="n">
        <f aca="false">AL86-AM86-AO86-AP86</f>
        <v>0</v>
      </c>
      <c r="AR86" s="0" t="n">
        <f aca="false">Inputs!$D$64-(A86-1)</f>
        <v>-8</v>
      </c>
      <c r="AS86" s="0" t="n">
        <f aca="false">IF(AR86&lt;=0,0,IF(A86=1,Inputs!$B$64,AX85))</f>
        <v>0</v>
      </c>
      <c r="AT86" s="0" t="n">
        <f aca="false">AS86*Inputs!$B$9</f>
        <v>0</v>
      </c>
      <c r="AU86" s="0" t="n">
        <f aca="false">(AS86-AT86)*Inputs!$C$64/12</f>
        <v>0</v>
      </c>
      <c r="AV86" s="0" t="n">
        <f aca="false">IF(AR86&lt;=0,0,IF(AR86=1,AS86-AT86,MIN((AS86-AT86)*(Inputs!$C$64/12)/(1-(1+Inputs!$C$64/12)^(-AR86))-AU86,AS86-AT86)))</f>
        <v>0</v>
      </c>
      <c r="AW86" s="0" t="n">
        <f aca="false">(AS86-AT86-AV86)*Inputs!$B$10</f>
        <v>0</v>
      </c>
      <c r="AX86" s="0" t="n">
        <f aca="false">AS86-AT86-AV86-AW86</f>
        <v>0</v>
      </c>
      <c r="AY86" s="0" t="n">
        <f aca="false">Inputs!$D$65-(A86-1)</f>
        <v>-8</v>
      </c>
      <c r="AZ86" s="0" t="n">
        <f aca="false">IF(AY86&lt;=0,0,IF(A86=1,Inputs!$B$65,BE85))</f>
        <v>0</v>
      </c>
      <c r="BA86" s="0" t="n">
        <f aca="false">AZ86*Inputs!$B$9</f>
        <v>0</v>
      </c>
      <c r="BB86" s="0" t="n">
        <f aca="false">(AZ86-BA86)*Inputs!$C$65/12</f>
        <v>0</v>
      </c>
      <c r="BC86" s="0" t="n">
        <f aca="false">IF(AY86&lt;=0,0,IF(AY86=1,AZ86-BA86,MIN((AZ86-BA86)*(Inputs!$C$65/12)/(1-(1+Inputs!$C$65/12)^(-AY86))-BB86,AZ86-BA86)))</f>
        <v>0</v>
      </c>
      <c r="BD86" s="0" t="n">
        <f aca="false">(AZ86-BA86-BC86)*Inputs!$B$10</f>
        <v>0</v>
      </c>
      <c r="BE86" s="0" t="n">
        <f aca="false">AZ86-BA86-BC86-BD86</f>
        <v>0</v>
      </c>
      <c r="BF86" s="0" t="n">
        <f aca="false">Inputs!$D$66-(A86-1)</f>
        <v>4</v>
      </c>
      <c r="BG86" s="0" t="n">
        <f aca="false">IF(BF86&lt;=0,0,IF(A86=1,Inputs!$B$66,BL85))</f>
        <v>964699.171641671</v>
      </c>
      <c r="BH86" s="0" t="n">
        <f aca="false">BG86*Inputs!$B$9</f>
        <v>2445.55929783962</v>
      </c>
      <c r="BI86" s="0" t="n">
        <f aca="false">(BG86-BH86)*Inputs!$C$66/12</f>
        <v>8459.81300852285</v>
      </c>
      <c r="BJ86" s="0" t="n">
        <f aca="false">IF(BF86&lt;=0,0,IF(BF86=1,BG86-BH86,MIN((BG86-BH86)*(Inputs!$C$66/12)/(1-(1+Inputs!$C$66/12)^(-BF86))-BI86,BG86-BH86)))</f>
        <v>237414.113585374</v>
      </c>
      <c r="BK86" s="0" t="n">
        <f aca="false">(BG86-BH86-BJ86)*Inputs!$B$10</f>
        <v>6336.26490274381</v>
      </c>
      <c r="BL86" s="0" t="n">
        <f aca="false">BG86-BH86-BJ86-BK86</f>
        <v>718503.233855713</v>
      </c>
      <c r="BM86" s="0" t="n">
        <f aca="false">Inputs!$D$67-(A86-1)</f>
        <v>4</v>
      </c>
      <c r="BN86" s="0" t="n">
        <f aca="false">IF(BM86&lt;=0,0,IF(A86=1,Inputs!$B$67,BS85))</f>
        <v>1282288.18539845</v>
      </c>
      <c r="BO86" s="0" t="n">
        <f aca="false">BN86*Inputs!$B$9</f>
        <v>3250.66288693349</v>
      </c>
      <c r="BP86" s="0" t="n">
        <f aca="false">(BN86-BO86)*Inputs!$C$67/12</f>
        <v>11777.8038531269</v>
      </c>
      <c r="BQ86" s="0" t="n">
        <f aca="false">IF(BM86&lt;=0,0,IF(BM86=1,BN86-BO86,MIN((BN86-BO86)*(Inputs!$C$67/12)/(1-(1+Inputs!$C$67/12)^(-BM86))-BP86,BN86-BO86)))</f>
        <v>315376.440144916</v>
      </c>
      <c r="BR86" s="0" t="n">
        <f aca="false">(BN86-BO86-BQ86)*Inputs!$B$10</f>
        <v>8423.95027423074</v>
      </c>
      <c r="BS86" s="0" t="n">
        <f aca="false">BN86-BO86-BQ86-BR86</f>
        <v>955237.132092366</v>
      </c>
      <c r="BT86" s="0" t="n">
        <f aca="false">C86+J86+Q86+X86+AE86+AL86+AS86+AZ86+BG86+BN86</f>
        <v>2246987.35704012</v>
      </c>
      <c r="BU86" s="0" t="n">
        <f aca="false">D86+K86+R86+Y86+AF86+AM86+AT86+BA86+BH86+BO86</f>
        <v>5696.22218477311</v>
      </c>
      <c r="BV86" s="0" t="n">
        <f aca="false">E86+L86+S86+Z86+AG86+AN86+AU86+BB86+BI86+BP86</f>
        <v>20237.6168616497</v>
      </c>
      <c r="BW86" s="0" t="n">
        <f aca="false">F86+M86+T86+AA86+AH86+AO86+AV86+BC86+BJ86+BQ86</f>
        <v>552790.55373029</v>
      </c>
      <c r="BX86" s="0" t="n">
        <f aca="false">G86+N86+U86+AB86+AI86+AP86+AW86+BD86+BK86+BR86</f>
        <v>14760.2151769746</v>
      </c>
      <c r="BY86" s="0" t="n">
        <f aca="false">H86+O86+V86+AC86+AJ86+AQ86+AX86+BE86+BL86+BS86</f>
        <v>1673740.36594808</v>
      </c>
      <c r="BZ86" s="0" t="n">
        <f aca="false">IF(A86&gt;Inputs!$B$7,(1-Inputs!$B$6)*INDEX($BU$6:$BU$125,A86-Inputs!$B$7),0)</f>
        <v>8903.94597243583</v>
      </c>
      <c r="CA86" s="0" t="n">
        <f aca="false">CA85+(1-Inputs!$B$6)*BU86-BZ86</f>
        <v>34006.3882925995</v>
      </c>
      <c r="CB86" s="0" t="n">
        <f aca="false">BY86+CA86</f>
        <v>1707746.75424068</v>
      </c>
      <c r="CC86" s="0" t="n">
        <f aca="false">BV86+BW86+BX86+BZ86</f>
        <v>596692.33174135</v>
      </c>
      <c r="CD86" s="0" t="n">
        <f aca="false">CD85+BU86-BZ86</f>
        <v>10944520.497724</v>
      </c>
    </row>
    <row r="87" customFormat="false" ht="15" hidden="false" customHeight="false" outlineLevel="0" collapsed="false">
      <c r="A87" s="0" t="n">
        <f aca="false">ROW()-5</f>
        <v>82</v>
      </c>
      <c r="B87" s="0" t="n">
        <f aca="false">Inputs!$D$58-(A87-1)</f>
        <v>-45</v>
      </c>
      <c r="C87" s="0" t="n">
        <f aca="false">IF(B87&lt;=0,0,IF(A87=1,Inputs!$B$58,H86))</f>
        <v>0</v>
      </c>
      <c r="D87" s="0" t="n">
        <f aca="false">C87*Inputs!$B$9</f>
        <v>0</v>
      </c>
      <c r="E87" s="0" t="n">
        <f aca="false">(C87-D87)*Inputs!$C$58/12</f>
        <v>0</v>
      </c>
      <c r="F87" s="0" t="n">
        <f aca="false">IF(B87&lt;=0,0,IF(B87=1,C87-D87,MIN((C87-D87)*(Inputs!$C$58/12)/(1-(1+Inputs!$C$58/12)^(-B87))-E87,C87-D87)))</f>
        <v>0</v>
      </c>
      <c r="G87" s="0" t="n">
        <f aca="false">(C87-D87-F87)*Inputs!$B$10</f>
        <v>0</v>
      </c>
      <c r="H87" s="0" t="n">
        <f aca="false">C87-D87-F87-G87</f>
        <v>0</v>
      </c>
      <c r="I87" s="0" t="n">
        <f aca="false">Inputs!$D$59-(A87-1)</f>
        <v>-33</v>
      </c>
      <c r="J87" s="0" t="n">
        <f aca="false">IF(I87&lt;=0,0,IF(A87=1,Inputs!$B$59,O86))</f>
        <v>0</v>
      </c>
      <c r="K87" s="0" t="n">
        <f aca="false">J87*Inputs!$B$9</f>
        <v>0</v>
      </c>
      <c r="L87" s="0" t="n">
        <f aca="false">(J87-K87)*Inputs!$C$59/12</f>
        <v>0</v>
      </c>
      <c r="M87" s="0" t="n">
        <f aca="false">IF(I87&lt;=0,0,IF(I87=1,J87-K87,MIN((J87-K87)*(Inputs!$C$59/12)/(1-(1+Inputs!$C$59/12)^(-I87))-L87,J87-K87)))</f>
        <v>0</v>
      </c>
      <c r="N87" s="0" t="n">
        <f aca="false">(J87-K87-M87)*Inputs!$B$10</f>
        <v>0</v>
      </c>
      <c r="O87" s="0" t="n">
        <f aca="false">J87-K87-M87-N87</f>
        <v>0</v>
      </c>
      <c r="P87" s="0" t="n">
        <f aca="false">Inputs!$D$60-(A87-1)</f>
        <v>-33</v>
      </c>
      <c r="Q87" s="0" t="n">
        <f aca="false">IF(P87&lt;=0,0,IF(A87=1,Inputs!$B$60,V86))</f>
        <v>0</v>
      </c>
      <c r="R87" s="0" t="n">
        <f aca="false">Q87*Inputs!$B$9</f>
        <v>0</v>
      </c>
      <c r="S87" s="0" t="n">
        <f aca="false">(Q87-R87)*Inputs!$C$60/12</f>
        <v>0</v>
      </c>
      <c r="T87" s="0" t="n">
        <f aca="false">IF(P87&lt;=0,0,IF(P87=1,Q87-R87,MIN((Q87-R87)*(Inputs!$C$60/12)/(1-(1+Inputs!$C$60/12)^(-P87))-S87,Q87-R87)))</f>
        <v>0</v>
      </c>
      <c r="U87" s="0" t="n">
        <f aca="false">(Q87-R87-T87)*Inputs!$B$10</f>
        <v>0</v>
      </c>
      <c r="V87" s="0" t="n">
        <f aca="false">Q87-R87-T87-U87</f>
        <v>0</v>
      </c>
      <c r="W87" s="0" t="n">
        <f aca="false">Inputs!$D$61-(A87-1)</f>
        <v>-21</v>
      </c>
      <c r="X87" s="0" t="n">
        <f aca="false">IF(W87&lt;=0,0,IF(A87=1,Inputs!$B$61,AC86))</f>
        <v>0</v>
      </c>
      <c r="Y87" s="0" t="n">
        <f aca="false">X87*Inputs!$B$9</f>
        <v>0</v>
      </c>
      <c r="Z87" s="0" t="n">
        <f aca="false">(X87-Y87)*Inputs!$C$61/12</f>
        <v>0</v>
      </c>
      <c r="AA87" s="0" t="n">
        <f aca="false">IF(W87&lt;=0,0,IF(W87=1,X87-Y87,MIN((X87-Y87)*(Inputs!$C$61/12)/(1-(1+Inputs!$C$61/12)^(-W87))-Z87,X87-Y87)))</f>
        <v>0</v>
      </c>
      <c r="AB87" s="0" t="n">
        <f aca="false">(X87-Y87-AA87)*Inputs!$B$10</f>
        <v>0</v>
      </c>
      <c r="AC87" s="0" t="n">
        <f aca="false">X87-Y87-AA87-AB87</f>
        <v>0</v>
      </c>
      <c r="AD87" s="0" t="n">
        <f aca="false">Inputs!$D$62-(A87-1)</f>
        <v>-21</v>
      </c>
      <c r="AE87" s="0" t="n">
        <f aca="false">IF(AD87&lt;=0,0,IF(A87=1,Inputs!$B$62,AJ86))</f>
        <v>0</v>
      </c>
      <c r="AF87" s="0" t="n">
        <f aca="false">AE87*Inputs!$B$9</f>
        <v>0</v>
      </c>
      <c r="AG87" s="0" t="n">
        <f aca="false">(AE87-AF87)*Inputs!$C$62/12</f>
        <v>0</v>
      </c>
      <c r="AH87" s="0" t="n">
        <f aca="false">IF(AD87&lt;=0,0,IF(AD87=1,AE87-AF87,MIN((AE87-AF87)*(Inputs!$C$62/12)/(1-(1+Inputs!$C$62/12)^(-AD87))-AG87,AE87-AF87)))</f>
        <v>0</v>
      </c>
      <c r="AI87" s="0" t="n">
        <f aca="false">(AE87-AF87-AH87)*Inputs!$B$10</f>
        <v>0</v>
      </c>
      <c r="AJ87" s="0" t="n">
        <f aca="false">AE87-AF87-AH87-AI87</f>
        <v>0</v>
      </c>
      <c r="AK87" s="0" t="n">
        <f aca="false">Inputs!$D$63-(A87-1)</f>
        <v>-21</v>
      </c>
      <c r="AL87" s="0" t="n">
        <f aca="false">IF(AK87&lt;=0,0,IF(A87=1,Inputs!$B$63,AQ86))</f>
        <v>0</v>
      </c>
      <c r="AM87" s="0" t="n">
        <f aca="false">AL87*Inputs!$B$9</f>
        <v>0</v>
      </c>
      <c r="AN87" s="0" t="n">
        <f aca="false">(AL87-AM87)*Inputs!$C$63/12</f>
        <v>0</v>
      </c>
      <c r="AO87" s="0" t="n">
        <f aca="false">IF(AK87&lt;=0,0,IF(AK87=1,AL87-AM87,MIN((AL87-AM87)*(Inputs!$C$63/12)/(1-(1+Inputs!$C$63/12)^(-AK87))-AN87,AL87-AM87)))</f>
        <v>0</v>
      </c>
      <c r="AP87" s="0" t="n">
        <f aca="false">(AL87-AM87-AO87)*Inputs!$B$10</f>
        <v>0</v>
      </c>
      <c r="AQ87" s="0" t="n">
        <f aca="false">AL87-AM87-AO87-AP87</f>
        <v>0</v>
      </c>
      <c r="AR87" s="0" t="n">
        <f aca="false">Inputs!$D$64-(A87-1)</f>
        <v>-9</v>
      </c>
      <c r="AS87" s="0" t="n">
        <f aca="false">IF(AR87&lt;=0,0,IF(A87=1,Inputs!$B$64,AX86))</f>
        <v>0</v>
      </c>
      <c r="AT87" s="0" t="n">
        <f aca="false">AS87*Inputs!$B$9</f>
        <v>0</v>
      </c>
      <c r="AU87" s="0" t="n">
        <f aca="false">(AS87-AT87)*Inputs!$C$64/12</f>
        <v>0</v>
      </c>
      <c r="AV87" s="0" t="n">
        <f aca="false">IF(AR87&lt;=0,0,IF(AR87=1,AS87-AT87,MIN((AS87-AT87)*(Inputs!$C$64/12)/(1-(1+Inputs!$C$64/12)^(-AR87))-AU87,AS87-AT87)))</f>
        <v>0</v>
      </c>
      <c r="AW87" s="0" t="n">
        <f aca="false">(AS87-AT87-AV87)*Inputs!$B$10</f>
        <v>0</v>
      </c>
      <c r="AX87" s="0" t="n">
        <f aca="false">AS87-AT87-AV87-AW87</f>
        <v>0</v>
      </c>
      <c r="AY87" s="0" t="n">
        <f aca="false">Inputs!$D$65-(A87-1)</f>
        <v>-9</v>
      </c>
      <c r="AZ87" s="0" t="n">
        <f aca="false">IF(AY87&lt;=0,0,IF(A87=1,Inputs!$B$65,BE86))</f>
        <v>0</v>
      </c>
      <c r="BA87" s="0" t="n">
        <f aca="false">AZ87*Inputs!$B$9</f>
        <v>0</v>
      </c>
      <c r="BB87" s="0" t="n">
        <f aca="false">(AZ87-BA87)*Inputs!$C$65/12</f>
        <v>0</v>
      </c>
      <c r="BC87" s="0" t="n">
        <f aca="false">IF(AY87&lt;=0,0,IF(AY87=1,AZ87-BA87,MIN((AZ87-BA87)*(Inputs!$C$65/12)/(1-(1+Inputs!$C$65/12)^(-AY87))-BB87,AZ87-BA87)))</f>
        <v>0</v>
      </c>
      <c r="BD87" s="0" t="n">
        <f aca="false">(AZ87-BA87-BC87)*Inputs!$B$10</f>
        <v>0</v>
      </c>
      <c r="BE87" s="0" t="n">
        <f aca="false">AZ87-BA87-BC87-BD87</f>
        <v>0</v>
      </c>
      <c r="BF87" s="0" t="n">
        <f aca="false">Inputs!$D$66-(A87-1)</f>
        <v>3</v>
      </c>
      <c r="BG87" s="0" t="n">
        <f aca="false">IF(BF87&lt;=0,0,IF(A87=1,Inputs!$B$66,BL86))</f>
        <v>718503.233855713</v>
      </c>
      <c r="BH87" s="0" t="n">
        <f aca="false">BG87*Inputs!$B$9</f>
        <v>1821.4406270231</v>
      </c>
      <c r="BI87" s="0" t="n">
        <f aca="false">(BG87-BH87)*Inputs!$C$66/12</f>
        <v>6300.82743213557</v>
      </c>
      <c r="BJ87" s="0" t="n">
        <f aca="false">IF(BF87&lt;=0,0,IF(BF87=1,BG87-BH87,MIN((BG87-BH87)*(Inputs!$C$66/12)/(1-(1+Inputs!$C$66/12)^(-BF87))-BI87,BG87-BH87)))</f>
        <v>236805.911261494</v>
      </c>
      <c r="BK87" s="0" t="n">
        <f aca="false">(BG87-BH87-BJ87)*Inputs!$B$10</f>
        <v>4194.88826669919</v>
      </c>
      <c r="BL87" s="0" t="n">
        <f aca="false">BG87-BH87-BJ87-BK87</f>
        <v>475680.993700497</v>
      </c>
      <c r="BM87" s="0" t="n">
        <f aca="false">Inputs!$D$67-(A87-1)</f>
        <v>3</v>
      </c>
      <c r="BN87" s="0" t="n">
        <f aca="false">IF(BM87&lt;=0,0,IF(A87=1,Inputs!$B$67,BS86))</f>
        <v>955237.132092366</v>
      </c>
      <c r="BO87" s="0" t="n">
        <f aca="false">BN87*Inputs!$B$9</f>
        <v>2421.57256759609</v>
      </c>
      <c r="BP87" s="0" t="n">
        <f aca="false">(BN87-BO87)*Inputs!$C$67/12</f>
        <v>8773.84327729059</v>
      </c>
      <c r="BQ87" s="0" t="n">
        <f aca="false">IF(BM87&lt;=0,0,IF(BM87=1,BN87-BO87,MIN((BN87-BO87)*(Inputs!$C$67/12)/(1-(1+Inputs!$C$67/12)^(-BM87))-BP87,BN87-BO87)))</f>
        <v>314698.44355655</v>
      </c>
      <c r="BR87" s="0" t="n">
        <f aca="false">(BN87-BO87-BQ87)*Inputs!$B$10</f>
        <v>5578.17157132727</v>
      </c>
      <c r="BS87" s="0" t="n">
        <f aca="false">BN87-BO87-BQ87-BR87</f>
        <v>632538.944396893</v>
      </c>
      <c r="BT87" s="0" t="n">
        <f aca="false">C87+J87+Q87+X87+AE87+AL87+AS87+AZ87+BG87+BN87</f>
        <v>1673740.36594808</v>
      </c>
      <c r="BU87" s="0" t="n">
        <f aca="false">D87+K87+R87+Y87+AF87+AM87+AT87+BA87+BH87+BO87</f>
        <v>4243.01319461919</v>
      </c>
      <c r="BV87" s="0" t="n">
        <f aca="false">E87+L87+S87+Z87+AG87+AN87+AU87+BB87+BI87+BP87</f>
        <v>15074.6707094262</v>
      </c>
      <c r="BW87" s="0" t="n">
        <f aca="false">F87+M87+T87+AA87+AH87+AO87+AV87+BC87+BJ87+BQ87</f>
        <v>551504.354818044</v>
      </c>
      <c r="BX87" s="0" t="n">
        <f aca="false">G87+N87+U87+AB87+AI87+AP87+AW87+BD87+BK87+BR87</f>
        <v>9773.05983802646</v>
      </c>
      <c r="BY87" s="0" t="n">
        <f aca="false">H87+O87+V87+AC87+AJ87+AQ87+AX87+BE87+BL87+BS87</f>
        <v>1108219.93809739</v>
      </c>
      <c r="BZ87" s="0" t="n">
        <f aca="false">IF(A87&gt;Inputs!$B$7,(1-Inputs!$B$6)*INDEX($BU$6:$BU$125,A87-Inputs!$B$7),0)</f>
        <v>7958.54444877657</v>
      </c>
      <c r="CA87" s="0" t="n">
        <f aca="false">CA86+(1-Inputs!$B$6)*BU87-BZ87</f>
        <v>28593.6517605945</v>
      </c>
      <c r="CB87" s="0" t="n">
        <f aca="false">BY87+CA87</f>
        <v>1136813.58985798</v>
      </c>
      <c r="CC87" s="0" t="n">
        <f aca="false">BV87+BW87+BX87+BZ87</f>
        <v>584310.629814273</v>
      </c>
      <c r="CD87" s="0" t="n">
        <f aca="false">CD86+BU87-BZ87</f>
        <v>10940804.9664699</v>
      </c>
    </row>
    <row r="88" customFormat="false" ht="15" hidden="false" customHeight="false" outlineLevel="0" collapsed="false">
      <c r="A88" s="0" t="n">
        <f aca="false">ROW()-5</f>
        <v>83</v>
      </c>
      <c r="B88" s="0" t="n">
        <f aca="false">Inputs!$D$58-(A88-1)</f>
        <v>-46</v>
      </c>
      <c r="C88" s="0" t="n">
        <f aca="false">IF(B88&lt;=0,0,IF(A88=1,Inputs!$B$58,H87))</f>
        <v>0</v>
      </c>
      <c r="D88" s="0" t="n">
        <f aca="false">C88*Inputs!$B$9</f>
        <v>0</v>
      </c>
      <c r="E88" s="0" t="n">
        <f aca="false">(C88-D88)*Inputs!$C$58/12</f>
        <v>0</v>
      </c>
      <c r="F88" s="0" t="n">
        <f aca="false">IF(B88&lt;=0,0,IF(B88=1,C88-D88,MIN((C88-D88)*(Inputs!$C$58/12)/(1-(1+Inputs!$C$58/12)^(-B88))-E88,C88-D88)))</f>
        <v>0</v>
      </c>
      <c r="G88" s="0" t="n">
        <f aca="false">(C88-D88-F88)*Inputs!$B$10</f>
        <v>0</v>
      </c>
      <c r="H88" s="0" t="n">
        <f aca="false">C88-D88-F88-G88</f>
        <v>0</v>
      </c>
      <c r="I88" s="0" t="n">
        <f aca="false">Inputs!$D$59-(A88-1)</f>
        <v>-34</v>
      </c>
      <c r="J88" s="0" t="n">
        <f aca="false">IF(I88&lt;=0,0,IF(A88=1,Inputs!$B$59,O87))</f>
        <v>0</v>
      </c>
      <c r="K88" s="0" t="n">
        <f aca="false">J88*Inputs!$B$9</f>
        <v>0</v>
      </c>
      <c r="L88" s="0" t="n">
        <f aca="false">(J88-K88)*Inputs!$C$59/12</f>
        <v>0</v>
      </c>
      <c r="M88" s="0" t="n">
        <f aca="false">IF(I88&lt;=0,0,IF(I88=1,J88-K88,MIN((J88-K88)*(Inputs!$C$59/12)/(1-(1+Inputs!$C$59/12)^(-I88))-L88,J88-K88)))</f>
        <v>0</v>
      </c>
      <c r="N88" s="0" t="n">
        <f aca="false">(J88-K88-M88)*Inputs!$B$10</f>
        <v>0</v>
      </c>
      <c r="O88" s="0" t="n">
        <f aca="false">J88-K88-M88-N88</f>
        <v>0</v>
      </c>
      <c r="P88" s="0" t="n">
        <f aca="false">Inputs!$D$60-(A88-1)</f>
        <v>-34</v>
      </c>
      <c r="Q88" s="0" t="n">
        <f aca="false">IF(P88&lt;=0,0,IF(A88=1,Inputs!$B$60,V87))</f>
        <v>0</v>
      </c>
      <c r="R88" s="0" t="n">
        <f aca="false">Q88*Inputs!$B$9</f>
        <v>0</v>
      </c>
      <c r="S88" s="0" t="n">
        <f aca="false">(Q88-R88)*Inputs!$C$60/12</f>
        <v>0</v>
      </c>
      <c r="T88" s="0" t="n">
        <f aca="false">IF(P88&lt;=0,0,IF(P88=1,Q88-R88,MIN((Q88-R88)*(Inputs!$C$60/12)/(1-(1+Inputs!$C$60/12)^(-P88))-S88,Q88-R88)))</f>
        <v>0</v>
      </c>
      <c r="U88" s="0" t="n">
        <f aca="false">(Q88-R88-T88)*Inputs!$B$10</f>
        <v>0</v>
      </c>
      <c r="V88" s="0" t="n">
        <f aca="false">Q88-R88-T88-U88</f>
        <v>0</v>
      </c>
      <c r="W88" s="0" t="n">
        <f aca="false">Inputs!$D$61-(A88-1)</f>
        <v>-22</v>
      </c>
      <c r="X88" s="0" t="n">
        <f aca="false">IF(W88&lt;=0,0,IF(A88=1,Inputs!$B$61,AC87))</f>
        <v>0</v>
      </c>
      <c r="Y88" s="0" t="n">
        <f aca="false">X88*Inputs!$B$9</f>
        <v>0</v>
      </c>
      <c r="Z88" s="0" t="n">
        <f aca="false">(X88-Y88)*Inputs!$C$61/12</f>
        <v>0</v>
      </c>
      <c r="AA88" s="0" t="n">
        <f aca="false">IF(W88&lt;=0,0,IF(W88=1,X88-Y88,MIN((X88-Y88)*(Inputs!$C$61/12)/(1-(1+Inputs!$C$61/12)^(-W88))-Z88,X88-Y88)))</f>
        <v>0</v>
      </c>
      <c r="AB88" s="0" t="n">
        <f aca="false">(X88-Y88-AA88)*Inputs!$B$10</f>
        <v>0</v>
      </c>
      <c r="AC88" s="0" t="n">
        <f aca="false">X88-Y88-AA88-AB88</f>
        <v>0</v>
      </c>
      <c r="AD88" s="0" t="n">
        <f aca="false">Inputs!$D$62-(A88-1)</f>
        <v>-22</v>
      </c>
      <c r="AE88" s="0" t="n">
        <f aca="false">IF(AD88&lt;=0,0,IF(A88=1,Inputs!$B$62,AJ87))</f>
        <v>0</v>
      </c>
      <c r="AF88" s="0" t="n">
        <f aca="false">AE88*Inputs!$B$9</f>
        <v>0</v>
      </c>
      <c r="AG88" s="0" t="n">
        <f aca="false">(AE88-AF88)*Inputs!$C$62/12</f>
        <v>0</v>
      </c>
      <c r="AH88" s="0" t="n">
        <f aca="false">IF(AD88&lt;=0,0,IF(AD88=1,AE88-AF88,MIN((AE88-AF88)*(Inputs!$C$62/12)/(1-(1+Inputs!$C$62/12)^(-AD88))-AG88,AE88-AF88)))</f>
        <v>0</v>
      </c>
      <c r="AI88" s="0" t="n">
        <f aca="false">(AE88-AF88-AH88)*Inputs!$B$10</f>
        <v>0</v>
      </c>
      <c r="AJ88" s="0" t="n">
        <f aca="false">AE88-AF88-AH88-AI88</f>
        <v>0</v>
      </c>
      <c r="AK88" s="0" t="n">
        <f aca="false">Inputs!$D$63-(A88-1)</f>
        <v>-22</v>
      </c>
      <c r="AL88" s="0" t="n">
        <f aca="false">IF(AK88&lt;=0,0,IF(A88=1,Inputs!$B$63,AQ87))</f>
        <v>0</v>
      </c>
      <c r="AM88" s="0" t="n">
        <f aca="false">AL88*Inputs!$B$9</f>
        <v>0</v>
      </c>
      <c r="AN88" s="0" t="n">
        <f aca="false">(AL88-AM88)*Inputs!$C$63/12</f>
        <v>0</v>
      </c>
      <c r="AO88" s="0" t="n">
        <f aca="false">IF(AK88&lt;=0,0,IF(AK88=1,AL88-AM88,MIN((AL88-AM88)*(Inputs!$C$63/12)/(1-(1+Inputs!$C$63/12)^(-AK88))-AN88,AL88-AM88)))</f>
        <v>0</v>
      </c>
      <c r="AP88" s="0" t="n">
        <f aca="false">(AL88-AM88-AO88)*Inputs!$B$10</f>
        <v>0</v>
      </c>
      <c r="AQ88" s="0" t="n">
        <f aca="false">AL88-AM88-AO88-AP88</f>
        <v>0</v>
      </c>
      <c r="AR88" s="0" t="n">
        <f aca="false">Inputs!$D$64-(A88-1)</f>
        <v>-10</v>
      </c>
      <c r="AS88" s="0" t="n">
        <f aca="false">IF(AR88&lt;=0,0,IF(A88=1,Inputs!$B$64,AX87))</f>
        <v>0</v>
      </c>
      <c r="AT88" s="0" t="n">
        <f aca="false">AS88*Inputs!$B$9</f>
        <v>0</v>
      </c>
      <c r="AU88" s="0" t="n">
        <f aca="false">(AS88-AT88)*Inputs!$C$64/12</f>
        <v>0</v>
      </c>
      <c r="AV88" s="0" t="n">
        <f aca="false">IF(AR88&lt;=0,0,IF(AR88=1,AS88-AT88,MIN((AS88-AT88)*(Inputs!$C$64/12)/(1-(1+Inputs!$C$64/12)^(-AR88))-AU88,AS88-AT88)))</f>
        <v>0</v>
      </c>
      <c r="AW88" s="0" t="n">
        <f aca="false">(AS88-AT88-AV88)*Inputs!$B$10</f>
        <v>0</v>
      </c>
      <c r="AX88" s="0" t="n">
        <f aca="false">AS88-AT88-AV88-AW88</f>
        <v>0</v>
      </c>
      <c r="AY88" s="0" t="n">
        <f aca="false">Inputs!$D$65-(A88-1)</f>
        <v>-10</v>
      </c>
      <c r="AZ88" s="0" t="n">
        <f aca="false">IF(AY88&lt;=0,0,IF(A88=1,Inputs!$B$65,BE87))</f>
        <v>0</v>
      </c>
      <c r="BA88" s="0" t="n">
        <f aca="false">AZ88*Inputs!$B$9</f>
        <v>0</v>
      </c>
      <c r="BB88" s="0" t="n">
        <f aca="false">(AZ88-BA88)*Inputs!$C$65/12</f>
        <v>0</v>
      </c>
      <c r="BC88" s="0" t="n">
        <f aca="false">IF(AY88&lt;=0,0,IF(AY88=1,AZ88-BA88,MIN((AZ88-BA88)*(Inputs!$C$65/12)/(1-(1+Inputs!$C$65/12)^(-AY88))-BB88,AZ88-BA88)))</f>
        <v>0</v>
      </c>
      <c r="BD88" s="0" t="n">
        <f aca="false">(AZ88-BA88-BC88)*Inputs!$B$10</f>
        <v>0</v>
      </c>
      <c r="BE88" s="0" t="n">
        <f aca="false">AZ88-BA88-BC88-BD88</f>
        <v>0</v>
      </c>
      <c r="BF88" s="0" t="n">
        <f aca="false">Inputs!$D$66-(A88-1)</f>
        <v>2</v>
      </c>
      <c r="BG88" s="0" t="n">
        <f aca="false">IF(BF88&lt;=0,0,IF(A88=1,Inputs!$B$66,BL87))</f>
        <v>475680.993700497</v>
      </c>
      <c r="BH88" s="0" t="n">
        <f aca="false">BG88*Inputs!$B$9</f>
        <v>1205.8744437089</v>
      </c>
      <c r="BI88" s="0" t="n">
        <f aca="false">(BG88-BH88)*Inputs!$C$66/12</f>
        <v>4171.42709013259</v>
      </c>
      <c r="BJ88" s="0" t="n">
        <f aca="false">IF(BF88&lt;=0,0,IF(BF88=1,BG88-BH88,MIN((BG88-BH88)*(Inputs!$C$66/12)/(1-(1+Inputs!$C$66/12)^(-BF88))-BI88,BG88-BH88)))</f>
        <v>236199.267017128</v>
      </c>
      <c r="BK88" s="0" t="n">
        <f aca="false">(BG88-BH88-BJ88)*Inputs!$B$10</f>
        <v>2082.91480017791</v>
      </c>
      <c r="BL88" s="0" t="n">
        <f aca="false">BG88-BH88-BJ88-BK88</f>
        <v>236192.937439482</v>
      </c>
      <c r="BM88" s="0" t="n">
        <f aca="false">Inputs!$D$67-(A88-1)</f>
        <v>2</v>
      </c>
      <c r="BN88" s="0" t="n">
        <f aca="false">IF(BM88&lt;=0,0,IF(A88=1,Inputs!$B$67,BS87))</f>
        <v>632538.944396893</v>
      </c>
      <c r="BO88" s="0" t="n">
        <f aca="false">BN88*Inputs!$B$9</f>
        <v>1603.51697419107</v>
      </c>
      <c r="BP88" s="0" t="n">
        <f aca="false">(BN88-BO88)*Inputs!$C$67/12</f>
        <v>5809.86372751738</v>
      </c>
      <c r="BQ88" s="0" t="n">
        <f aca="false">IF(BM88&lt;=0,0,IF(BM88=1,BN88-BO88,MIN((BN88-BO88)*(Inputs!$C$67/12)/(1-(1+Inputs!$C$67/12)^(-BM88))-BP88,BN88-BO88)))</f>
        <v>314021.904525932</v>
      </c>
      <c r="BR88" s="0" t="n">
        <f aca="false">(BN88-BO88-BQ88)*Inputs!$B$10</f>
        <v>2770.33472344594</v>
      </c>
      <c r="BS88" s="0" t="n">
        <f aca="false">BN88-BO88-BQ88-BR88</f>
        <v>314143.188173324</v>
      </c>
      <c r="BT88" s="0" t="n">
        <f aca="false">C88+J88+Q88+X88+AE88+AL88+AS88+AZ88+BG88+BN88</f>
        <v>1108219.93809739</v>
      </c>
      <c r="BU88" s="0" t="n">
        <f aca="false">D88+K88+R88+Y88+AF88+AM88+AT88+BA88+BH88+BO88</f>
        <v>2809.39141789997</v>
      </c>
      <c r="BV88" s="0" t="n">
        <f aca="false">E88+L88+S88+Z88+AG88+AN88+AU88+BB88+BI88+BP88</f>
        <v>9981.29081764997</v>
      </c>
      <c r="BW88" s="0" t="n">
        <f aca="false">F88+M88+T88+AA88+AH88+AO88+AV88+BC88+BJ88+BQ88</f>
        <v>550221.17154306</v>
      </c>
      <c r="BX88" s="0" t="n">
        <f aca="false">G88+N88+U88+AB88+AI88+AP88+AW88+BD88+BK88+BR88</f>
        <v>4853.24952362384</v>
      </c>
      <c r="BY88" s="0" t="n">
        <f aca="false">H88+O88+V88+AC88+AJ88+AQ88+AX88+BE88+BL88+BS88</f>
        <v>550336.125612806</v>
      </c>
      <c r="BZ88" s="0" t="n">
        <f aca="false">IF(A88&gt;Inputs!$B$7,(1-Inputs!$B$6)*INDEX($BU$6:$BU$125,A88-Inputs!$B$7),0)</f>
        <v>7025.74969790178</v>
      </c>
      <c r="CA88" s="0" t="n">
        <f aca="false">CA87+(1-Inputs!$B$6)*BU88-BZ88</f>
        <v>23253.5369134327</v>
      </c>
      <c r="CB88" s="0" t="n">
        <f aca="false">BY88+CA88</f>
        <v>573589.662526239</v>
      </c>
      <c r="CC88" s="0" t="n">
        <f aca="false">BV88+BW88+BX88+BZ88</f>
        <v>572081.461582235</v>
      </c>
      <c r="CD88" s="0" t="n">
        <f aca="false">CD87+BU88-BZ88</f>
        <v>10936588.6081899</v>
      </c>
    </row>
    <row r="89" customFormat="false" ht="15" hidden="false" customHeight="false" outlineLevel="0" collapsed="false">
      <c r="A89" s="0" t="n">
        <f aca="false">ROW()-5</f>
        <v>84</v>
      </c>
      <c r="B89" s="0" t="n">
        <f aca="false">Inputs!$D$58-(A89-1)</f>
        <v>-47</v>
      </c>
      <c r="C89" s="0" t="n">
        <f aca="false">IF(B89&lt;=0,0,IF(A89=1,Inputs!$B$58,H88))</f>
        <v>0</v>
      </c>
      <c r="D89" s="0" t="n">
        <f aca="false">C89*Inputs!$B$9</f>
        <v>0</v>
      </c>
      <c r="E89" s="0" t="n">
        <f aca="false">(C89-D89)*Inputs!$C$58/12</f>
        <v>0</v>
      </c>
      <c r="F89" s="0" t="n">
        <f aca="false">IF(B89&lt;=0,0,IF(B89=1,C89-D89,MIN((C89-D89)*(Inputs!$C$58/12)/(1-(1+Inputs!$C$58/12)^(-B89))-E89,C89-D89)))</f>
        <v>0</v>
      </c>
      <c r="G89" s="0" t="n">
        <f aca="false">(C89-D89-F89)*Inputs!$B$10</f>
        <v>0</v>
      </c>
      <c r="H89" s="0" t="n">
        <f aca="false">C89-D89-F89-G89</f>
        <v>0</v>
      </c>
      <c r="I89" s="0" t="n">
        <f aca="false">Inputs!$D$59-(A89-1)</f>
        <v>-35</v>
      </c>
      <c r="J89" s="0" t="n">
        <f aca="false">IF(I89&lt;=0,0,IF(A89=1,Inputs!$B$59,O88))</f>
        <v>0</v>
      </c>
      <c r="K89" s="0" t="n">
        <f aca="false">J89*Inputs!$B$9</f>
        <v>0</v>
      </c>
      <c r="L89" s="0" t="n">
        <f aca="false">(J89-K89)*Inputs!$C$59/12</f>
        <v>0</v>
      </c>
      <c r="M89" s="0" t="n">
        <f aca="false">IF(I89&lt;=0,0,IF(I89=1,J89-K89,MIN((J89-K89)*(Inputs!$C$59/12)/(1-(1+Inputs!$C$59/12)^(-I89))-L89,J89-K89)))</f>
        <v>0</v>
      </c>
      <c r="N89" s="0" t="n">
        <f aca="false">(J89-K89-M89)*Inputs!$B$10</f>
        <v>0</v>
      </c>
      <c r="O89" s="0" t="n">
        <f aca="false">J89-K89-M89-N89</f>
        <v>0</v>
      </c>
      <c r="P89" s="0" t="n">
        <f aca="false">Inputs!$D$60-(A89-1)</f>
        <v>-35</v>
      </c>
      <c r="Q89" s="0" t="n">
        <f aca="false">IF(P89&lt;=0,0,IF(A89=1,Inputs!$B$60,V88))</f>
        <v>0</v>
      </c>
      <c r="R89" s="0" t="n">
        <f aca="false">Q89*Inputs!$B$9</f>
        <v>0</v>
      </c>
      <c r="S89" s="0" t="n">
        <f aca="false">(Q89-R89)*Inputs!$C$60/12</f>
        <v>0</v>
      </c>
      <c r="T89" s="0" t="n">
        <f aca="false">IF(P89&lt;=0,0,IF(P89=1,Q89-R89,MIN((Q89-R89)*(Inputs!$C$60/12)/(1-(1+Inputs!$C$60/12)^(-P89))-S89,Q89-R89)))</f>
        <v>0</v>
      </c>
      <c r="U89" s="0" t="n">
        <f aca="false">(Q89-R89-T89)*Inputs!$B$10</f>
        <v>0</v>
      </c>
      <c r="V89" s="0" t="n">
        <f aca="false">Q89-R89-T89-U89</f>
        <v>0</v>
      </c>
      <c r="W89" s="0" t="n">
        <f aca="false">Inputs!$D$61-(A89-1)</f>
        <v>-23</v>
      </c>
      <c r="X89" s="0" t="n">
        <f aca="false">IF(W89&lt;=0,0,IF(A89=1,Inputs!$B$61,AC88))</f>
        <v>0</v>
      </c>
      <c r="Y89" s="0" t="n">
        <f aca="false">X89*Inputs!$B$9</f>
        <v>0</v>
      </c>
      <c r="Z89" s="0" t="n">
        <f aca="false">(X89-Y89)*Inputs!$C$61/12</f>
        <v>0</v>
      </c>
      <c r="AA89" s="0" t="n">
        <f aca="false">IF(W89&lt;=0,0,IF(W89=1,X89-Y89,MIN((X89-Y89)*(Inputs!$C$61/12)/(1-(1+Inputs!$C$61/12)^(-W89))-Z89,X89-Y89)))</f>
        <v>0</v>
      </c>
      <c r="AB89" s="0" t="n">
        <f aca="false">(X89-Y89-AA89)*Inputs!$B$10</f>
        <v>0</v>
      </c>
      <c r="AC89" s="0" t="n">
        <f aca="false">X89-Y89-AA89-AB89</f>
        <v>0</v>
      </c>
      <c r="AD89" s="0" t="n">
        <f aca="false">Inputs!$D$62-(A89-1)</f>
        <v>-23</v>
      </c>
      <c r="AE89" s="0" t="n">
        <f aca="false">IF(AD89&lt;=0,0,IF(A89=1,Inputs!$B$62,AJ88))</f>
        <v>0</v>
      </c>
      <c r="AF89" s="0" t="n">
        <f aca="false">AE89*Inputs!$B$9</f>
        <v>0</v>
      </c>
      <c r="AG89" s="0" t="n">
        <f aca="false">(AE89-AF89)*Inputs!$C$62/12</f>
        <v>0</v>
      </c>
      <c r="AH89" s="0" t="n">
        <f aca="false">IF(AD89&lt;=0,0,IF(AD89=1,AE89-AF89,MIN((AE89-AF89)*(Inputs!$C$62/12)/(1-(1+Inputs!$C$62/12)^(-AD89))-AG89,AE89-AF89)))</f>
        <v>0</v>
      </c>
      <c r="AI89" s="0" t="n">
        <f aca="false">(AE89-AF89-AH89)*Inputs!$B$10</f>
        <v>0</v>
      </c>
      <c r="AJ89" s="0" t="n">
        <f aca="false">AE89-AF89-AH89-AI89</f>
        <v>0</v>
      </c>
      <c r="AK89" s="0" t="n">
        <f aca="false">Inputs!$D$63-(A89-1)</f>
        <v>-23</v>
      </c>
      <c r="AL89" s="0" t="n">
        <f aca="false">IF(AK89&lt;=0,0,IF(A89=1,Inputs!$B$63,AQ88))</f>
        <v>0</v>
      </c>
      <c r="AM89" s="0" t="n">
        <f aca="false">AL89*Inputs!$B$9</f>
        <v>0</v>
      </c>
      <c r="AN89" s="0" t="n">
        <f aca="false">(AL89-AM89)*Inputs!$C$63/12</f>
        <v>0</v>
      </c>
      <c r="AO89" s="0" t="n">
        <f aca="false">IF(AK89&lt;=0,0,IF(AK89=1,AL89-AM89,MIN((AL89-AM89)*(Inputs!$C$63/12)/(1-(1+Inputs!$C$63/12)^(-AK89))-AN89,AL89-AM89)))</f>
        <v>0</v>
      </c>
      <c r="AP89" s="0" t="n">
        <f aca="false">(AL89-AM89-AO89)*Inputs!$B$10</f>
        <v>0</v>
      </c>
      <c r="AQ89" s="0" t="n">
        <f aca="false">AL89-AM89-AO89-AP89</f>
        <v>0</v>
      </c>
      <c r="AR89" s="0" t="n">
        <f aca="false">Inputs!$D$64-(A89-1)</f>
        <v>-11</v>
      </c>
      <c r="AS89" s="0" t="n">
        <f aca="false">IF(AR89&lt;=0,0,IF(A89=1,Inputs!$B$64,AX88))</f>
        <v>0</v>
      </c>
      <c r="AT89" s="0" t="n">
        <f aca="false">AS89*Inputs!$B$9</f>
        <v>0</v>
      </c>
      <c r="AU89" s="0" t="n">
        <f aca="false">(AS89-AT89)*Inputs!$C$64/12</f>
        <v>0</v>
      </c>
      <c r="AV89" s="0" t="n">
        <f aca="false">IF(AR89&lt;=0,0,IF(AR89=1,AS89-AT89,MIN((AS89-AT89)*(Inputs!$C$64/12)/(1-(1+Inputs!$C$64/12)^(-AR89))-AU89,AS89-AT89)))</f>
        <v>0</v>
      </c>
      <c r="AW89" s="0" t="n">
        <f aca="false">(AS89-AT89-AV89)*Inputs!$B$10</f>
        <v>0</v>
      </c>
      <c r="AX89" s="0" t="n">
        <f aca="false">AS89-AT89-AV89-AW89</f>
        <v>0</v>
      </c>
      <c r="AY89" s="0" t="n">
        <f aca="false">Inputs!$D$65-(A89-1)</f>
        <v>-11</v>
      </c>
      <c r="AZ89" s="0" t="n">
        <f aca="false">IF(AY89&lt;=0,0,IF(A89=1,Inputs!$B$65,BE88))</f>
        <v>0</v>
      </c>
      <c r="BA89" s="0" t="n">
        <f aca="false">AZ89*Inputs!$B$9</f>
        <v>0</v>
      </c>
      <c r="BB89" s="0" t="n">
        <f aca="false">(AZ89-BA89)*Inputs!$C$65/12</f>
        <v>0</v>
      </c>
      <c r="BC89" s="0" t="n">
        <f aca="false">IF(AY89&lt;=0,0,IF(AY89=1,AZ89-BA89,MIN((AZ89-BA89)*(Inputs!$C$65/12)/(1-(1+Inputs!$C$65/12)^(-AY89))-BB89,AZ89-BA89)))</f>
        <v>0</v>
      </c>
      <c r="BD89" s="0" t="n">
        <f aca="false">(AZ89-BA89-BC89)*Inputs!$B$10</f>
        <v>0</v>
      </c>
      <c r="BE89" s="0" t="n">
        <f aca="false">AZ89-BA89-BC89-BD89</f>
        <v>0</v>
      </c>
      <c r="BF89" s="0" t="n">
        <f aca="false">Inputs!$D$66-(A89-1)</f>
        <v>1</v>
      </c>
      <c r="BG89" s="0" t="n">
        <f aca="false">IF(BF89&lt;=0,0,IF(A89=1,Inputs!$B$66,BL88))</f>
        <v>236192.937439482</v>
      </c>
      <c r="BH89" s="0" t="n">
        <f aca="false">BG89*Inputs!$B$9</f>
        <v>598.760578653974</v>
      </c>
      <c r="BI89" s="0" t="n">
        <f aca="false">(BG89-BH89)*Inputs!$C$66/12</f>
        <v>2071.26547156811</v>
      </c>
      <c r="BJ89" s="0" t="n">
        <f aca="false">IF(BF89&lt;=0,0,IF(BF89=1,BG89-BH89,MIN((BG89-BH89)*(Inputs!$C$66/12)/(1-(1+Inputs!$C$66/12)^(-BF89))-BI89,BG89-BH89)))</f>
        <v>235594.176860828</v>
      </c>
      <c r="BK89" s="0" t="n">
        <f aca="false">(BG89-BH89-BJ89)*Inputs!$B$10</f>
        <v>0</v>
      </c>
      <c r="BL89" s="0" t="n">
        <f aca="false">BG89-BH89-BJ89-BK89</f>
        <v>0</v>
      </c>
      <c r="BM89" s="0" t="n">
        <f aca="false">Inputs!$D$67-(A89-1)</f>
        <v>1</v>
      </c>
      <c r="BN89" s="0" t="n">
        <f aca="false">IF(BM89&lt;=0,0,IF(A89=1,Inputs!$B$67,BS88))</f>
        <v>314143.188173324</v>
      </c>
      <c r="BO89" s="0" t="n">
        <f aca="false">BN89*Inputs!$B$9</f>
        <v>796.368253725024</v>
      </c>
      <c r="BP89" s="0" t="n">
        <f aca="false">(BN89-BO89)*Inputs!$C$67/12</f>
        <v>2885.40196675964</v>
      </c>
      <c r="BQ89" s="0" t="n">
        <f aca="false">IF(BM89&lt;=0,0,IF(BM89=1,BN89-BO89,MIN((BN89-BO89)*(Inputs!$C$67/12)/(1-(1+Inputs!$C$67/12)^(-BM89))-BP89,BN89-BO89)))</f>
        <v>313346.819919599</v>
      </c>
      <c r="BR89" s="0" t="n">
        <f aca="false">(BN89-BO89-BQ89)*Inputs!$B$10</f>
        <v>0</v>
      </c>
      <c r="BS89" s="0" t="n">
        <f aca="false">BN89-BO89-BQ89-BR89</f>
        <v>0</v>
      </c>
      <c r="BT89" s="0" t="n">
        <f aca="false">C89+J89+Q89+X89+AE89+AL89+AS89+AZ89+BG89+BN89</f>
        <v>550336.125612806</v>
      </c>
      <c r="BU89" s="0" t="n">
        <f aca="false">D89+K89+R89+Y89+AF89+AM89+AT89+BA89+BH89+BO89</f>
        <v>1395.128832379</v>
      </c>
      <c r="BV89" s="0" t="n">
        <f aca="false">E89+L89+S89+Z89+AG89+AN89+AU89+BB89+BI89+BP89</f>
        <v>4956.66743832776</v>
      </c>
      <c r="BW89" s="0" t="n">
        <f aca="false">F89+M89+T89+AA89+AH89+AO89+AV89+BC89+BJ89+BQ89</f>
        <v>548940.996780427</v>
      </c>
      <c r="BX89" s="0" t="n">
        <f aca="false">G89+N89+U89+AB89+AI89+AP89+AW89+BD89+BK89+BR89</f>
        <v>0</v>
      </c>
      <c r="BY89" s="0" t="n">
        <f aca="false">H89+O89+V89+AC89+AJ89+AQ89+AX89+BE89+BL89+BS89</f>
        <v>0</v>
      </c>
      <c r="BZ89" s="0" t="n">
        <f aca="false">IF(A89&gt;Inputs!$B$7,(1-Inputs!$B$6)*INDEX($BU$6:$BU$125,A89-Inputs!$B$7),0)</f>
        <v>6105.41522512688</v>
      </c>
      <c r="CA89" s="0" t="n">
        <f aca="false">CA88+(1-Inputs!$B$6)*BU89-BZ89</f>
        <v>17985.1989877332</v>
      </c>
      <c r="CB89" s="0" t="n">
        <f aca="false">BY89+CA89</f>
        <v>17985.1989877332</v>
      </c>
      <c r="CC89" s="0" t="n">
        <f aca="false">BV89+BW89+BX89+BZ89</f>
        <v>560003.079443882</v>
      </c>
      <c r="CD89" s="0" t="n">
        <f aca="false">CD88+BU89-BZ89</f>
        <v>10931878.3217971</v>
      </c>
    </row>
    <row r="90" customFormat="false" ht="15" hidden="false" customHeight="false" outlineLevel="0" collapsed="false">
      <c r="A90" s="0" t="n">
        <f aca="false">ROW()-5</f>
        <v>85</v>
      </c>
      <c r="B90" s="0" t="n">
        <f aca="false">Inputs!$D$58-(A90-1)</f>
        <v>-48</v>
      </c>
      <c r="C90" s="0" t="n">
        <f aca="false">IF(B90&lt;=0,0,IF(A90=1,Inputs!$B$58,H89))</f>
        <v>0</v>
      </c>
      <c r="D90" s="0" t="n">
        <f aca="false">C90*Inputs!$B$9</f>
        <v>0</v>
      </c>
      <c r="E90" s="0" t="n">
        <f aca="false">(C90-D90)*Inputs!$C$58/12</f>
        <v>0</v>
      </c>
      <c r="F90" s="0" t="n">
        <f aca="false">IF(B90&lt;=0,0,IF(B90=1,C90-D90,MIN((C90-D90)*(Inputs!$C$58/12)/(1-(1+Inputs!$C$58/12)^(-B90))-E90,C90-D90)))</f>
        <v>0</v>
      </c>
      <c r="G90" s="0" t="n">
        <f aca="false">(C90-D90-F90)*Inputs!$B$10</f>
        <v>0</v>
      </c>
      <c r="H90" s="0" t="n">
        <f aca="false">C90-D90-F90-G90</f>
        <v>0</v>
      </c>
      <c r="I90" s="0" t="n">
        <f aca="false">Inputs!$D$59-(A90-1)</f>
        <v>-36</v>
      </c>
      <c r="J90" s="0" t="n">
        <f aca="false">IF(I90&lt;=0,0,IF(A90=1,Inputs!$B$59,O89))</f>
        <v>0</v>
      </c>
      <c r="K90" s="0" t="n">
        <f aca="false">J90*Inputs!$B$9</f>
        <v>0</v>
      </c>
      <c r="L90" s="0" t="n">
        <f aca="false">(J90-K90)*Inputs!$C$59/12</f>
        <v>0</v>
      </c>
      <c r="M90" s="0" t="n">
        <f aca="false">IF(I90&lt;=0,0,IF(I90=1,J90-K90,MIN((J90-K90)*(Inputs!$C$59/12)/(1-(1+Inputs!$C$59/12)^(-I90))-L90,J90-K90)))</f>
        <v>0</v>
      </c>
      <c r="N90" s="0" t="n">
        <f aca="false">(J90-K90-M90)*Inputs!$B$10</f>
        <v>0</v>
      </c>
      <c r="O90" s="0" t="n">
        <f aca="false">J90-K90-M90-N90</f>
        <v>0</v>
      </c>
      <c r="P90" s="0" t="n">
        <f aca="false">Inputs!$D$60-(A90-1)</f>
        <v>-36</v>
      </c>
      <c r="Q90" s="0" t="n">
        <f aca="false">IF(P90&lt;=0,0,IF(A90=1,Inputs!$B$60,V89))</f>
        <v>0</v>
      </c>
      <c r="R90" s="0" t="n">
        <f aca="false">Q90*Inputs!$B$9</f>
        <v>0</v>
      </c>
      <c r="S90" s="0" t="n">
        <f aca="false">(Q90-R90)*Inputs!$C$60/12</f>
        <v>0</v>
      </c>
      <c r="T90" s="0" t="n">
        <f aca="false">IF(P90&lt;=0,0,IF(P90=1,Q90-R90,MIN((Q90-R90)*(Inputs!$C$60/12)/(1-(1+Inputs!$C$60/12)^(-P90))-S90,Q90-R90)))</f>
        <v>0</v>
      </c>
      <c r="U90" s="0" t="n">
        <f aca="false">(Q90-R90-T90)*Inputs!$B$10</f>
        <v>0</v>
      </c>
      <c r="V90" s="0" t="n">
        <f aca="false">Q90-R90-T90-U90</f>
        <v>0</v>
      </c>
      <c r="W90" s="0" t="n">
        <f aca="false">Inputs!$D$61-(A90-1)</f>
        <v>-24</v>
      </c>
      <c r="X90" s="0" t="n">
        <f aca="false">IF(W90&lt;=0,0,IF(A90=1,Inputs!$B$61,AC89))</f>
        <v>0</v>
      </c>
      <c r="Y90" s="0" t="n">
        <f aca="false">X90*Inputs!$B$9</f>
        <v>0</v>
      </c>
      <c r="Z90" s="0" t="n">
        <f aca="false">(X90-Y90)*Inputs!$C$61/12</f>
        <v>0</v>
      </c>
      <c r="AA90" s="0" t="n">
        <f aca="false">IF(W90&lt;=0,0,IF(W90=1,X90-Y90,MIN((X90-Y90)*(Inputs!$C$61/12)/(1-(1+Inputs!$C$61/12)^(-W90))-Z90,X90-Y90)))</f>
        <v>0</v>
      </c>
      <c r="AB90" s="0" t="n">
        <f aca="false">(X90-Y90-AA90)*Inputs!$B$10</f>
        <v>0</v>
      </c>
      <c r="AC90" s="0" t="n">
        <f aca="false">X90-Y90-AA90-AB90</f>
        <v>0</v>
      </c>
      <c r="AD90" s="0" t="n">
        <f aca="false">Inputs!$D$62-(A90-1)</f>
        <v>-24</v>
      </c>
      <c r="AE90" s="0" t="n">
        <f aca="false">IF(AD90&lt;=0,0,IF(A90=1,Inputs!$B$62,AJ89))</f>
        <v>0</v>
      </c>
      <c r="AF90" s="0" t="n">
        <f aca="false">AE90*Inputs!$B$9</f>
        <v>0</v>
      </c>
      <c r="AG90" s="0" t="n">
        <f aca="false">(AE90-AF90)*Inputs!$C$62/12</f>
        <v>0</v>
      </c>
      <c r="AH90" s="0" t="n">
        <f aca="false">IF(AD90&lt;=0,0,IF(AD90=1,AE90-AF90,MIN((AE90-AF90)*(Inputs!$C$62/12)/(1-(1+Inputs!$C$62/12)^(-AD90))-AG90,AE90-AF90)))</f>
        <v>0</v>
      </c>
      <c r="AI90" s="0" t="n">
        <f aca="false">(AE90-AF90-AH90)*Inputs!$B$10</f>
        <v>0</v>
      </c>
      <c r="AJ90" s="0" t="n">
        <f aca="false">AE90-AF90-AH90-AI90</f>
        <v>0</v>
      </c>
      <c r="AK90" s="0" t="n">
        <f aca="false">Inputs!$D$63-(A90-1)</f>
        <v>-24</v>
      </c>
      <c r="AL90" s="0" t="n">
        <f aca="false">IF(AK90&lt;=0,0,IF(A90=1,Inputs!$B$63,AQ89))</f>
        <v>0</v>
      </c>
      <c r="AM90" s="0" t="n">
        <f aca="false">AL90*Inputs!$B$9</f>
        <v>0</v>
      </c>
      <c r="AN90" s="0" t="n">
        <f aca="false">(AL90-AM90)*Inputs!$C$63/12</f>
        <v>0</v>
      </c>
      <c r="AO90" s="0" t="n">
        <f aca="false">IF(AK90&lt;=0,0,IF(AK90=1,AL90-AM90,MIN((AL90-AM90)*(Inputs!$C$63/12)/(1-(1+Inputs!$C$63/12)^(-AK90))-AN90,AL90-AM90)))</f>
        <v>0</v>
      </c>
      <c r="AP90" s="0" t="n">
        <f aca="false">(AL90-AM90-AO90)*Inputs!$B$10</f>
        <v>0</v>
      </c>
      <c r="AQ90" s="0" t="n">
        <f aca="false">AL90-AM90-AO90-AP90</f>
        <v>0</v>
      </c>
      <c r="AR90" s="0" t="n">
        <f aca="false">Inputs!$D$64-(A90-1)</f>
        <v>-12</v>
      </c>
      <c r="AS90" s="0" t="n">
        <f aca="false">IF(AR90&lt;=0,0,IF(A90=1,Inputs!$B$64,AX89))</f>
        <v>0</v>
      </c>
      <c r="AT90" s="0" t="n">
        <f aca="false">AS90*Inputs!$B$9</f>
        <v>0</v>
      </c>
      <c r="AU90" s="0" t="n">
        <f aca="false">(AS90-AT90)*Inputs!$C$64/12</f>
        <v>0</v>
      </c>
      <c r="AV90" s="0" t="n">
        <f aca="false">IF(AR90&lt;=0,0,IF(AR90=1,AS90-AT90,MIN((AS90-AT90)*(Inputs!$C$64/12)/(1-(1+Inputs!$C$64/12)^(-AR90))-AU90,AS90-AT90)))</f>
        <v>0</v>
      </c>
      <c r="AW90" s="0" t="n">
        <f aca="false">(AS90-AT90-AV90)*Inputs!$B$10</f>
        <v>0</v>
      </c>
      <c r="AX90" s="0" t="n">
        <f aca="false">AS90-AT90-AV90-AW90</f>
        <v>0</v>
      </c>
      <c r="AY90" s="0" t="n">
        <f aca="false">Inputs!$D$65-(A90-1)</f>
        <v>-12</v>
      </c>
      <c r="AZ90" s="0" t="n">
        <f aca="false">IF(AY90&lt;=0,0,IF(A90=1,Inputs!$B$65,BE89))</f>
        <v>0</v>
      </c>
      <c r="BA90" s="0" t="n">
        <f aca="false">AZ90*Inputs!$B$9</f>
        <v>0</v>
      </c>
      <c r="BB90" s="0" t="n">
        <f aca="false">(AZ90-BA90)*Inputs!$C$65/12</f>
        <v>0</v>
      </c>
      <c r="BC90" s="0" t="n">
        <f aca="false">IF(AY90&lt;=0,0,IF(AY90=1,AZ90-BA90,MIN((AZ90-BA90)*(Inputs!$C$65/12)/(1-(1+Inputs!$C$65/12)^(-AY90))-BB90,AZ90-BA90)))</f>
        <v>0</v>
      </c>
      <c r="BD90" s="0" t="n">
        <f aca="false">(AZ90-BA90-BC90)*Inputs!$B$10</f>
        <v>0</v>
      </c>
      <c r="BE90" s="0" t="n">
        <f aca="false">AZ90-BA90-BC90-BD90</f>
        <v>0</v>
      </c>
      <c r="BF90" s="0" t="n">
        <f aca="false">Inputs!$D$66-(A90-1)</f>
        <v>0</v>
      </c>
      <c r="BG90" s="0" t="n">
        <f aca="false">IF(BF90&lt;=0,0,IF(A90=1,Inputs!$B$66,BL89))</f>
        <v>0</v>
      </c>
      <c r="BH90" s="0" t="n">
        <f aca="false">BG90*Inputs!$B$9</f>
        <v>0</v>
      </c>
      <c r="BI90" s="0" t="n">
        <f aca="false">(BG90-BH90)*Inputs!$C$66/12</f>
        <v>0</v>
      </c>
      <c r="BJ90" s="0" t="n">
        <f aca="false">IF(BF90&lt;=0,0,IF(BF90=1,BG90-BH90,MIN((BG90-BH90)*(Inputs!$C$66/12)/(1-(1+Inputs!$C$66/12)^(-BF90))-BI90,BG90-BH90)))</f>
        <v>0</v>
      </c>
      <c r="BK90" s="0" t="n">
        <f aca="false">(BG90-BH90-BJ90)*Inputs!$B$10</f>
        <v>0</v>
      </c>
      <c r="BL90" s="0" t="n">
        <f aca="false">BG90-BH90-BJ90-BK90</f>
        <v>0</v>
      </c>
      <c r="BM90" s="0" t="n">
        <f aca="false">Inputs!$D$67-(A90-1)</f>
        <v>0</v>
      </c>
      <c r="BN90" s="0" t="n">
        <f aca="false">IF(BM90&lt;=0,0,IF(A90=1,Inputs!$B$67,BS89))</f>
        <v>0</v>
      </c>
      <c r="BO90" s="0" t="n">
        <f aca="false">BN90*Inputs!$B$9</f>
        <v>0</v>
      </c>
      <c r="BP90" s="0" t="n">
        <f aca="false">(BN90-BO90)*Inputs!$C$67/12</f>
        <v>0</v>
      </c>
      <c r="BQ90" s="0" t="n">
        <f aca="false">IF(BM90&lt;=0,0,IF(BM90=1,BN90-BO90,MIN((BN90-BO90)*(Inputs!$C$67/12)/(1-(1+Inputs!$C$67/12)^(-BM90))-BP90,BN90-BO90)))</f>
        <v>0</v>
      </c>
      <c r="BR90" s="0" t="n">
        <f aca="false">(BN90-BO90-BQ90)*Inputs!$B$10</f>
        <v>0</v>
      </c>
      <c r="BS90" s="0" t="n">
        <f aca="false">BN90-BO90-BQ90-BR90</f>
        <v>0</v>
      </c>
      <c r="BT90" s="0" t="n">
        <f aca="false">C90+J90+Q90+X90+AE90+AL90+AS90+AZ90+BG90+BN90</f>
        <v>0</v>
      </c>
      <c r="BU90" s="0" t="n">
        <f aca="false">D90+K90+R90+Y90+AF90+AM90+AT90+BA90+BH90+BO90</f>
        <v>0</v>
      </c>
      <c r="BV90" s="0" t="n">
        <f aca="false">E90+L90+S90+Z90+AG90+AN90+AU90+BB90+BI90+BP90</f>
        <v>0</v>
      </c>
      <c r="BW90" s="0" t="n">
        <f aca="false">F90+M90+T90+AA90+AH90+AO90+AV90+BC90+BJ90+BQ90</f>
        <v>0</v>
      </c>
      <c r="BX90" s="0" t="n">
        <f aca="false">G90+N90+U90+AB90+AI90+AP90+AW90+BD90+BK90+BR90</f>
        <v>0</v>
      </c>
      <c r="BY90" s="0" t="n">
        <f aca="false">H90+O90+V90+AC90+AJ90+AQ90+AX90+BE90+BL90+BS90</f>
        <v>0</v>
      </c>
      <c r="BZ90" s="0" t="n">
        <f aca="false">IF(A90&gt;Inputs!$B$7,(1-Inputs!$B$6)*INDEX($BU$6:$BU$125,A90-Inputs!$B$7),0)</f>
        <v>5197.39619538878</v>
      </c>
      <c r="CA90" s="0" t="n">
        <f aca="false">CA89+(1-Inputs!$B$6)*BU90-BZ90</f>
        <v>12787.8027923444</v>
      </c>
      <c r="CB90" s="0" t="n">
        <f aca="false">BY90+CA90</f>
        <v>12787.8027923444</v>
      </c>
      <c r="CC90" s="0" t="n">
        <f aca="false">BV90+BW90+BX90+BZ90</f>
        <v>5197.39619538878</v>
      </c>
      <c r="CD90" s="0" t="n">
        <f aca="false">CD89+BU90-BZ90</f>
        <v>10926680.9256017</v>
      </c>
    </row>
    <row r="91" customFormat="false" ht="15" hidden="false" customHeight="false" outlineLevel="0" collapsed="false">
      <c r="A91" s="0" t="n">
        <f aca="false">ROW()-5</f>
        <v>86</v>
      </c>
      <c r="B91" s="0" t="n">
        <f aca="false">Inputs!$D$58-(A91-1)</f>
        <v>-49</v>
      </c>
      <c r="C91" s="0" t="n">
        <f aca="false">IF(B91&lt;=0,0,IF(A91=1,Inputs!$B$58,H90))</f>
        <v>0</v>
      </c>
      <c r="D91" s="0" t="n">
        <f aca="false">C91*Inputs!$B$9</f>
        <v>0</v>
      </c>
      <c r="E91" s="0" t="n">
        <f aca="false">(C91-D91)*Inputs!$C$58/12</f>
        <v>0</v>
      </c>
      <c r="F91" s="0" t="n">
        <f aca="false">IF(B91&lt;=0,0,IF(B91=1,C91-D91,MIN((C91-D91)*(Inputs!$C$58/12)/(1-(1+Inputs!$C$58/12)^(-B91))-E91,C91-D91)))</f>
        <v>0</v>
      </c>
      <c r="G91" s="0" t="n">
        <f aca="false">(C91-D91-F91)*Inputs!$B$10</f>
        <v>0</v>
      </c>
      <c r="H91" s="0" t="n">
        <f aca="false">C91-D91-F91-G91</f>
        <v>0</v>
      </c>
      <c r="I91" s="0" t="n">
        <f aca="false">Inputs!$D$59-(A91-1)</f>
        <v>-37</v>
      </c>
      <c r="J91" s="0" t="n">
        <f aca="false">IF(I91&lt;=0,0,IF(A91=1,Inputs!$B$59,O90))</f>
        <v>0</v>
      </c>
      <c r="K91" s="0" t="n">
        <f aca="false">J91*Inputs!$B$9</f>
        <v>0</v>
      </c>
      <c r="L91" s="0" t="n">
        <f aca="false">(J91-K91)*Inputs!$C$59/12</f>
        <v>0</v>
      </c>
      <c r="M91" s="0" t="n">
        <f aca="false">IF(I91&lt;=0,0,IF(I91=1,J91-K91,MIN((J91-K91)*(Inputs!$C$59/12)/(1-(1+Inputs!$C$59/12)^(-I91))-L91,J91-K91)))</f>
        <v>0</v>
      </c>
      <c r="N91" s="0" t="n">
        <f aca="false">(J91-K91-M91)*Inputs!$B$10</f>
        <v>0</v>
      </c>
      <c r="O91" s="0" t="n">
        <f aca="false">J91-K91-M91-N91</f>
        <v>0</v>
      </c>
      <c r="P91" s="0" t="n">
        <f aca="false">Inputs!$D$60-(A91-1)</f>
        <v>-37</v>
      </c>
      <c r="Q91" s="0" t="n">
        <f aca="false">IF(P91&lt;=0,0,IF(A91=1,Inputs!$B$60,V90))</f>
        <v>0</v>
      </c>
      <c r="R91" s="0" t="n">
        <f aca="false">Q91*Inputs!$B$9</f>
        <v>0</v>
      </c>
      <c r="S91" s="0" t="n">
        <f aca="false">(Q91-R91)*Inputs!$C$60/12</f>
        <v>0</v>
      </c>
      <c r="T91" s="0" t="n">
        <f aca="false">IF(P91&lt;=0,0,IF(P91=1,Q91-R91,MIN((Q91-R91)*(Inputs!$C$60/12)/(1-(1+Inputs!$C$60/12)^(-P91))-S91,Q91-R91)))</f>
        <v>0</v>
      </c>
      <c r="U91" s="0" t="n">
        <f aca="false">(Q91-R91-T91)*Inputs!$B$10</f>
        <v>0</v>
      </c>
      <c r="V91" s="0" t="n">
        <f aca="false">Q91-R91-T91-U91</f>
        <v>0</v>
      </c>
      <c r="W91" s="0" t="n">
        <f aca="false">Inputs!$D$61-(A91-1)</f>
        <v>-25</v>
      </c>
      <c r="X91" s="0" t="n">
        <f aca="false">IF(W91&lt;=0,0,IF(A91=1,Inputs!$B$61,AC90))</f>
        <v>0</v>
      </c>
      <c r="Y91" s="0" t="n">
        <f aca="false">X91*Inputs!$B$9</f>
        <v>0</v>
      </c>
      <c r="Z91" s="0" t="n">
        <f aca="false">(X91-Y91)*Inputs!$C$61/12</f>
        <v>0</v>
      </c>
      <c r="AA91" s="0" t="n">
        <f aca="false">IF(W91&lt;=0,0,IF(W91=1,X91-Y91,MIN((X91-Y91)*(Inputs!$C$61/12)/(1-(1+Inputs!$C$61/12)^(-W91))-Z91,X91-Y91)))</f>
        <v>0</v>
      </c>
      <c r="AB91" s="0" t="n">
        <f aca="false">(X91-Y91-AA91)*Inputs!$B$10</f>
        <v>0</v>
      </c>
      <c r="AC91" s="0" t="n">
        <f aca="false">X91-Y91-AA91-AB91</f>
        <v>0</v>
      </c>
      <c r="AD91" s="0" t="n">
        <f aca="false">Inputs!$D$62-(A91-1)</f>
        <v>-25</v>
      </c>
      <c r="AE91" s="0" t="n">
        <f aca="false">IF(AD91&lt;=0,0,IF(A91=1,Inputs!$B$62,AJ90))</f>
        <v>0</v>
      </c>
      <c r="AF91" s="0" t="n">
        <f aca="false">AE91*Inputs!$B$9</f>
        <v>0</v>
      </c>
      <c r="AG91" s="0" t="n">
        <f aca="false">(AE91-AF91)*Inputs!$C$62/12</f>
        <v>0</v>
      </c>
      <c r="AH91" s="0" t="n">
        <f aca="false">IF(AD91&lt;=0,0,IF(AD91=1,AE91-AF91,MIN((AE91-AF91)*(Inputs!$C$62/12)/(1-(1+Inputs!$C$62/12)^(-AD91))-AG91,AE91-AF91)))</f>
        <v>0</v>
      </c>
      <c r="AI91" s="0" t="n">
        <f aca="false">(AE91-AF91-AH91)*Inputs!$B$10</f>
        <v>0</v>
      </c>
      <c r="AJ91" s="0" t="n">
        <f aca="false">AE91-AF91-AH91-AI91</f>
        <v>0</v>
      </c>
      <c r="AK91" s="0" t="n">
        <f aca="false">Inputs!$D$63-(A91-1)</f>
        <v>-25</v>
      </c>
      <c r="AL91" s="0" t="n">
        <f aca="false">IF(AK91&lt;=0,0,IF(A91=1,Inputs!$B$63,AQ90))</f>
        <v>0</v>
      </c>
      <c r="AM91" s="0" t="n">
        <f aca="false">AL91*Inputs!$B$9</f>
        <v>0</v>
      </c>
      <c r="AN91" s="0" t="n">
        <f aca="false">(AL91-AM91)*Inputs!$C$63/12</f>
        <v>0</v>
      </c>
      <c r="AO91" s="0" t="n">
        <f aca="false">IF(AK91&lt;=0,0,IF(AK91=1,AL91-AM91,MIN((AL91-AM91)*(Inputs!$C$63/12)/(1-(1+Inputs!$C$63/12)^(-AK91))-AN91,AL91-AM91)))</f>
        <v>0</v>
      </c>
      <c r="AP91" s="0" t="n">
        <f aca="false">(AL91-AM91-AO91)*Inputs!$B$10</f>
        <v>0</v>
      </c>
      <c r="AQ91" s="0" t="n">
        <f aca="false">AL91-AM91-AO91-AP91</f>
        <v>0</v>
      </c>
      <c r="AR91" s="0" t="n">
        <f aca="false">Inputs!$D$64-(A91-1)</f>
        <v>-13</v>
      </c>
      <c r="AS91" s="0" t="n">
        <f aca="false">IF(AR91&lt;=0,0,IF(A91=1,Inputs!$B$64,AX90))</f>
        <v>0</v>
      </c>
      <c r="AT91" s="0" t="n">
        <f aca="false">AS91*Inputs!$B$9</f>
        <v>0</v>
      </c>
      <c r="AU91" s="0" t="n">
        <f aca="false">(AS91-AT91)*Inputs!$C$64/12</f>
        <v>0</v>
      </c>
      <c r="AV91" s="0" t="n">
        <f aca="false">IF(AR91&lt;=0,0,IF(AR91=1,AS91-AT91,MIN((AS91-AT91)*(Inputs!$C$64/12)/(1-(1+Inputs!$C$64/12)^(-AR91))-AU91,AS91-AT91)))</f>
        <v>0</v>
      </c>
      <c r="AW91" s="0" t="n">
        <f aca="false">(AS91-AT91-AV91)*Inputs!$B$10</f>
        <v>0</v>
      </c>
      <c r="AX91" s="0" t="n">
        <f aca="false">AS91-AT91-AV91-AW91</f>
        <v>0</v>
      </c>
      <c r="AY91" s="0" t="n">
        <f aca="false">Inputs!$D$65-(A91-1)</f>
        <v>-13</v>
      </c>
      <c r="AZ91" s="0" t="n">
        <f aca="false">IF(AY91&lt;=0,0,IF(A91=1,Inputs!$B$65,BE90))</f>
        <v>0</v>
      </c>
      <c r="BA91" s="0" t="n">
        <f aca="false">AZ91*Inputs!$B$9</f>
        <v>0</v>
      </c>
      <c r="BB91" s="0" t="n">
        <f aca="false">(AZ91-BA91)*Inputs!$C$65/12</f>
        <v>0</v>
      </c>
      <c r="BC91" s="0" t="n">
        <f aca="false">IF(AY91&lt;=0,0,IF(AY91=1,AZ91-BA91,MIN((AZ91-BA91)*(Inputs!$C$65/12)/(1-(1+Inputs!$C$65/12)^(-AY91))-BB91,AZ91-BA91)))</f>
        <v>0</v>
      </c>
      <c r="BD91" s="0" t="n">
        <f aca="false">(AZ91-BA91-BC91)*Inputs!$B$10</f>
        <v>0</v>
      </c>
      <c r="BE91" s="0" t="n">
        <f aca="false">AZ91-BA91-BC91-BD91</f>
        <v>0</v>
      </c>
      <c r="BF91" s="0" t="n">
        <f aca="false">Inputs!$D$66-(A91-1)</f>
        <v>-1</v>
      </c>
      <c r="BG91" s="0" t="n">
        <f aca="false">IF(BF91&lt;=0,0,IF(A91=1,Inputs!$B$66,BL90))</f>
        <v>0</v>
      </c>
      <c r="BH91" s="0" t="n">
        <f aca="false">BG91*Inputs!$B$9</f>
        <v>0</v>
      </c>
      <c r="BI91" s="0" t="n">
        <f aca="false">(BG91-BH91)*Inputs!$C$66/12</f>
        <v>0</v>
      </c>
      <c r="BJ91" s="0" t="n">
        <f aca="false">IF(BF91&lt;=0,0,IF(BF91=1,BG91-BH91,MIN((BG91-BH91)*(Inputs!$C$66/12)/(1-(1+Inputs!$C$66/12)^(-BF91))-BI91,BG91-BH91)))</f>
        <v>0</v>
      </c>
      <c r="BK91" s="0" t="n">
        <f aca="false">(BG91-BH91-BJ91)*Inputs!$B$10</f>
        <v>0</v>
      </c>
      <c r="BL91" s="0" t="n">
        <f aca="false">BG91-BH91-BJ91-BK91</f>
        <v>0</v>
      </c>
      <c r="BM91" s="0" t="n">
        <f aca="false">Inputs!$D$67-(A91-1)</f>
        <v>-1</v>
      </c>
      <c r="BN91" s="0" t="n">
        <f aca="false">IF(BM91&lt;=0,0,IF(A91=1,Inputs!$B$67,BS90))</f>
        <v>0</v>
      </c>
      <c r="BO91" s="0" t="n">
        <f aca="false">BN91*Inputs!$B$9</f>
        <v>0</v>
      </c>
      <c r="BP91" s="0" t="n">
        <f aca="false">(BN91-BO91)*Inputs!$C$67/12</f>
        <v>0</v>
      </c>
      <c r="BQ91" s="0" t="n">
        <f aca="false">IF(BM91&lt;=0,0,IF(BM91=1,BN91-BO91,MIN((BN91-BO91)*(Inputs!$C$67/12)/(1-(1+Inputs!$C$67/12)^(-BM91))-BP91,BN91-BO91)))</f>
        <v>0</v>
      </c>
      <c r="BR91" s="0" t="n">
        <f aca="false">(BN91-BO91-BQ91)*Inputs!$B$10</f>
        <v>0</v>
      </c>
      <c r="BS91" s="0" t="n">
        <f aca="false">BN91-BO91-BQ91-BR91</f>
        <v>0</v>
      </c>
      <c r="BT91" s="0" t="n">
        <f aca="false">C91+J91+Q91+X91+AE91+AL91+AS91+AZ91+BG91+BN91</f>
        <v>0</v>
      </c>
      <c r="BU91" s="0" t="n">
        <f aca="false">D91+K91+R91+Y91+AF91+AM91+AT91+BA91+BH91+BO91</f>
        <v>0</v>
      </c>
      <c r="BV91" s="0" t="n">
        <f aca="false">E91+L91+S91+Z91+AG91+AN91+AU91+BB91+BI91+BP91</f>
        <v>0</v>
      </c>
      <c r="BW91" s="0" t="n">
        <f aca="false">F91+M91+T91+AA91+AH91+AO91+AV91+BC91+BJ91+BQ91</f>
        <v>0</v>
      </c>
      <c r="BX91" s="0" t="n">
        <f aca="false">G91+N91+U91+AB91+AI91+AP91+AW91+BD91+BK91+BR91</f>
        <v>0</v>
      </c>
      <c r="BY91" s="0" t="n">
        <f aca="false">H91+O91+V91+AC91+AJ91+AQ91+AX91+BE91+BL91+BS91</f>
        <v>0</v>
      </c>
      <c r="BZ91" s="0" t="n">
        <f aca="false">IF(A91&gt;Inputs!$B$7,(1-Inputs!$B$6)*INDEX($BU$6:$BU$125,A91-Inputs!$B$7),0)</f>
        <v>4301.54941454177</v>
      </c>
      <c r="CA91" s="0" t="n">
        <f aca="false">CA90+(1-Inputs!$B$6)*BU91-BZ91</f>
        <v>8486.25337780265</v>
      </c>
      <c r="CB91" s="0" t="n">
        <f aca="false">BY91+CA91</f>
        <v>8486.25337780265</v>
      </c>
      <c r="CC91" s="0" t="n">
        <f aca="false">BV91+BW91+BX91+BZ91</f>
        <v>4301.54941454177</v>
      </c>
      <c r="CD91" s="0" t="n">
        <f aca="false">CD90+BU91-BZ91</f>
        <v>10922379.3761872</v>
      </c>
    </row>
    <row r="92" customFormat="false" ht="15" hidden="false" customHeight="false" outlineLevel="0" collapsed="false">
      <c r="A92" s="0" t="n">
        <f aca="false">ROW()-5</f>
        <v>87</v>
      </c>
      <c r="B92" s="0" t="n">
        <f aca="false">Inputs!$D$58-(A92-1)</f>
        <v>-50</v>
      </c>
      <c r="C92" s="0" t="n">
        <f aca="false">IF(B92&lt;=0,0,IF(A92=1,Inputs!$B$58,H91))</f>
        <v>0</v>
      </c>
      <c r="D92" s="0" t="n">
        <f aca="false">C92*Inputs!$B$9</f>
        <v>0</v>
      </c>
      <c r="E92" s="0" t="n">
        <f aca="false">(C92-D92)*Inputs!$C$58/12</f>
        <v>0</v>
      </c>
      <c r="F92" s="0" t="n">
        <f aca="false">IF(B92&lt;=0,0,IF(B92=1,C92-D92,MIN((C92-D92)*(Inputs!$C$58/12)/(1-(1+Inputs!$C$58/12)^(-B92))-E92,C92-D92)))</f>
        <v>0</v>
      </c>
      <c r="G92" s="0" t="n">
        <f aca="false">(C92-D92-F92)*Inputs!$B$10</f>
        <v>0</v>
      </c>
      <c r="H92" s="0" t="n">
        <f aca="false">C92-D92-F92-G92</f>
        <v>0</v>
      </c>
      <c r="I92" s="0" t="n">
        <f aca="false">Inputs!$D$59-(A92-1)</f>
        <v>-38</v>
      </c>
      <c r="J92" s="0" t="n">
        <f aca="false">IF(I92&lt;=0,0,IF(A92=1,Inputs!$B$59,O91))</f>
        <v>0</v>
      </c>
      <c r="K92" s="0" t="n">
        <f aca="false">J92*Inputs!$B$9</f>
        <v>0</v>
      </c>
      <c r="L92" s="0" t="n">
        <f aca="false">(J92-K92)*Inputs!$C$59/12</f>
        <v>0</v>
      </c>
      <c r="M92" s="0" t="n">
        <f aca="false">IF(I92&lt;=0,0,IF(I92=1,J92-K92,MIN((J92-K92)*(Inputs!$C$59/12)/(1-(1+Inputs!$C$59/12)^(-I92))-L92,J92-K92)))</f>
        <v>0</v>
      </c>
      <c r="N92" s="0" t="n">
        <f aca="false">(J92-K92-M92)*Inputs!$B$10</f>
        <v>0</v>
      </c>
      <c r="O92" s="0" t="n">
        <f aca="false">J92-K92-M92-N92</f>
        <v>0</v>
      </c>
      <c r="P92" s="0" t="n">
        <f aca="false">Inputs!$D$60-(A92-1)</f>
        <v>-38</v>
      </c>
      <c r="Q92" s="0" t="n">
        <f aca="false">IF(P92&lt;=0,0,IF(A92=1,Inputs!$B$60,V91))</f>
        <v>0</v>
      </c>
      <c r="R92" s="0" t="n">
        <f aca="false">Q92*Inputs!$B$9</f>
        <v>0</v>
      </c>
      <c r="S92" s="0" t="n">
        <f aca="false">(Q92-R92)*Inputs!$C$60/12</f>
        <v>0</v>
      </c>
      <c r="T92" s="0" t="n">
        <f aca="false">IF(P92&lt;=0,0,IF(P92=1,Q92-R92,MIN((Q92-R92)*(Inputs!$C$60/12)/(1-(1+Inputs!$C$60/12)^(-P92))-S92,Q92-R92)))</f>
        <v>0</v>
      </c>
      <c r="U92" s="0" t="n">
        <f aca="false">(Q92-R92-T92)*Inputs!$B$10</f>
        <v>0</v>
      </c>
      <c r="V92" s="0" t="n">
        <f aca="false">Q92-R92-T92-U92</f>
        <v>0</v>
      </c>
      <c r="W92" s="0" t="n">
        <f aca="false">Inputs!$D$61-(A92-1)</f>
        <v>-26</v>
      </c>
      <c r="X92" s="0" t="n">
        <f aca="false">IF(W92&lt;=0,0,IF(A92=1,Inputs!$B$61,AC91))</f>
        <v>0</v>
      </c>
      <c r="Y92" s="0" t="n">
        <f aca="false">X92*Inputs!$B$9</f>
        <v>0</v>
      </c>
      <c r="Z92" s="0" t="n">
        <f aca="false">(X92-Y92)*Inputs!$C$61/12</f>
        <v>0</v>
      </c>
      <c r="AA92" s="0" t="n">
        <f aca="false">IF(W92&lt;=0,0,IF(W92=1,X92-Y92,MIN((X92-Y92)*(Inputs!$C$61/12)/(1-(1+Inputs!$C$61/12)^(-W92))-Z92,X92-Y92)))</f>
        <v>0</v>
      </c>
      <c r="AB92" s="0" t="n">
        <f aca="false">(X92-Y92-AA92)*Inputs!$B$10</f>
        <v>0</v>
      </c>
      <c r="AC92" s="0" t="n">
        <f aca="false">X92-Y92-AA92-AB92</f>
        <v>0</v>
      </c>
      <c r="AD92" s="0" t="n">
        <f aca="false">Inputs!$D$62-(A92-1)</f>
        <v>-26</v>
      </c>
      <c r="AE92" s="0" t="n">
        <f aca="false">IF(AD92&lt;=0,0,IF(A92=1,Inputs!$B$62,AJ91))</f>
        <v>0</v>
      </c>
      <c r="AF92" s="0" t="n">
        <f aca="false">AE92*Inputs!$B$9</f>
        <v>0</v>
      </c>
      <c r="AG92" s="0" t="n">
        <f aca="false">(AE92-AF92)*Inputs!$C$62/12</f>
        <v>0</v>
      </c>
      <c r="AH92" s="0" t="n">
        <f aca="false">IF(AD92&lt;=0,0,IF(AD92=1,AE92-AF92,MIN((AE92-AF92)*(Inputs!$C$62/12)/(1-(1+Inputs!$C$62/12)^(-AD92))-AG92,AE92-AF92)))</f>
        <v>0</v>
      </c>
      <c r="AI92" s="0" t="n">
        <f aca="false">(AE92-AF92-AH92)*Inputs!$B$10</f>
        <v>0</v>
      </c>
      <c r="AJ92" s="0" t="n">
        <f aca="false">AE92-AF92-AH92-AI92</f>
        <v>0</v>
      </c>
      <c r="AK92" s="0" t="n">
        <f aca="false">Inputs!$D$63-(A92-1)</f>
        <v>-26</v>
      </c>
      <c r="AL92" s="0" t="n">
        <f aca="false">IF(AK92&lt;=0,0,IF(A92=1,Inputs!$B$63,AQ91))</f>
        <v>0</v>
      </c>
      <c r="AM92" s="0" t="n">
        <f aca="false">AL92*Inputs!$B$9</f>
        <v>0</v>
      </c>
      <c r="AN92" s="0" t="n">
        <f aca="false">(AL92-AM92)*Inputs!$C$63/12</f>
        <v>0</v>
      </c>
      <c r="AO92" s="0" t="n">
        <f aca="false">IF(AK92&lt;=0,0,IF(AK92=1,AL92-AM92,MIN((AL92-AM92)*(Inputs!$C$63/12)/(1-(1+Inputs!$C$63/12)^(-AK92))-AN92,AL92-AM92)))</f>
        <v>0</v>
      </c>
      <c r="AP92" s="0" t="n">
        <f aca="false">(AL92-AM92-AO92)*Inputs!$B$10</f>
        <v>0</v>
      </c>
      <c r="AQ92" s="0" t="n">
        <f aca="false">AL92-AM92-AO92-AP92</f>
        <v>0</v>
      </c>
      <c r="AR92" s="0" t="n">
        <f aca="false">Inputs!$D$64-(A92-1)</f>
        <v>-14</v>
      </c>
      <c r="AS92" s="0" t="n">
        <f aca="false">IF(AR92&lt;=0,0,IF(A92=1,Inputs!$B$64,AX91))</f>
        <v>0</v>
      </c>
      <c r="AT92" s="0" t="n">
        <f aca="false">AS92*Inputs!$B$9</f>
        <v>0</v>
      </c>
      <c r="AU92" s="0" t="n">
        <f aca="false">(AS92-AT92)*Inputs!$C$64/12</f>
        <v>0</v>
      </c>
      <c r="AV92" s="0" t="n">
        <f aca="false">IF(AR92&lt;=0,0,IF(AR92=1,AS92-AT92,MIN((AS92-AT92)*(Inputs!$C$64/12)/(1-(1+Inputs!$C$64/12)^(-AR92))-AU92,AS92-AT92)))</f>
        <v>0</v>
      </c>
      <c r="AW92" s="0" t="n">
        <f aca="false">(AS92-AT92-AV92)*Inputs!$B$10</f>
        <v>0</v>
      </c>
      <c r="AX92" s="0" t="n">
        <f aca="false">AS92-AT92-AV92-AW92</f>
        <v>0</v>
      </c>
      <c r="AY92" s="0" t="n">
        <f aca="false">Inputs!$D$65-(A92-1)</f>
        <v>-14</v>
      </c>
      <c r="AZ92" s="0" t="n">
        <f aca="false">IF(AY92&lt;=0,0,IF(A92=1,Inputs!$B$65,BE91))</f>
        <v>0</v>
      </c>
      <c r="BA92" s="0" t="n">
        <f aca="false">AZ92*Inputs!$B$9</f>
        <v>0</v>
      </c>
      <c r="BB92" s="0" t="n">
        <f aca="false">(AZ92-BA92)*Inputs!$C$65/12</f>
        <v>0</v>
      </c>
      <c r="BC92" s="0" t="n">
        <f aca="false">IF(AY92&lt;=0,0,IF(AY92=1,AZ92-BA92,MIN((AZ92-BA92)*(Inputs!$C$65/12)/(1-(1+Inputs!$C$65/12)^(-AY92))-BB92,AZ92-BA92)))</f>
        <v>0</v>
      </c>
      <c r="BD92" s="0" t="n">
        <f aca="false">(AZ92-BA92-BC92)*Inputs!$B$10</f>
        <v>0</v>
      </c>
      <c r="BE92" s="0" t="n">
        <f aca="false">AZ92-BA92-BC92-BD92</f>
        <v>0</v>
      </c>
      <c r="BF92" s="0" t="n">
        <f aca="false">Inputs!$D$66-(A92-1)</f>
        <v>-2</v>
      </c>
      <c r="BG92" s="0" t="n">
        <f aca="false">IF(BF92&lt;=0,0,IF(A92=1,Inputs!$B$66,BL91))</f>
        <v>0</v>
      </c>
      <c r="BH92" s="0" t="n">
        <f aca="false">BG92*Inputs!$B$9</f>
        <v>0</v>
      </c>
      <c r="BI92" s="0" t="n">
        <f aca="false">(BG92-BH92)*Inputs!$C$66/12</f>
        <v>0</v>
      </c>
      <c r="BJ92" s="0" t="n">
        <f aca="false">IF(BF92&lt;=0,0,IF(BF92=1,BG92-BH92,MIN((BG92-BH92)*(Inputs!$C$66/12)/(1-(1+Inputs!$C$66/12)^(-BF92))-BI92,BG92-BH92)))</f>
        <v>0</v>
      </c>
      <c r="BK92" s="0" t="n">
        <f aca="false">(BG92-BH92-BJ92)*Inputs!$B$10</f>
        <v>0</v>
      </c>
      <c r="BL92" s="0" t="n">
        <f aca="false">BG92-BH92-BJ92-BK92</f>
        <v>0</v>
      </c>
      <c r="BM92" s="0" t="n">
        <f aca="false">Inputs!$D$67-(A92-1)</f>
        <v>-2</v>
      </c>
      <c r="BN92" s="0" t="n">
        <f aca="false">IF(BM92&lt;=0,0,IF(A92=1,Inputs!$B$67,BS91))</f>
        <v>0</v>
      </c>
      <c r="BO92" s="0" t="n">
        <f aca="false">BN92*Inputs!$B$9</f>
        <v>0</v>
      </c>
      <c r="BP92" s="0" t="n">
        <f aca="false">(BN92-BO92)*Inputs!$C$67/12</f>
        <v>0</v>
      </c>
      <c r="BQ92" s="0" t="n">
        <f aca="false">IF(BM92&lt;=0,0,IF(BM92=1,BN92-BO92,MIN((BN92-BO92)*(Inputs!$C$67/12)/(1-(1+Inputs!$C$67/12)^(-BM92))-BP92,BN92-BO92)))</f>
        <v>0</v>
      </c>
      <c r="BR92" s="0" t="n">
        <f aca="false">(BN92-BO92-BQ92)*Inputs!$B$10</f>
        <v>0</v>
      </c>
      <c r="BS92" s="0" t="n">
        <f aca="false">BN92-BO92-BQ92-BR92</f>
        <v>0</v>
      </c>
      <c r="BT92" s="0" t="n">
        <f aca="false">C92+J92+Q92+X92+AE92+AL92+AS92+AZ92+BG92+BN92</f>
        <v>0</v>
      </c>
      <c r="BU92" s="0" t="n">
        <f aca="false">D92+K92+R92+Y92+AF92+AM92+AT92+BA92+BH92+BO92</f>
        <v>0</v>
      </c>
      <c r="BV92" s="0" t="n">
        <f aca="false">E92+L92+S92+Z92+AG92+AN92+AU92+BB92+BI92+BP92</f>
        <v>0</v>
      </c>
      <c r="BW92" s="0" t="n">
        <f aca="false">F92+M92+T92+AA92+AH92+AO92+AV92+BC92+BJ92+BQ92</f>
        <v>0</v>
      </c>
      <c r="BX92" s="0" t="n">
        <f aca="false">G92+N92+U92+AB92+AI92+AP92+AW92+BD92+BK92+BR92</f>
        <v>0</v>
      </c>
      <c r="BY92" s="0" t="n">
        <f aca="false">H92+O92+V92+AC92+AJ92+AQ92+AX92+BE92+BL92+BS92</f>
        <v>0</v>
      </c>
      <c r="BZ92" s="0" t="n">
        <f aca="false">IF(A92&gt;Inputs!$B$7,(1-Inputs!$B$6)*INDEX($BU$6:$BU$125,A92-Inputs!$B$7),0)</f>
        <v>3417.73331086387</v>
      </c>
      <c r="CA92" s="0" t="n">
        <f aca="false">CA91+(1-Inputs!$B$6)*BU92-BZ92</f>
        <v>5068.52006693879</v>
      </c>
      <c r="CB92" s="0" t="n">
        <f aca="false">BY92+CA92</f>
        <v>5068.52006693879</v>
      </c>
      <c r="CC92" s="0" t="n">
        <f aca="false">BV92+BW92+BX92+BZ92</f>
        <v>3417.73331086387</v>
      </c>
      <c r="CD92" s="0" t="n">
        <f aca="false">CD91+BU92-BZ92</f>
        <v>10918961.6428763</v>
      </c>
    </row>
    <row r="93" customFormat="false" ht="15" hidden="false" customHeight="false" outlineLevel="0" collapsed="false">
      <c r="A93" s="0" t="n">
        <f aca="false">ROW()-5</f>
        <v>88</v>
      </c>
      <c r="B93" s="0" t="n">
        <f aca="false">Inputs!$D$58-(A93-1)</f>
        <v>-51</v>
      </c>
      <c r="C93" s="0" t="n">
        <f aca="false">IF(B93&lt;=0,0,IF(A93=1,Inputs!$B$58,H92))</f>
        <v>0</v>
      </c>
      <c r="D93" s="0" t="n">
        <f aca="false">C93*Inputs!$B$9</f>
        <v>0</v>
      </c>
      <c r="E93" s="0" t="n">
        <f aca="false">(C93-D93)*Inputs!$C$58/12</f>
        <v>0</v>
      </c>
      <c r="F93" s="0" t="n">
        <f aca="false">IF(B93&lt;=0,0,IF(B93=1,C93-D93,MIN((C93-D93)*(Inputs!$C$58/12)/(1-(1+Inputs!$C$58/12)^(-B93))-E93,C93-D93)))</f>
        <v>0</v>
      </c>
      <c r="G93" s="0" t="n">
        <f aca="false">(C93-D93-F93)*Inputs!$B$10</f>
        <v>0</v>
      </c>
      <c r="H93" s="0" t="n">
        <f aca="false">C93-D93-F93-G93</f>
        <v>0</v>
      </c>
      <c r="I93" s="0" t="n">
        <f aca="false">Inputs!$D$59-(A93-1)</f>
        <v>-39</v>
      </c>
      <c r="J93" s="0" t="n">
        <f aca="false">IF(I93&lt;=0,0,IF(A93=1,Inputs!$B$59,O92))</f>
        <v>0</v>
      </c>
      <c r="K93" s="0" t="n">
        <f aca="false">J93*Inputs!$B$9</f>
        <v>0</v>
      </c>
      <c r="L93" s="0" t="n">
        <f aca="false">(J93-K93)*Inputs!$C$59/12</f>
        <v>0</v>
      </c>
      <c r="M93" s="0" t="n">
        <f aca="false">IF(I93&lt;=0,0,IF(I93=1,J93-K93,MIN((J93-K93)*(Inputs!$C$59/12)/(1-(1+Inputs!$C$59/12)^(-I93))-L93,J93-K93)))</f>
        <v>0</v>
      </c>
      <c r="N93" s="0" t="n">
        <f aca="false">(J93-K93-M93)*Inputs!$B$10</f>
        <v>0</v>
      </c>
      <c r="O93" s="0" t="n">
        <f aca="false">J93-K93-M93-N93</f>
        <v>0</v>
      </c>
      <c r="P93" s="0" t="n">
        <f aca="false">Inputs!$D$60-(A93-1)</f>
        <v>-39</v>
      </c>
      <c r="Q93" s="0" t="n">
        <f aca="false">IF(P93&lt;=0,0,IF(A93=1,Inputs!$B$60,V92))</f>
        <v>0</v>
      </c>
      <c r="R93" s="0" t="n">
        <f aca="false">Q93*Inputs!$B$9</f>
        <v>0</v>
      </c>
      <c r="S93" s="0" t="n">
        <f aca="false">(Q93-R93)*Inputs!$C$60/12</f>
        <v>0</v>
      </c>
      <c r="T93" s="0" t="n">
        <f aca="false">IF(P93&lt;=0,0,IF(P93=1,Q93-R93,MIN((Q93-R93)*(Inputs!$C$60/12)/(1-(1+Inputs!$C$60/12)^(-P93))-S93,Q93-R93)))</f>
        <v>0</v>
      </c>
      <c r="U93" s="0" t="n">
        <f aca="false">(Q93-R93-T93)*Inputs!$B$10</f>
        <v>0</v>
      </c>
      <c r="V93" s="0" t="n">
        <f aca="false">Q93-R93-T93-U93</f>
        <v>0</v>
      </c>
      <c r="W93" s="0" t="n">
        <f aca="false">Inputs!$D$61-(A93-1)</f>
        <v>-27</v>
      </c>
      <c r="X93" s="0" t="n">
        <f aca="false">IF(W93&lt;=0,0,IF(A93=1,Inputs!$B$61,AC92))</f>
        <v>0</v>
      </c>
      <c r="Y93" s="0" t="n">
        <f aca="false">X93*Inputs!$B$9</f>
        <v>0</v>
      </c>
      <c r="Z93" s="0" t="n">
        <f aca="false">(X93-Y93)*Inputs!$C$61/12</f>
        <v>0</v>
      </c>
      <c r="AA93" s="0" t="n">
        <f aca="false">IF(W93&lt;=0,0,IF(W93=1,X93-Y93,MIN((X93-Y93)*(Inputs!$C$61/12)/(1-(1+Inputs!$C$61/12)^(-W93))-Z93,X93-Y93)))</f>
        <v>0</v>
      </c>
      <c r="AB93" s="0" t="n">
        <f aca="false">(X93-Y93-AA93)*Inputs!$B$10</f>
        <v>0</v>
      </c>
      <c r="AC93" s="0" t="n">
        <f aca="false">X93-Y93-AA93-AB93</f>
        <v>0</v>
      </c>
      <c r="AD93" s="0" t="n">
        <f aca="false">Inputs!$D$62-(A93-1)</f>
        <v>-27</v>
      </c>
      <c r="AE93" s="0" t="n">
        <f aca="false">IF(AD93&lt;=0,0,IF(A93=1,Inputs!$B$62,AJ92))</f>
        <v>0</v>
      </c>
      <c r="AF93" s="0" t="n">
        <f aca="false">AE93*Inputs!$B$9</f>
        <v>0</v>
      </c>
      <c r="AG93" s="0" t="n">
        <f aca="false">(AE93-AF93)*Inputs!$C$62/12</f>
        <v>0</v>
      </c>
      <c r="AH93" s="0" t="n">
        <f aca="false">IF(AD93&lt;=0,0,IF(AD93=1,AE93-AF93,MIN((AE93-AF93)*(Inputs!$C$62/12)/(1-(1+Inputs!$C$62/12)^(-AD93))-AG93,AE93-AF93)))</f>
        <v>0</v>
      </c>
      <c r="AI93" s="0" t="n">
        <f aca="false">(AE93-AF93-AH93)*Inputs!$B$10</f>
        <v>0</v>
      </c>
      <c r="AJ93" s="0" t="n">
        <f aca="false">AE93-AF93-AH93-AI93</f>
        <v>0</v>
      </c>
      <c r="AK93" s="0" t="n">
        <f aca="false">Inputs!$D$63-(A93-1)</f>
        <v>-27</v>
      </c>
      <c r="AL93" s="0" t="n">
        <f aca="false">IF(AK93&lt;=0,0,IF(A93=1,Inputs!$B$63,AQ92))</f>
        <v>0</v>
      </c>
      <c r="AM93" s="0" t="n">
        <f aca="false">AL93*Inputs!$B$9</f>
        <v>0</v>
      </c>
      <c r="AN93" s="0" t="n">
        <f aca="false">(AL93-AM93)*Inputs!$C$63/12</f>
        <v>0</v>
      </c>
      <c r="AO93" s="0" t="n">
        <f aca="false">IF(AK93&lt;=0,0,IF(AK93=1,AL93-AM93,MIN((AL93-AM93)*(Inputs!$C$63/12)/(1-(1+Inputs!$C$63/12)^(-AK93))-AN93,AL93-AM93)))</f>
        <v>0</v>
      </c>
      <c r="AP93" s="0" t="n">
        <f aca="false">(AL93-AM93-AO93)*Inputs!$B$10</f>
        <v>0</v>
      </c>
      <c r="AQ93" s="0" t="n">
        <f aca="false">AL93-AM93-AO93-AP93</f>
        <v>0</v>
      </c>
      <c r="AR93" s="0" t="n">
        <f aca="false">Inputs!$D$64-(A93-1)</f>
        <v>-15</v>
      </c>
      <c r="AS93" s="0" t="n">
        <f aca="false">IF(AR93&lt;=0,0,IF(A93=1,Inputs!$B$64,AX92))</f>
        <v>0</v>
      </c>
      <c r="AT93" s="0" t="n">
        <f aca="false">AS93*Inputs!$B$9</f>
        <v>0</v>
      </c>
      <c r="AU93" s="0" t="n">
        <f aca="false">(AS93-AT93)*Inputs!$C$64/12</f>
        <v>0</v>
      </c>
      <c r="AV93" s="0" t="n">
        <f aca="false">IF(AR93&lt;=0,0,IF(AR93=1,AS93-AT93,MIN((AS93-AT93)*(Inputs!$C$64/12)/(1-(1+Inputs!$C$64/12)^(-AR93))-AU93,AS93-AT93)))</f>
        <v>0</v>
      </c>
      <c r="AW93" s="0" t="n">
        <f aca="false">(AS93-AT93-AV93)*Inputs!$B$10</f>
        <v>0</v>
      </c>
      <c r="AX93" s="0" t="n">
        <f aca="false">AS93-AT93-AV93-AW93</f>
        <v>0</v>
      </c>
      <c r="AY93" s="0" t="n">
        <f aca="false">Inputs!$D$65-(A93-1)</f>
        <v>-15</v>
      </c>
      <c r="AZ93" s="0" t="n">
        <f aca="false">IF(AY93&lt;=0,0,IF(A93=1,Inputs!$B$65,BE92))</f>
        <v>0</v>
      </c>
      <c r="BA93" s="0" t="n">
        <f aca="false">AZ93*Inputs!$B$9</f>
        <v>0</v>
      </c>
      <c r="BB93" s="0" t="n">
        <f aca="false">(AZ93-BA93)*Inputs!$C$65/12</f>
        <v>0</v>
      </c>
      <c r="BC93" s="0" t="n">
        <f aca="false">IF(AY93&lt;=0,0,IF(AY93=1,AZ93-BA93,MIN((AZ93-BA93)*(Inputs!$C$65/12)/(1-(1+Inputs!$C$65/12)^(-AY93))-BB93,AZ93-BA93)))</f>
        <v>0</v>
      </c>
      <c r="BD93" s="0" t="n">
        <f aca="false">(AZ93-BA93-BC93)*Inputs!$B$10</f>
        <v>0</v>
      </c>
      <c r="BE93" s="0" t="n">
        <f aca="false">AZ93-BA93-BC93-BD93</f>
        <v>0</v>
      </c>
      <c r="BF93" s="0" t="n">
        <f aca="false">Inputs!$D$66-(A93-1)</f>
        <v>-3</v>
      </c>
      <c r="BG93" s="0" t="n">
        <f aca="false">IF(BF93&lt;=0,0,IF(A93=1,Inputs!$B$66,BL92))</f>
        <v>0</v>
      </c>
      <c r="BH93" s="0" t="n">
        <f aca="false">BG93*Inputs!$B$9</f>
        <v>0</v>
      </c>
      <c r="BI93" s="0" t="n">
        <f aca="false">(BG93-BH93)*Inputs!$C$66/12</f>
        <v>0</v>
      </c>
      <c r="BJ93" s="0" t="n">
        <f aca="false">IF(BF93&lt;=0,0,IF(BF93=1,BG93-BH93,MIN((BG93-BH93)*(Inputs!$C$66/12)/(1-(1+Inputs!$C$66/12)^(-BF93))-BI93,BG93-BH93)))</f>
        <v>0</v>
      </c>
      <c r="BK93" s="0" t="n">
        <f aca="false">(BG93-BH93-BJ93)*Inputs!$B$10</f>
        <v>0</v>
      </c>
      <c r="BL93" s="0" t="n">
        <f aca="false">BG93-BH93-BJ93-BK93</f>
        <v>0</v>
      </c>
      <c r="BM93" s="0" t="n">
        <f aca="false">Inputs!$D$67-(A93-1)</f>
        <v>-3</v>
      </c>
      <c r="BN93" s="0" t="n">
        <f aca="false">IF(BM93&lt;=0,0,IF(A93=1,Inputs!$B$67,BS92))</f>
        <v>0</v>
      </c>
      <c r="BO93" s="0" t="n">
        <f aca="false">BN93*Inputs!$B$9</f>
        <v>0</v>
      </c>
      <c r="BP93" s="0" t="n">
        <f aca="false">(BN93-BO93)*Inputs!$C$67/12</f>
        <v>0</v>
      </c>
      <c r="BQ93" s="0" t="n">
        <f aca="false">IF(BM93&lt;=0,0,IF(BM93=1,BN93-BO93,MIN((BN93-BO93)*(Inputs!$C$67/12)/(1-(1+Inputs!$C$67/12)^(-BM93))-BP93,BN93-BO93)))</f>
        <v>0</v>
      </c>
      <c r="BR93" s="0" t="n">
        <f aca="false">(BN93-BO93-BQ93)*Inputs!$B$10</f>
        <v>0</v>
      </c>
      <c r="BS93" s="0" t="n">
        <f aca="false">BN93-BO93-BQ93-BR93</f>
        <v>0</v>
      </c>
      <c r="BT93" s="0" t="n">
        <f aca="false">C93+J93+Q93+X93+AE93+AL93+AS93+AZ93+BG93+BN93</f>
        <v>0</v>
      </c>
      <c r="BU93" s="0" t="n">
        <f aca="false">D93+K93+R93+Y93+AF93+AM93+AT93+BA93+BH93+BO93</f>
        <v>0</v>
      </c>
      <c r="BV93" s="0" t="n">
        <f aca="false">E93+L93+S93+Z93+AG93+AN93+AU93+BB93+BI93+BP93</f>
        <v>0</v>
      </c>
      <c r="BW93" s="0" t="n">
        <f aca="false">F93+M93+T93+AA93+AH93+AO93+AV93+BC93+BJ93+BQ93</f>
        <v>0</v>
      </c>
      <c r="BX93" s="0" t="n">
        <f aca="false">G93+N93+U93+AB93+AI93+AP93+AW93+BD93+BK93+BR93</f>
        <v>0</v>
      </c>
      <c r="BY93" s="0" t="n">
        <f aca="false">H93+O93+V93+AC93+AJ93+AQ93+AX93+BE93+BL93+BS93</f>
        <v>0</v>
      </c>
      <c r="BZ93" s="0" t="n">
        <f aca="false">IF(A93&gt;Inputs!$B$7,(1-Inputs!$B$6)*INDEX($BU$6:$BU$125,A93-Inputs!$B$7),0)</f>
        <v>2545.80791677151</v>
      </c>
      <c r="CA93" s="0" t="n">
        <f aca="false">CA92+(1-Inputs!$B$6)*BU93-BZ93</f>
        <v>2522.71215016727</v>
      </c>
      <c r="CB93" s="0" t="n">
        <f aca="false">BY93+CA93</f>
        <v>2522.71215016727</v>
      </c>
      <c r="CC93" s="0" t="n">
        <f aca="false">BV93+BW93+BX93+BZ93</f>
        <v>2545.80791677151</v>
      </c>
      <c r="CD93" s="0" t="n">
        <f aca="false">CD92+BU93-BZ93</f>
        <v>10916415.8349596</v>
      </c>
    </row>
    <row r="94" customFormat="false" ht="15" hidden="false" customHeight="false" outlineLevel="0" collapsed="false">
      <c r="A94" s="0" t="n">
        <f aca="false">ROW()-5</f>
        <v>89</v>
      </c>
      <c r="B94" s="0" t="n">
        <f aca="false">Inputs!$D$58-(A94-1)</f>
        <v>-52</v>
      </c>
      <c r="C94" s="0" t="n">
        <f aca="false">IF(B94&lt;=0,0,IF(A94=1,Inputs!$B$58,H93))</f>
        <v>0</v>
      </c>
      <c r="D94" s="0" t="n">
        <f aca="false">C94*Inputs!$B$9</f>
        <v>0</v>
      </c>
      <c r="E94" s="0" t="n">
        <f aca="false">(C94-D94)*Inputs!$C$58/12</f>
        <v>0</v>
      </c>
      <c r="F94" s="0" t="n">
        <f aca="false">IF(B94&lt;=0,0,IF(B94=1,C94-D94,MIN((C94-D94)*(Inputs!$C$58/12)/(1-(1+Inputs!$C$58/12)^(-B94))-E94,C94-D94)))</f>
        <v>0</v>
      </c>
      <c r="G94" s="0" t="n">
        <f aca="false">(C94-D94-F94)*Inputs!$B$10</f>
        <v>0</v>
      </c>
      <c r="H94" s="0" t="n">
        <f aca="false">C94-D94-F94-G94</f>
        <v>0</v>
      </c>
      <c r="I94" s="0" t="n">
        <f aca="false">Inputs!$D$59-(A94-1)</f>
        <v>-40</v>
      </c>
      <c r="J94" s="0" t="n">
        <f aca="false">IF(I94&lt;=0,0,IF(A94=1,Inputs!$B$59,O93))</f>
        <v>0</v>
      </c>
      <c r="K94" s="0" t="n">
        <f aca="false">J94*Inputs!$B$9</f>
        <v>0</v>
      </c>
      <c r="L94" s="0" t="n">
        <f aca="false">(J94-K94)*Inputs!$C$59/12</f>
        <v>0</v>
      </c>
      <c r="M94" s="0" t="n">
        <f aca="false">IF(I94&lt;=0,0,IF(I94=1,J94-K94,MIN((J94-K94)*(Inputs!$C$59/12)/(1-(1+Inputs!$C$59/12)^(-I94))-L94,J94-K94)))</f>
        <v>0</v>
      </c>
      <c r="N94" s="0" t="n">
        <f aca="false">(J94-K94-M94)*Inputs!$B$10</f>
        <v>0</v>
      </c>
      <c r="O94" s="0" t="n">
        <f aca="false">J94-K94-M94-N94</f>
        <v>0</v>
      </c>
      <c r="P94" s="0" t="n">
        <f aca="false">Inputs!$D$60-(A94-1)</f>
        <v>-40</v>
      </c>
      <c r="Q94" s="0" t="n">
        <f aca="false">IF(P94&lt;=0,0,IF(A94=1,Inputs!$B$60,V93))</f>
        <v>0</v>
      </c>
      <c r="R94" s="0" t="n">
        <f aca="false">Q94*Inputs!$B$9</f>
        <v>0</v>
      </c>
      <c r="S94" s="0" t="n">
        <f aca="false">(Q94-R94)*Inputs!$C$60/12</f>
        <v>0</v>
      </c>
      <c r="T94" s="0" t="n">
        <f aca="false">IF(P94&lt;=0,0,IF(P94=1,Q94-R94,MIN((Q94-R94)*(Inputs!$C$60/12)/(1-(1+Inputs!$C$60/12)^(-P94))-S94,Q94-R94)))</f>
        <v>0</v>
      </c>
      <c r="U94" s="0" t="n">
        <f aca="false">(Q94-R94-T94)*Inputs!$B$10</f>
        <v>0</v>
      </c>
      <c r="V94" s="0" t="n">
        <f aca="false">Q94-R94-T94-U94</f>
        <v>0</v>
      </c>
      <c r="W94" s="0" t="n">
        <f aca="false">Inputs!$D$61-(A94-1)</f>
        <v>-28</v>
      </c>
      <c r="X94" s="0" t="n">
        <f aca="false">IF(W94&lt;=0,0,IF(A94=1,Inputs!$B$61,AC93))</f>
        <v>0</v>
      </c>
      <c r="Y94" s="0" t="n">
        <f aca="false">X94*Inputs!$B$9</f>
        <v>0</v>
      </c>
      <c r="Z94" s="0" t="n">
        <f aca="false">(X94-Y94)*Inputs!$C$61/12</f>
        <v>0</v>
      </c>
      <c r="AA94" s="0" t="n">
        <f aca="false">IF(W94&lt;=0,0,IF(W94=1,X94-Y94,MIN((X94-Y94)*(Inputs!$C$61/12)/(1-(1+Inputs!$C$61/12)^(-W94))-Z94,X94-Y94)))</f>
        <v>0</v>
      </c>
      <c r="AB94" s="0" t="n">
        <f aca="false">(X94-Y94-AA94)*Inputs!$B$10</f>
        <v>0</v>
      </c>
      <c r="AC94" s="0" t="n">
        <f aca="false">X94-Y94-AA94-AB94</f>
        <v>0</v>
      </c>
      <c r="AD94" s="0" t="n">
        <f aca="false">Inputs!$D$62-(A94-1)</f>
        <v>-28</v>
      </c>
      <c r="AE94" s="0" t="n">
        <f aca="false">IF(AD94&lt;=0,0,IF(A94=1,Inputs!$B$62,AJ93))</f>
        <v>0</v>
      </c>
      <c r="AF94" s="0" t="n">
        <f aca="false">AE94*Inputs!$B$9</f>
        <v>0</v>
      </c>
      <c r="AG94" s="0" t="n">
        <f aca="false">(AE94-AF94)*Inputs!$C$62/12</f>
        <v>0</v>
      </c>
      <c r="AH94" s="0" t="n">
        <f aca="false">IF(AD94&lt;=0,0,IF(AD94=1,AE94-AF94,MIN((AE94-AF94)*(Inputs!$C$62/12)/(1-(1+Inputs!$C$62/12)^(-AD94))-AG94,AE94-AF94)))</f>
        <v>0</v>
      </c>
      <c r="AI94" s="0" t="n">
        <f aca="false">(AE94-AF94-AH94)*Inputs!$B$10</f>
        <v>0</v>
      </c>
      <c r="AJ94" s="0" t="n">
        <f aca="false">AE94-AF94-AH94-AI94</f>
        <v>0</v>
      </c>
      <c r="AK94" s="0" t="n">
        <f aca="false">Inputs!$D$63-(A94-1)</f>
        <v>-28</v>
      </c>
      <c r="AL94" s="0" t="n">
        <f aca="false">IF(AK94&lt;=0,0,IF(A94=1,Inputs!$B$63,AQ93))</f>
        <v>0</v>
      </c>
      <c r="AM94" s="0" t="n">
        <f aca="false">AL94*Inputs!$B$9</f>
        <v>0</v>
      </c>
      <c r="AN94" s="0" t="n">
        <f aca="false">(AL94-AM94)*Inputs!$C$63/12</f>
        <v>0</v>
      </c>
      <c r="AO94" s="0" t="n">
        <f aca="false">IF(AK94&lt;=0,0,IF(AK94=1,AL94-AM94,MIN((AL94-AM94)*(Inputs!$C$63/12)/(1-(1+Inputs!$C$63/12)^(-AK94))-AN94,AL94-AM94)))</f>
        <v>0</v>
      </c>
      <c r="AP94" s="0" t="n">
        <f aca="false">(AL94-AM94-AO94)*Inputs!$B$10</f>
        <v>0</v>
      </c>
      <c r="AQ94" s="0" t="n">
        <f aca="false">AL94-AM94-AO94-AP94</f>
        <v>0</v>
      </c>
      <c r="AR94" s="0" t="n">
        <f aca="false">Inputs!$D$64-(A94-1)</f>
        <v>-16</v>
      </c>
      <c r="AS94" s="0" t="n">
        <f aca="false">IF(AR94&lt;=0,0,IF(A94=1,Inputs!$B$64,AX93))</f>
        <v>0</v>
      </c>
      <c r="AT94" s="0" t="n">
        <f aca="false">AS94*Inputs!$B$9</f>
        <v>0</v>
      </c>
      <c r="AU94" s="0" t="n">
        <f aca="false">(AS94-AT94)*Inputs!$C$64/12</f>
        <v>0</v>
      </c>
      <c r="AV94" s="0" t="n">
        <f aca="false">IF(AR94&lt;=0,0,IF(AR94=1,AS94-AT94,MIN((AS94-AT94)*(Inputs!$C$64/12)/(1-(1+Inputs!$C$64/12)^(-AR94))-AU94,AS94-AT94)))</f>
        <v>0</v>
      </c>
      <c r="AW94" s="0" t="n">
        <f aca="false">(AS94-AT94-AV94)*Inputs!$B$10</f>
        <v>0</v>
      </c>
      <c r="AX94" s="0" t="n">
        <f aca="false">AS94-AT94-AV94-AW94</f>
        <v>0</v>
      </c>
      <c r="AY94" s="0" t="n">
        <f aca="false">Inputs!$D$65-(A94-1)</f>
        <v>-16</v>
      </c>
      <c r="AZ94" s="0" t="n">
        <f aca="false">IF(AY94&lt;=0,0,IF(A94=1,Inputs!$B$65,BE93))</f>
        <v>0</v>
      </c>
      <c r="BA94" s="0" t="n">
        <f aca="false">AZ94*Inputs!$B$9</f>
        <v>0</v>
      </c>
      <c r="BB94" s="0" t="n">
        <f aca="false">(AZ94-BA94)*Inputs!$C$65/12</f>
        <v>0</v>
      </c>
      <c r="BC94" s="0" t="n">
        <f aca="false">IF(AY94&lt;=0,0,IF(AY94=1,AZ94-BA94,MIN((AZ94-BA94)*(Inputs!$C$65/12)/(1-(1+Inputs!$C$65/12)^(-AY94))-BB94,AZ94-BA94)))</f>
        <v>0</v>
      </c>
      <c r="BD94" s="0" t="n">
        <f aca="false">(AZ94-BA94-BC94)*Inputs!$B$10</f>
        <v>0</v>
      </c>
      <c r="BE94" s="0" t="n">
        <f aca="false">AZ94-BA94-BC94-BD94</f>
        <v>0</v>
      </c>
      <c r="BF94" s="0" t="n">
        <f aca="false">Inputs!$D$66-(A94-1)</f>
        <v>-4</v>
      </c>
      <c r="BG94" s="0" t="n">
        <f aca="false">IF(BF94&lt;=0,0,IF(A94=1,Inputs!$B$66,BL93))</f>
        <v>0</v>
      </c>
      <c r="BH94" s="0" t="n">
        <f aca="false">BG94*Inputs!$B$9</f>
        <v>0</v>
      </c>
      <c r="BI94" s="0" t="n">
        <f aca="false">(BG94-BH94)*Inputs!$C$66/12</f>
        <v>0</v>
      </c>
      <c r="BJ94" s="0" t="n">
        <f aca="false">IF(BF94&lt;=0,0,IF(BF94=1,BG94-BH94,MIN((BG94-BH94)*(Inputs!$C$66/12)/(1-(1+Inputs!$C$66/12)^(-BF94))-BI94,BG94-BH94)))</f>
        <v>0</v>
      </c>
      <c r="BK94" s="0" t="n">
        <f aca="false">(BG94-BH94-BJ94)*Inputs!$B$10</f>
        <v>0</v>
      </c>
      <c r="BL94" s="0" t="n">
        <f aca="false">BG94-BH94-BJ94-BK94</f>
        <v>0</v>
      </c>
      <c r="BM94" s="0" t="n">
        <f aca="false">Inputs!$D$67-(A94-1)</f>
        <v>-4</v>
      </c>
      <c r="BN94" s="0" t="n">
        <f aca="false">IF(BM94&lt;=0,0,IF(A94=1,Inputs!$B$67,BS93))</f>
        <v>0</v>
      </c>
      <c r="BO94" s="0" t="n">
        <f aca="false">BN94*Inputs!$B$9</f>
        <v>0</v>
      </c>
      <c r="BP94" s="0" t="n">
        <f aca="false">(BN94-BO94)*Inputs!$C$67/12</f>
        <v>0</v>
      </c>
      <c r="BQ94" s="0" t="n">
        <f aca="false">IF(BM94&lt;=0,0,IF(BM94=1,BN94-BO94,MIN((BN94-BO94)*(Inputs!$C$67/12)/(1-(1+Inputs!$C$67/12)^(-BM94))-BP94,BN94-BO94)))</f>
        <v>0</v>
      </c>
      <c r="BR94" s="0" t="n">
        <f aca="false">(BN94-BO94-BQ94)*Inputs!$B$10</f>
        <v>0</v>
      </c>
      <c r="BS94" s="0" t="n">
        <f aca="false">BN94-BO94-BQ94-BR94</f>
        <v>0</v>
      </c>
      <c r="BT94" s="0" t="n">
        <f aca="false">C94+J94+Q94+X94+AE94+AL94+AS94+AZ94+BG94+BN94</f>
        <v>0</v>
      </c>
      <c r="BU94" s="0" t="n">
        <f aca="false">D94+K94+R94+Y94+AF94+AM94+AT94+BA94+BH94+BO94</f>
        <v>0</v>
      </c>
      <c r="BV94" s="0" t="n">
        <f aca="false">E94+L94+S94+Z94+AG94+AN94+AU94+BB94+BI94+BP94</f>
        <v>0</v>
      </c>
      <c r="BW94" s="0" t="n">
        <f aca="false">F94+M94+T94+AA94+AH94+AO94+AV94+BC94+BJ94+BQ94</f>
        <v>0</v>
      </c>
      <c r="BX94" s="0" t="n">
        <f aca="false">G94+N94+U94+AB94+AI94+AP94+AW94+BD94+BK94+BR94</f>
        <v>0</v>
      </c>
      <c r="BY94" s="0" t="n">
        <f aca="false">H94+O94+V94+AC94+AJ94+AQ94+AX94+BE94+BL94+BS94</f>
        <v>0</v>
      </c>
      <c r="BZ94" s="0" t="n">
        <f aca="false">IF(A94&gt;Inputs!$B$7,(1-Inputs!$B$6)*INDEX($BU$6:$BU$125,A94-Inputs!$B$7),0)</f>
        <v>1685.63485073998</v>
      </c>
      <c r="CA94" s="0" t="n">
        <f aca="false">CA93+(1-Inputs!$B$6)*BU94-BZ94</f>
        <v>837.077299427291</v>
      </c>
      <c r="CB94" s="0" t="n">
        <f aca="false">BY94+CA94</f>
        <v>837.077299427291</v>
      </c>
      <c r="CC94" s="0" t="n">
        <f aca="false">BV94+BW94+BX94+BZ94</f>
        <v>1685.63485073998</v>
      </c>
      <c r="CD94" s="0" t="n">
        <f aca="false">CD93+BU94-BZ94</f>
        <v>10914730.2001088</v>
      </c>
    </row>
    <row r="95" customFormat="false" ht="15" hidden="false" customHeight="false" outlineLevel="0" collapsed="false">
      <c r="A95" s="0" t="n">
        <f aca="false">ROW()-5</f>
        <v>90</v>
      </c>
      <c r="B95" s="0" t="n">
        <f aca="false">Inputs!$D$58-(A95-1)</f>
        <v>-53</v>
      </c>
      <c r="C95" s="0" t="n">
        <f aca="false">IF(B95&lt;=0,0,IF(A95=1,Inputs!$B$58,H94))</f>
        <v>0</v>
      </c>
      <c r="D95" s="0" t="n">
        <f aca="false">C95*Inputs!$B$9</f>
        <v>0</v>
      </c>
      <c r="E95" s="0" t="n">
        <f aca="false">(C95-D95)*Inputs!$C$58/12</f>
        <v>0</v>
      </c>
      <c r="F95" s="0" t="n">
        <f aca="false">IF(B95&lt;=0,0,IF(B95=1,C95-D95,MIN((C95-D95)*(Inputs!$C$58/12)/(1-(1+Inputs!$C$58/12)^(-B95))-E95,C95-D95)))</f>
        <v>0</v>
      </c>
      <c r="G95" s="0" t="n">
        <f aca="false">(C95-D95-F95)*Inputs!$B$10</f>
        <v>0</v>
      </c>
      <c r="H95" s="0" t="n">
        <f aca="false">C95-D95-F95-G95</f>
        <v>0</v>
      </c>
      <c r="I95" s="0" t="n">
        <f aca="false">Inputs!$D$59-(A95-1)</f>
        <v>-41</v>
      </c>
      <c r="J95" s="0" t="n">
        <f aca="false">IF(I95&lt;=0,0,IF(A95=1,Inputs!$B$59,O94))</f>
        <v>0</v>
      </c>
      <c r="K95" s="0" t="n">
        <f aca="false">J95*Inputs!$B$9</f>
        <v>0</v>
      </c>
      <c r="L95" s="0" t="n">
        <f aca="false">(J95-K95)*Inputs!$C$59/12</f>
        <v>0</v>
      </c>
      <c r="M95" s="0" t="n">
        <f aca="false">IF(I95&lt;=0,0,IF(I95=1,J95-K95,MIN((J95-K95)*(Inputs!$C$59/12)/(1-(1+Inputs!$C$59/12)^(-I95))-L95,J95-K95)))</f>
        <v>0</v>
      </c>
      <c r="N95" s="0" t="n">
        <f aca="false">(J95-K95-M95)*Inputs!$B$10</f>
        <v>0</v>
      </c>
      <c r="O95" s="0" t="n">
        <f aca="false">J95-K95-M95-N95</f>
        <v>0</v>
      </c>
      <c r="P95" s="0" t="n">
        <f aca="false">Inputs!$D$60-(A95-1)</f>
        <v>-41</v>
      </c>
      <c r="Q95" s="0" t="n">
        <f aca="false">IF(P95&lt;=0,0,IF(A95=1,Inputs!$B$60,V94))</f>
        <v>0</v>
      </c>
      <c r="R95" s="0" t="n">
        <f aca="false">Q95*Inputs!$B$9</f>
        <v>0</v>
      </c>
      <c r="S95" s="0" t="n">
        <f aca="false">(Q95-R95)*Inputs!$C$60/12</f>
        <v>0</v>
      </c>
      <c r="T95" s="0" t="n">
        <f aca="false">IF(P95&lt;=0,0,IF(P95=1,Q95-R95,MIN((Q95-R95)*(Inputs!$C$60/12)/(1-(1+Inputs!$C$60/12)^(-P95))-S95,Q95-R95)))</f>
        <v>0</v>
      </c>
      <c r="U95" s="0" t="n">
        <f aca="false">(Q95-R95-T95)*Inputs!$B$10</f>
        <v>0</v>
      </c>
      <c r="V95" s="0" t="n">
        <f aca="false">Q95-R95-T95-U95</f>
        <v>0</v>
      </c>
      <c r="W95" s="0" t="n">
        <f aca="false">Inputs!$D$61-(A95-1)</f>
        <v>-29</v>
      </c>
      <c r="X95" s="0" t="n">
        <f aca="false">IF(W95&lt;=0,0,IF(A95=1,Inputs!$B$61,AC94))</f>
        <v>0</v>
      </c>
      <c r="Y95" s="0" t="n">
        <f aca="false">X95*Inputs!$B$9</f>
        <v>0</v>
      </c>
      <c r="Z95" s="0" t="n">
        <f aca="false">(X95-Y95)*Inputs!$C$61/12</f>
        <v>0</v>
      </c>
      <c r="AA95" s="0" t="n">
        <f aca="false">IF(W95&lt;=0,0,IF(W95=1,X95-Y95,MIN((X95-Y95)*(Inputs!$C$61/12)/(1-(1+Inputs!$C$61/12)^(-W95))-Z95,X95-Y95)))</f>
        <v>0</v>
      </c>
      <c r="AB95" s="0" t="n">
        <f aca="false">(X95-Y95-AA95)*Inputs!$B$10</f>
        <v>0</v>
      </c>
      <c r="AC95" s="0" t="n">
        <f aca="false">X95-Y95-AA95-AB95</f>
        <v>0</v>
      </c>
      <c r="AD95" s="0" t="n">
        <f aca="false">Inputs!$D$62-(A95-1)</f>
        <v>-29</v>
      </c>
      <c r="AE95" s="0" t="n">
        <f aca="false">IF(AD95&lt;=0,0,IF(A95=1,Inputs!$B$62,AJ94))</f>
        <v>0</v>
      </c>
      <c r="AF95" s="0" t="n">
        <f aca="false">AE95*Inputs!$B$9</f>
        <v>0</v>
      </c>
      <c r="AG95" s="0" t="n">
        <f aca="false">(AE95-AF95)*Inputs!$C$62/12</f>
        <v>0</v>
      </c>
      <c r="AH95" s="0" t="n">
        <f aca="false">IF(AD95&lt;=0,0,IF(AD95=1,AE95-AF95,MIN((AE95-AF95)*(Inputs!$C$62/12)/(1-(1+Inputs!$C$62/12)^(-AD95))-AG95,AE95-AF95)))</f>
        <v>0</v>
      </c>
      <c r="AI95" s="0" t="n">
        <f aca="false">(AE95-AF95-AH95)*Inputs!$B$10</f>
        <v>0</v>
      </c>
      <c r="AJ95" s="0" t="n">
        <f aca="false">AE95-AF95-AH95-AI95</f>
        <v>0</v>
      </c>
      <c r="AK95" s="0" t="n">
        <f aca="false">Inputs!$D$63-(A95-1)</f>
        <v>-29</v>
      </c>
      <c r="AL95" s="0" t="n">
        <f aca="false">IF(AK95&lt;=0,0,IF(A95=1,Inputs!$B$63,AQ94))</f>
        <v>0</v>
      </c>
      <c r="AM95" s="0" t="n">
        <f aca="false">AL95*Inputs!$B$9</f>
        <v>0</v>
      </c>
      <c r="AN95" s="0" t="n">
        <f aca="false">(AL95-AM95)*Inputs!$C$63/12</f>
        <v>0</v>
      </c>
      <c r="AO95" s="0" t="n">
        <f aca="false">IF(AK95&lt;=0,0,IF(AK95=1,AL95-AM95,MIN((AL95-AM95)*(Inputs!$C$63/12)/(1-(1+Inputs!$C$63/12)^(-AK95))-AN95,AL95-AM95)))</f>
        <v>0</v>
      </c>
      <c r="AP95" s="0" t="n">
        <f aca="false">(AL95-AM95-AO95)*Inputs!$B$10</f>
        <v>0</v>
      </c>
      <c r="AQ95" s="0" t="n">
        <f aca="false">AL95-AM95-AO95-AP95</f>
        <v>0</v>
      </c>
      <c r="AR95" s="0" t="n">
        <f aca="false">Inputs!$D$64-(A95-1)</f>
        <v>-17</v>
      </c>
      <c r="AS95" s="0" t="n">
        <f aca="false">IF(AR95&lt;=0,0,IF(A95=1,Inputs!$B$64,AX94))</f>
        <v>0</v>
      </c>
      <c r="AT95" s="0" t="n">
        <f aca="false">AS95*Inputs!$B$9</f>
        <v>0</v>
      </c>
      <c r="AU95" s="0" t="n">
        <f aca="false">(AS95-AT95)*Inputs!$C$64/12</f>
        <v>0</v>
      </c>
      <c r="AV95" s="0" t="n">
        <f aca="false">IF(AR95&lt;=0,0,IF(AR95=1,AS95-AT95,MIN((AS95-AT95)*(Inputs!$C$64/12)/(1-(1+Inputs!$C$64/12)^(-AR95))-AU95,AS95-AT95)))</f>
        <v>0</v>
      </c>
      <c r="AW95" s="0" t="n">
        <f aca="false">(AS95-AT95-AV95)*Inputs!$B$10</f>
        <v>0</v>
      </c>
      <c r="AX95" s="0" t="n">
        <f aca="false">AS95-AT95-AV95-AW95</f>
        <v>0</v>
      </c>
      <c r="AY95" s="0" t="n">
        <f aca="false">Inputs!$D$65-(A95-1)</f>
        <v>-17</v>
      </c>
      <c r="AZ95" s="0" t="n">
        <f aca="false">IF(AY95&lt;=0,0,IF(A95=1,Inputs!$B$65,BE94))</f>
        <v>0</v>
      </c>
      <c r="BA95" s="0" t="n">
        <f aca="false">AZ95*Inputs!$B$9</f>
        <v>0</v>
      </c>
      <c r="BB95" s="0" t="n">
        <f aca="false">(AZ95-BA95)*Inputs!$C$65/12</f>
        <v>0</v>
      </c>
      <c r="BC95" s="0" t="n">
        <f aca="false">IF(AY95&lt;=0,0,IF(AY95=1,AZ95-BA95,MIN((AZ95-BA95)*(Inputs!$C$65/12)/(1-(1+Inputs!$C$65/12)^(-AY95))-BB95,AZ95-BA95)))</f>
        <v>0</v>
      </c>
      <c r="BD95" s="0" t="n">
        <f aca="false">(AZ95-BA95-BC95)*Inputs!$B$10</f>
        <v>0</v>
      </c>
      <c r="BE95" s="0" t="n">
        <f aca="false">AZ95-BA95-BC95-BD95</f>
        <v>0</v>
      </c>
      <c r="BF95" s="0" t="n">
        <f aca="false">Inputs!$D$66-(A95-1)</f>
        <v>-5</v>
      </c>
      <c r="BG95" s="0" t="n">
        <f aca="false">IF(BF95&lt;=0,0,IF(A95=1,Inputs!$B$66,BL94))</f>
        <v>0</v>
      </c>
      <c r="BH95" s="0" t="n">
        <f aca="false">BG95*Inputs!$B$9</f>
        <v>0</v>
      </c>
      <c r="BI95" s="0" t="n">
        <f aca="false">(BG95-BH95)*Inputs!$C$66/12</f>
        <v>0</v>
      </c>
      <c r="BJ95" s="0" t="n">
        <f aca="false">IF(BF95&lt;=0,0,IF(BF95=1,BG95-BH95,MIN((BG95-BH95)*(Inputs!$C$66/12)/(1-(1+Inputs!$C$66/12)^(-BF95))-BI95,BG95-BH95)))</f>
        <v>0</v>
      </c>
      <c r="BK95" s="0" t="n">
        <f aca="false">(BG95-BH95-BJ95)*Inputs!$B$10</f>
        <v>0</v>
      </c>
      <c r="BL95" s="0" t="n">
        <f aca="false">BG95-BH95-BJ95-BK95</f>
        <v>0</v>
      </c>
      <c r="BM95" s="0" t="n">
        <f aca="false">Inputs!$D$67-(A95-1)</f>
        <v>-5</v>
      </c>
      <c r="BN95" s="0" t="n">
        <f aca="false">IF(BM95&lt;=0,0,IF(A95=1,Inputs!$B$67,BS94))</f>
        <v>0</v>
      </c>
      <c r="BO95" s="0" t="n">
        <f aca="false">BN95*Inputs!$B$9</f>
        <v>0</v>
      </c>
      <c r="BP95" s="0" t="n">
        <f aca="false">(BN95-BO95)*Inputs!$C$67/12</f>
        <v>0</v>
      </c>
      <c r="BQ95" s="0" t="n">
        <f aca="false">IF(BM95&lt;=0,0,IF(BM95=1,BN95-BO95,MIN((BN95-BO95)*(Inputs!$C$67/12)/(1-(1+Inputs!$C$67/12)^(-BM95))-BP95,BN95-BO95)))</f>
        <v>0</v>
      </c>
      <c r="BR95" s="0" t="n">
        <f aca="false">(BN95-BO95-BQ95)*Inputs!$B$10</f>
        <v>0</v>
      </c>
      <c r="BS95" s="0" t="n">
        <f aca="false">BN95-BO95-BQ95-BR95</f>
        <v>0</v>
      </c>
      <c r="BT95" s="0" t="n">
        <f aca="false">C95+J95+Q95+X95+AE95+AL95+AS95+AZ95+BG95+BN95</f>
        <v>0</v>
      </c>
      <c r="BU95" s="0" t="n">
        <f aca="false">D95+K95+R95+Y95+AF95+AM95+AT95+BA95+BH95+BO95</f>
        <v>0</v>
      </c>
      <c r="BV95" s="0" t="n">
        <f aca="false">E95+L95+S95+Z95+AG95+AN95+AU95+BB95+BI95+BP95</f>
        <v>0</v>
      </c>
      <c r="BW95" s="0" t="n">
        <f aca="false">F95+M95+T95+AA95+AH95+AO95+AV95+BC95+BJ95+BQ95</f>
        <v>0</v>
      </c>
      <c r="BX95" s="0" t="n">
        <f aca="false">G95+N95+U95+AB95+AI95+AP95+AW95+BD95+BK95+BR95</f>
        <v>0</v>
      </c>
      <c r="BY95" s="0" t="n">
        <f aca="false">H95+O95+V95+AC95+AJ95+AQ95+AX95+BE95+BL95+BS95</f>
        <v>0</v>
      </c>
      <c r="BZ95" s="0" t="n">
        <f aca="false">IF(A95&gt;Inputs!$B$7,(1-Inputs!$B$6)*INDEX($BU$6:$BU$125,A95-Inputs!$B$7),0)</f>
        <v>837.077299427398</v>
      </c>
      <c r="CA95" s="0" t="n">
        <f aca="false">CA94+(1-Inputs!$B$6)*BU95-BZ95</f>
        <v>-1.06979314296041E-010</v>
      </c>
      <c r="CB95" s="0" t="n">
        <f aca="false">BY95+CA95</f>
        <v>-1.06979314296041E-010</v>
      </c>
      <c r="CC95" s="0" t="n">
        <f aca="false">BV95+BW95+BX95+BZ95</f>
        <v>837.077299427398</v>
      </c>
      <c r="CD95" s="0" t="n">
        <f aca="false">CD94+BU95-BZ95</f>
        <v>10913893.1228094</v>
      </c>
    </row>
    <row r="96" customFormat="false" ht="15" hidden="false" customHeight="false" outlineLevel="0" collapsed="false">
      <c r="A96" s="0" t="n">
        <f aca="false">ROW()-5</f>
        <v>91</v>
      </c>
      <c r="B96" s="0" t="n">
        <f aca="false">Inputs!$D$58-(A96-1)</f>
        <v>-54</v>
      </c>
      <c r="C96" s="0" t="n">
        <f aca="false">IF(B96&lt;=0,0,IF(A96=1,Inputs!$B$58,H95))</f>
        <v>0</v>
      </c>
      <c r="D96" s="0" t="n">
        <f aca="false">C96*Inputs!$B$9</f>
        <v>0</v>
      </c>
      <c r="E96" s="0" t="n">
        <f aca="false">(C96-D96)*Inputs!$C$58/12</f>
        <v>0</v>
      </c>
      <c r="F96" s="0" t="n">
        <f aca="false">IF(B96&lt;=0,0,IF(B96=1,C96-D96,MIN((C96-D96)*(Inputs!$C$58/12)/(1-(1+Inputs!$C$58/12)^(-B96))-E96,C96-D96)))</f>
        <v>0</v>
      </c>
      <c r="G96" s="0" t="n">
        <f aca="false">(C96-D96-F96)*Inputs!$B$10</f>
        <v>0</v>
      </c>
      <c r="H96" s="0" t="n">
        <f aca="false">C96-D96-F96-G96</f>
        <v>0</v>
      </c>
      <c r="I96" s="0" t="n">
        <f aca="false">Inputs!$D$59-(A96-1)</f>
        <v>-42</v>
      </c>
      <c r="J96" s="0" t="n">
        <f aca="false">IF(I96&lt;=0,0,IF(A96=1,Inputs!$B$59,O95))</f>
        <v>0</v>
      </c>
      <c r="K96" s="0" t="n">
        <f aca="false">J96*Inputs!$B$9</f>
        <v>0</v>
      </c>
      <c r="L96" s="0" t="n">
        <f aca="false">(J96-K96)*Inputs!$C$59/12</f>
        <v>0</v>
      </c>
      <c r="M96" s="0" t="n">
        <f aca="false">IF(I96&lt;=0,0,IF(I96=1,J96-K96,MIN((J96-K96)*(Inputs!$C$59/12)/(1-(1+Inputs!$C$59/12)^(-I96))-L96,J96-K96)))</f>
        <v>0</v>
      </c>
      <c r="N96" s="0" t="n">
        <f aca="false">(J96-K96-M96)*Inputs!$B$10</f>
        <v>0</v>
      </c>
      <c r="O96" s="0" t="n">
        <f aca="false">J96-K96-M96-N96</f>
        <v>0</v>
      </c>
      <c r="P96" s="0" t="n">
        <f aca="false">Inputs!$D$60-(A96-1)</f>
        <v>-42</v>
      </c>
      <c r="Q96" s="0" t="n">
        <f aca="false">IF(P96&lt;=0,0,IF(A96=1,Inputs!$B$60,V95))</f>
        <v>0</v>
      </c>
      <c r="R96" s="0" t="n">
        <f aca="false">Q96*Inputs!$B$9</f>
        <v>0</v>
      </c>
      <c r="S96" s="0" t="n">
        <f aca="false">(Q96-R96)*Inputs!$C$60/12</f>
        <v>0</v>
      </c>
      <c r="T96" s="0" t="n">
        <f aca="false">IF(P96&lt;=0,0,IF(P96=1,Q96-R96,MIN((Q96-R96)*(Inputs!$C$60/12)/(1-(1+Inputs!$C$60/12)^(-P96))-S96,Q96-R96)))</f>
        <v>0</v>
      </c>
      <c r="U96" s="0" t="n">
        <f aca="false">(Q96-R96-T96)*Inputs!$B$10</f>
        <v>0</v>
      </c>
      <c r="V96" s="0" t="n">
        <f aca="false">Q96-R96-T96-U96</f>
        <v>0</v>
      </c>
      <c r="W96" s="0" t="n">
        <f aca="false">Inputs!$D$61-(A96-1)</f>
        <v>-30</v>
      </c>
      <c r="X96" s="0" t="n">
        <f aca="false">IF(W96&lt;=0,0,IF(A96=1,Inputs!$B$61,AC95))</f>
        <v>0</v>
      </c>
      <c r="Y96" s="0" t="n">
        <f aca="false">X96*Inputs!$B$9</f>
        <v>0</v>
      </c>
      <c r="Z96" s="0" t="n">
        <f aca="false">(X96-Y96)*Inputs!$C$61/12</f>
        <v>0</v>
      </c>
      <c r="AA96" s="0" t="n">
        <f aca="false">IF(W96&lt;=0,0,IF(W96=1,X96-Y96,MIN((X96-Y96)*(Inputs!$C$61/12)/(1-(1+Inputs!$C$61/12)^(-W96))-Z96,X96-Y96)))</f>
        <v>0</v>
      </c>
      <c r="AB96" s="0" t="n">
        <f aca="false">(X96-Y96-AA96)*Inputs!$B$10</f>
        <v>0</v>
      </c>
      <c r="AC96" s="0" t="n">
        <f aca="false">X96-Y96-AA96-AB96</f>
        <v>0</v>
      </c>
      <c r="AD96" s="0" t="n">
        <f aca="false">Inputs!$D$62-(A96-1)</f>
        <v>-30</v>
      </c>
      <c r="AE96" s="0" t="n">
        <f aca="false">IF(AD96&lt;=0,0,IF(A96=1,Inputs!$B$62,AJ95))</f>
        <v>0</v>
      </c>
      <c r="AF96" s="0" t="n">
        <f aca="false">AE96*Inputs!$B$9</f>
        <v>0</v>
      </c>
      <c r="AG96" s="0" t="n">
        <f aca="false">(AE96-AF96)*Inputs!$C$62/12</f>
        <v>0</v>
      </c>
      <c r="AH96" s="0" t="n">
        <f aca="false">IF(AD96&lt;=0,0,IF(AD96=1,AE96-AF96,MIN((AE96-AF96)*(Inputs!$C$62/12)/(1-(1+Inputs!$C$62/12)^(-AD96))-AG96,AE96-AF96)))</f>
        <v>0</v>
      </c>
      <c r="AI96" s="0" t="n">
        <f aca="false">(AE96-AF96-AH96)*Inputs!$B$10</f>
        <v>0</v>
      </c>
      <c r="AJ96" s="0" t="n">
        <f aca="false">AE96-AF96-AH96-AI96</f>
        <v>0</v>
      </c>
      <c r="AK96" s="0" t="n">
        <f aca="false">Inputs!$D$63-(A96-1)</f>
        <v>-30</v>
      </c>
      <c r="AL96" s="0" t="n">
        <f aca="false">IF(AK96&lt;=0,0,IF(A96=1,Inputs!$B$63,AQ95))</f>
        <v>0</v>
      </c>
      <c r="AM96" s="0" t="n">
        <f aca="false">AL96*Inputs!$B$9</f>
        <v>0</v>
      </c>
      <c r="AN96" s="0" t="n">
        <f aca="false">(AL96-AM96)*Inputs!$C$63/12</f>
        <v>0</v>
      </c>
      <c r="AO96" s="0" t="n">
        <f aca="false">IF(AK96&lt;=0,0,IF(AK96=1,AL96-AM96,MIN((AL96-AM96)*(Inputs!$C$63/12)/(1-(1+Inputs!$C$63/12)^(-AK96))-AN96,AL96-AM96)))</f>
        <v>0</v>
      </c>
      <c r="AP96" s="0" t="n">
        <f aca="false">(AL96-AM96-AO96)*Inputs!$B$10</f>
        <v>0</v>
      </c>
      <c r="AQ96" s="0" t="n">
        <f aca="false">AL96-AM96-AO96-AP96</f>
        <v>0</v>
      </c>
      <c r="AR96" s="0" t="n">
        <f aca="false">Inputs!$D$64-(A96-1)</f>
        <v>-18</v>
      </c>
      <c r="AS96" s="0" t="n">
        <f aca="false">IF(AR96&lt;=0,0,IF(A96=1,Inputs!$B$64,AX95))</f>
        <v>0</v>
      </c>
      <c r="AT96" s="0" t="n">
        <f aca="false">AS96*Inputs!$B$9</f>
        <v>0</v>
      </c>
      <c r="AU96" s="0" t="n">
        <f aca="false">(AS96-AT96)*Inputs!$C$64/12</f>
        <v>0</v>
      </c>
      <c r="AV96" s="0" t="n">
        <f aca="false">IF(AR96&lt;=0,0,IF(AR96=1,AS96-AT96,MIN((AS96-AT96)*(Inputs!$C$64/12)/(1-(1+Inputs!$C$64/12)^(-AR96))-AU96,AS96-AT96)))</f>
        <v>0</v>
      </c>
      <c r="AW96" s="0" t="n">
        <f aca="false">(AS96-AT96-AV96)*Inputs!$B$10</f>
        <v>0</v>
      </c>
      <c r="AX96" s="0" t="n">
        <f aca="false">AS96-AT96-AV96-AW96</f>
        <v>0</v>
      </c>
      <c r="AY96" s="0" t="n">
        <f aca="false">Inputs!$D$65-(A96-1)</f>
        <v>-18</v>
      </c>
      <c r="AZ96" s="0" t="n">
        <f aca="false">IF(AY96&lt;=0,0,IF(A96=1,Inputs!$B$65,BE95))</f>
        <v>0</v>
      </c>
      <c r="BA96" s="0" t="n">
        <f aca="false">AZ96*Inputs!$B$9</f>
        <v>0</v>
      </c>
      <c r="BB96" s="0" t="n">
        <f aca="false">(AZ96-BA96)*Inputs!$C$65/12</f>
        <v>0</v>
      </c>
      <c r="BC96" s="0" t="n">
        <f aca="false">IF(AY96&lt;=0,0,IF(AY96=1,AZ96-BA96,MIN((AZ96-BA96)*(Inputs!$C$65/12)/(1-(1+Inputs!$C$65/12)^(-AY96))-BB96,AZ96-BA96)))</f>
        <v>0</v>
      </c>
      <c r="BD96" s="0" t="n">
        <f aca="false">(AZ96-BA96-BC96)*Inputs!$B$10</f>
        <v>0</v>
      </c>
      <c r="BE96" s="0" t="n">
        <f aca="false">AZ96-BA96-BC96-BD96</f>
        <v>0</v>
      </c>
      <c r="BF96" s="0" t="n">
        <f aca="false">Inputs!$D$66-(A96-1)</f>
        <v>-6</v>
      </c>
      <c r="BG96" s="0" t="n">
        <f aca="false">IF(BF96&lt;=0,0,IF(A96=1,Inputs!$B$66,BL95))</f>
        <v>0</v>
      </c>
      <c r="BH96" s="0" t="n">
        <f aca="false">BG96*Inputs!$B$9</f>
        <v>0</v>
      </c>
      <c r="BI96" s="0" t="n">
        <f aca="false">(BG96-BH96)*Inputs!$C$66/12</f>
        <v>0</v>
      </c>
      <c r="BJ96" s="0" t="n">
        <f aca="false">IF(BF96&lt;=0,0,IF(BF96=1,BG96-BH96,MIN((BG96-BH96)*(Inputs!$C$66/12)/(1-(1+Inputs!$C$66/12)^(-BF96))-BI96,BG96-BH96)))</f>
        <v>0</v>
      </c>
      <c r="BK96" s="0" t="n">
        <f aca="false">(BG96-BH96-BJ96)*Inputs!$B$10</f>
        <v>0</v>
      </c>
      <c r="BL96" s="0" t="n">
        <f aca="false">BG96-BH96-BJ96-BK96</f>
        <v>0</v>
      </c>
      <c r="BM96" s="0" t="n">
        <f aca="false">Inputs!$D$67-(A96-1)</f>
        <v>-6</v>
      </c>
      <c r="BN96" s="0" t="n">
        <f aca="false">IF(BM96&lt;=0,0,IF(A96=1,Inputs!$B$67,BS95))</f>
        <v>0</v>
      </c>
      <c r="BO96" s="0" t="n">
        <f aca="false">BN96*Inputs!$B$9</f>
        <v>0</v>
      </c>
      <c r="BP96" s="0" t="n">
        <f aca="false">(BN96-BO96)*Inputs!$C$67/12</f>
        <v>0</v>
      </c>
      <c r="BQ96" s="0" t="n">
        <f aca="false">IF(BM96&lt;=0,0,IF(BM96=1,BN96-BO96,MIN((BN96-BO96)*(Inputs!$C$67/12)/(1-(1+Inputs!$C$67/12)^(-BM96))-BP96,BN96-BO96)))</f>
        <v>0</v>
      </c>
      <c r="BR96" s="0" t="n">
        <f aca="false">(BN96-BO96-BQ96)*Inputs!$B$10</f>
        <v>0</v>
      </c>
      <c r="BS96" s="0" t="n">
        <f aca="false">BN96-BO96-BQ96-BR96</f>
        <v>0</v>
      </c>
      <c r="BT96" s="0" t="n">
        <f aca="false">C96+J96+Q96+X96+AE96+AL96+AS96+AZ96+BG96+BN96</f>
        <v>0</v>
      </c>
      <c r="BU96" s="0" t="n">
        <f aca="false">D96+K96+R96+Y96+AF96+AM96+AT96+BA96+BH96+BO96</f>
        <v>0</v>
      </c>
      <c r="BV96" s="0" t="n">
        <f aca="false">E96+L96+S96+Z96+AG96+AN96+AU96+BB96+BI96+BP96</f>
        <v>0</v>
      </c>
      <c r="BW96" s="0" t="n">
        <f aca="false">F96+M96+T96+AA96+AH96+AO96+AV96+BC96+BJ96+BQ96</f>
        <v>0</v>
      </c>
      <c r="BX96" s="0" t="n">
        <f aca="false">G96+N96+U96+AB96+AI96+AP96+AW96+BD96+BK96+BR96</f>
        <v>0</v>
      </c>
      <c r="BY96" s="0" t="n">
        <f aca="false">H96+O96+V96+AC96+AJ96+AQ96+AX96+BE96+BL96+BS96</f>
        <v>0</v>
      </c>
      <c r="BZ96" s="0" t="n">
        <f aca="false">IF(A96&gt;Inputs!$B$7,(1-Inputs!$B$6)*INDEX($BU$6:$BU$125,A96-Inputs!$B$7),0)</f>
        <v>0</v>
      </c>
      <c r="CA96" s="0" t="n">
        <f aca="false">CA95+(1-Inputs!$B$6)*BU96-BZ96</f>
        <v>-1.06979314296041E-010</v>
      </c>
      <c r="CB96" s="0" t="n">
        <f aca="false">BY96+CA96</f>
        <v>-1.06979314296041E-010</v>
      </c>
      <c r="CC96" s="0" t="n">
        <f aca="false">BV96+BW96+BX96+BZ96</f>
        <v>0</v>
      </c>
      <c r="CD96" s="0" t="n">
        <f aca="false">CD95+BU96-BZ96</f>
        <v>10913893.1228094</v>
      </c>
    </row>
    <row r="97" customFormat="false" ht="15" hidden="false" customHeight="false" outlineLevel="0" collapsed="false">
      <c r="A97" s="0" t="n">
        <f aca="false">ROW()-5</f>
        <v>92</v>
      </c>
      <c r="B97" s="0" t="n">
        <f aca="false">Inputs!$D$58-(A97-1)</f>
        <v>-55</v>
      </c>
      <c r="C97" s="0" t="n">
        <f aca="false">IF(B97&lt;=0,0,IF(A97=1,Inputs!$B$58,H96))</f>
        <v>0</v>
      </c>
      <c r="D97" s="0" t="n">
        <f aca="false">C97*Inputs!$B$9</f>
        <v>0</v>
      </c>
      <c r="E97" s="0" t="n">
        <f aca="false">(C97-D97)*Inputs!$C$58/12</f>
        <v>0</v>
      </c>
      <c r="F97" s="0" t="n">
        <f aca="false">IF(B97&lt;=0,0,IF(B97=1,C97-D97,MIN((C97-D97)*(Inputs!$C$58/12)/(1-(1+Inputs!$C$58/12)^(-B97))-E97,C97-D97)))</f>
        <v>0</v>
      </c>
      <c r="G97" s="0" t="n">
        <f aca="false">(C97-D97-F97)*Inputs!$B$10</f>
        <v>0</v>
      </c>
      <c r="H97" s="0" t="n">
        <f aca="false">C97-D97-F97-G97</f>
        <v>0</v>
      </c>
      <c r="I97" s="0" t="n">
        <f aca="false">Inputs!$D$59-(A97-1)</f>
        <v>-43</v>
      </c>
      <c r="J97" s="0" t="n">
        <f aca="false">IF(I97&lt;=0,0,IF(A97=1,Inputs!$B$59,O96))</f>
        <v>0</v>
      </c>
      <c r="K97" s="0" t="n">
        <f aca="false">J97*Inputs!$B$9</f>
        <v>0</v>
      </c>
      <c r="L97" s="0" t="n">
        <f aca="false">(J97-K97)*Inputs!$C$59/12</f>
        <v>0</v>
      </c>
      <c r="M97" s="0" t="n">
        <f aca="false">IF(I97&lt;=0,0,IF(I97=1,J97-K97,MIN((J97-K97)*(Inputs!$C$59/12)/(1-(1+Inputs!$C$59/12)^(-I97))-L97,J97-K97)))</f>
        <v>0</v>
      </c>
      <c r="N97" s="0" t="n">
        <f aca="false">(J97-K97-M97)*Inputs!$B$10</f>
        <v>0</v>
      </c>
      <c r="O97" s="0" t="n">
        <f aca="false">J97-K97-M97-N97</f>
        <v>0</v>
      </c>
      <c r="P97" s="0" t="n">
        <f aca="false">Inputs!$D$60-(A97-1)</f>
        <v>-43</v>
      </c>
      <c r="Q97" s="0" t="n">
        <f aca="false">IF(P97&lt;=0,0,IF(A97=1,Inputs!$B$60,V96))</f>
        <v>0</v>
      </c>
      <c r="R97" s="0" t="n">
        <f aca="false">Q97*Inputs!$B$9</f>
        <v>0</v>
      </c>
      <c r="S97" s="0" t="n">
        <f aca="false">(Q97-R97)*Inputs!$C$60/12</f>
        <v>0</v>
      </c>
      <c r="T97" s="0" t="n">
        <f aca="false">IF(P97&lt;=0,0,IF(P97=1,Q97-R97,MIN((Q97-R97)*(Inputs!$C$60/12)/(1-(1+Inputs!$C$60/12)^(-P97))-S97,Q97-R97)))</f>
        <v>0</v>
      </c>
      <c r="U97" s="0" t="n">
        <f aca="false">(Q97-R97-T97)*Inputs!$B$10</f>
        <v>0</v>
      </c>
      <c r="V97" s="0" t="n">
        <f aca="false">Q97-R97-T97-U97</f>
        <v>0</v>
      </c>
      <c r="W97" s="0" t="n">
        <f aca="false">Inputs!$D$61-(A97-1)</f>
        <v>-31</v>
      </c>
      <c r="X97" s="0" t="n">
        <f aca="false">IF(W97&lt;=0,0,IF(A97=1,Inputs!$B$61,AC96))</f>
        <v>0</v>
      </c>
      <c r="Y97" s="0" t="n">
        <f aca="false">X97*Inputs!$B$9</f>
        <v>0</v>
      </c>
      <c r="Z97" s="0" t="n">
        <f aca="false">(X97-Y97)*Inputs!$C$61/12</f>
        <v>0</v>
      </c>
      <c r="AA97" s="0" t="n">
        <f aca="false">IF(W97&lt;=0,0,IF(W97=1,X97-Y97,MIN((X97-Y97)*(Inputs!$C$61/12)/(1-(1+Inputs!$C$61/12)^(-W97))-Z97,X97-Y97)))</f>
        <v>0</v>
      </c>
      <c r="AB97" s="0" t="n">
        <f aca="false">(X97-Y97-AA97)*Inputs!$B$10</f>
        <v>0</v>
      </c>
      <c r="AC97" s="0" t="n">
        <f aca="false">X97-Y97-AA97-AB97</f>
        <v>0</v>
      </c>
      <c r="AD97" s="0" t="n">
        <f aca="false">Inputs!$D$62-(A97-1)</f>
        <v>-31</v>
      </c>
      <c r="AE97" s="0" t="n">
        <f aca="false">IF(AD97&lt;=0,0,IF(A97=1,Inputs!$B$62,AJ96))</f>
        <v>0</v>
      </c>
      <c r="AF97" s="0" t="n">
        <f aca="false">AE97*Inputs!$B$9</f>
        <v>0</v>
      </c>
      <c r="AG97" s="0" t="n">
        <f aca="false">(AE97-AF97)*Inputs!$C$62/12</f>
        <v>0</v>
      </c>
      <c r="AH97" s="0" t="n">
        <f aca="false">IF(AD97&lt;=0,0,IF(AD97=1,AE97-AF97,MIN((AE97-AF97)*(Inputs!$C$62/12)/(1-(1+Inputs!$C$62/12)^(-AD97))-AG97,AE97-AF97)))</f>
        <v>0</v>
      </c>
      <c r="AI97" s="0" t="n">
        <f aca="false">(AE97-AF97-AH97)*Inputs!$B$10</f>
        <v>0</v>
      </c>
      <c r="AJ97" s="0" t="n">
        <f aca="false">AE97-AF97-AH97-AI97</f>
        <v>0</v>
      </c>
      <c r="AK97" s="0" t="n">
        <f aca="false">Inputs!$D$63-(A97-1)</f>
        <v>-31</v>
      </c>
      <c r="AL97" s="0" t="n">
        <f aca="false">IF(AK97&lt;=0,0,IF(A97=1,Inputs!$B$63,AQ96))</f>
        <v>0</v>
      </c>
      <c r="AM97" s="0" t="n">
        <f aca="false">AL97*Inputs!$B$9</f>
        <v>0</v>
      </c>
      <c r="AN97" s="0" t="n">
        <f aca="false">(AL97-AM97)*Inputs!$C$63/12</f>
        <v>0</v>
      </c>
      <c r="AO97" s="0" t="n">
        <f aca="false">IF(AK97&lt;=0,0,IF(AK97=1,AL97-AM97,MIN((AL97-AM97)*(Inputs!$C$63/12)/(1-(1+Inputs!$C$63/12)^(-AK97))-AN97,AL97-AM97)))</f>
        <v>0</v>
      </c>
      <c r="AP97" s="0" t="n">
        <f aca="false">(AL97-AM97-AO97)*Inputs!$B$10</f>
        <v>0</v>
      </c>
      <c r="AQ97" s="0" t="n">
        <f aca="false">AL97-AM97-AO97-AP97</f>
        <v>0</v>
      </c>
      <c r="AR97" s="0" t="n">
        <f aca="false">Inputs!$D$64-(A97-1)</f>
        <v>-19</v>
      </c>
      <c r="AS97" s="0" t="n">
        <f aca="false">IF(AR97&lt;=0,0,IF(A97=1,Inputs!$B$64,AX96))</f>
        <v>0</v>
      </c>
      <c r="AT97" s="0" t="n">
        <f aca="false">AS97*Inputs!$B$9</f>
        <v>0</v>
      </c>
      <c r="AU97" s="0" t="n">
        <f aca="false">(AS97-AT97)*Inputs!$C$64/12</f>
        <v>0</v>
      </c>
      <c r="AV97" s="0" t="n">
        <f aca="false">IF(AR97&lt;=0,0,IF(AR97=1,AS97-AT97,MIN((AS97-AT97)*(Inputs!$C$64/12)/(1-(1+Inputs!$C$64/12)^(-AR97))-AU97,AS97-AT97)))</f>
        <v>0</v>
      </c>
      <c r="AW97" s="0" t="n">
        <f aca="false">(AS97-AT97-AV97)*Inputs!$B$10</f>
        <v>0</v>
      </c>
      <c r="AX97" s="0" t="n">
        <f aca="false">AS97-AT97-AV97-AW97</f>
        <v>0</v>
      </c>
      <c r="AY97" s="0" t="n">
        <f aca="false">Inputs!$D$65-(A97-1)</f>
        <v>-19</v>
      </c>
      <c r="AZ97" s="0" t="n">
        <f aca="false">IF(AY97&lt;=0,0,IF(A97=1,Inputs!$B$65,BE96))</f>
        <v>0</v>
      </c>
      <c r="BA97" s="0" t="n">
        <f aca="false">AZ97*Inputs!$B$9</f>
        <v>0</v>
      </c>
      <c r="BB97" s="0" t="n">
        <f aca="false">(AZ97-BA97)*Inputs!$C$65/12</f>
        <v>0</v>
      </c>
      <c r="BC97" s="0" t="n">
        <f aca="false">IF(AY97&lt;=0,0,IF(AY97=1,AZ97-BA97,MIN((AZ97-BA97)*(Inputs!$C$65/12)/(1-(1+Inputs!$C$65/12)^(-AY97))-BB97,AZ97-BA97)))</f>
        <v>0</v>
      </c>
      <c r="BD97" s="0" t="n">
        <f aca="false">(AZ97-BA97-BC97)*Inputs!$B$10</f>
        <v>0</v>
      </c>
      <c r="BE97" s="0" t="n">
        <f aca="false">AZ97-BA97-BC97-BD97</f>
        <v>0</v>
      </c>
      <c r="BF97" s="0" t="n">
        <f aca="false">Inputs!$D$66-(A97-1)</f>
        <v>-7</v>
      </c>
      <c r="BG97" s="0" t="n">
        <f aca="false">IF(BF97&lt;=0,0,IF(A97=1,Inputs!$B$66,BL96))</f>
        <v>0</v>
      </c>
      <c r="BH97" s="0" t="n">
        <f aca="false">BG97*Inputs!$B$9</f>
        <v>0</v>
      </c>
      <c r="BI97" s="0" t="n">
        <f aca="false">(BG97-BH97)*Inputs!$C$66/12</f>
        <v>0</v>
      </c>
      <c r="BJ97" s="0" t="n">
        <f aca="false">IF(BF97&lt;=0,0,IF(BF97=1,BG97-BH97,MIN((BG97-BH97)*(Inputs!$C$66/12)/(1-(1+Inputs!$C$66/12)^(-BF97))-BI97,BG97-BH97)))</f>
        <v>0</v>
      </c>
      <c r="BK97" s="0" t="n">
        <f aca="false">(BG97-BH97-BJ97)*Inputs!$B$10</f>
        <v>0</v>
      </c>
      <c r="BL97" s="0" t="n">
        <f aca="false">BG97-BH97-BJ97-BK97</f>
        <v>0</v>
      </c>
      <c r="BM97" s="0" t="n">
        <f aca="false">Inputs!$D$67-(A97-1)</f>
        <v>-7</v>
      </c>
      <c r="BN97" s="0" t="n">
        <f aca="false">IF(BM97&lt;=0,0,IF(A97=1,Inputs!$B$67,BS96))</f>
        <v>0</v>
      </c>
      <c r="BO97" s="0" t="n">
        <f aca="false">BN97*Inputs!$B$9</f>
        <v>0</v>
      </c>
      <c r="BP97" s="0" t="n">
        <f aca="false">(BN97-BO97)*Inputs!$C$67/12</f>
        <v>0</v>
      </c>
      <c r="BQ97" s="0" t="n">
        <f aca="false">IF(BM97&lt;=0,0,IF(BM97=1,BN97-BO97,MIN((BN97-BO97)*(Inputs!$C$67/12)/(1-(1+Inputs!$C$67/12)^(-BM97))-BP97,BN97-BO97)))</f>
        <v>0</v>
      </c>
      <c r="BR97" s="0" t="n">
        <f aca="false">(BN97-BO97-BQ97)*Inputs!$B$10</f>
        <v>0</v>
      </c>
      <c r="BS97" s="0" t="n">
        <f aca="false">BN97-BO97-BQ97-BR97</f>
        <v>0</v>
      </c>
      <c r="BT97" s="0" t="n">
        <f aca="false">C97+J97+Q97+X97+AE97+AL97+AS97+AZ97+BG97+BN97</f>
        <v>0</v>
      </c>
      <c r="BU97" s="0" t="n">
        <f aca="false">D97+K97+R97+Y97+AF97+AM97+AT97+BA97+BH97+BO97</f>
        <v>0</v>
      </c>
      <c r="BV97" s="0" t="n">
        <f aca="false">E97+L97+S97+Z97+AG97+AN97+AU97+BB97+BI97+BP97</f>
        <v>0</v>
      </c>
      <c r="BW97" s="0" t="n">
        <f aca="false">F97+M97+T97+AA97+AH97+AO97+AV97+BC97+BJ97+BQ97</f>
        <v>0</v>
      </c>
      <c r="BX97" s="0" t="n">
        <f aca="false">G97+N97+U97+AB97+AI97+AP97+AW97+BD97+BK97+BR97</f>
        <v>0</v>
      </c>
      <c r="BY97" s="0" t="n">
        <f aca="false">H97+O97+V97+AC97+AJ97+AQ97+AX97+BE97+BL97+BS97</f>
        <v>0</v>
      </c>
      <c r="BZ97" s="0" t="n">
        <f aca="false">IF(A97&gt;Inputs!$B$7,(1-Inputs!$B$6)*INDEX($BU$6:$BU$125,A97-Inputs!$B$7),0)</f>
        <v>0</v>
      </c>
      <c r="CA97" s="0" t="n">
        <f aca="false">CA96+(1-Inputs!$B$6)*BU97-BZ97</f>
        <v>-1.06979314296041E-010</v>
      </c>
      <c r="CB97" s="0" t="n">
        <f aca="false">BY97+CA97</f>
        <v>-1.06979314296041E-010</v>
      </c>
      <c r="CC97" s="0" t="n">
        <f aca="false">BV97+BW97+BX97+BZ97</f>
        <v>0</v>
      </c>
      <c r="CD97" s="0" t="n">
        <f aca="false">CD96+BU97-BZ97</f>
        <v>10913893.1228094</v>
      </c>
    </row>
    <row r="98" customFormat="false" ht="15" hidden="false" customHeight="false" outlineLevel="0" collapsed="false">
      <c r="A98" s="0" t="n">
        <f aca="false">ROW()-5</f>
        <v>93</v>
      </c>
      <c r="B98" s="0" t="n">
        <f aca="false">Inputs!$D$58-(A98-1)</f>
        <v>-56</v>
      </c>
      <c r="C98" s="0" t="n">
        <f aca="false">IF(B98&lt;=0,0,IF(A98=1,Inputs!$B$58,H97))</f>
        <v>0</v>
      </c>
      <c r="D98" s="0" t="n">
        <f aca="false">C98*Inputs!$B$9</f>
        <v>0</v>
      </c>
      <c r="E98" s="0" t="n">
        <f aca="false">(C98-D98)*Inputs!$C$58/12</f>
        <v>0</v>
      </c>
      <c r="F98" s="0" t="n">
        <f aca="false">IF(B98&lt;=0,0,IF(B98=1,C98-D98,MIN((C98-D98)*(Inputs!$C$58/12)/(1-(1+Inputs!$C$58/12)^(-B98))-E98,C98-D98)))</f>
        <v>0</v>
      </c>
      <c r="G98" s="0" t="n">
        <f aca="false">(C98-D98-F98)*Inputs!$B$10</f>
        <v>0</v>
      </c>
      <c r="H98" s="0" t="n">
        <f aca="false">C98-D98-F98-G98</f>
        <v>0</v>
      </c>
      <c r="I98" s="0" t="n">
        <f aca="false">Inputs!$D$59-(A98-1)</f>
        <v>-44</v>
      </c>
      <c r="J98" s="0" t="n">
        <f aca="false">IF(I98&lt;=0,0,IF(A98=1,Inputs!$B$59,O97))</f>
        <v>0</v>
      </c>
      <c r="K98" s="0" t="n">
        <f aca="false">J98*Inputs!$B$9</f>
        <v>0</v>
      </c>
      <c r="L98" s="0" t="n">
        <f aca="false">(J98-K98)*Inputs!$C$59/12</f>
        <v>0</v>
      </c>
      <c r="M98" s="0" t="n">
        <f aca="false">IF(I98&lt;=0,0,IF(I98=1,J98-K98,MIN((J98-K98)*(Inputs!$C$59/12)/(1-(1+Inputs!$C$59/12)^(-I98))-L98,J98-K98)))</f>
        <v>0</v>
      </c>
      <c r="N98" s="0" t="n">
        <f aca="false">(J98-K98-M98)*Inputs!$B$10</f>
        <v>0</v>
      </c>
      <c r="O98" s="0" t="n">
        <f aca="false">J98-K98-M98-N98</f>
        <v>0</v>
      </c>
      <c r="P98" s="0" t="n">
        <f aca="false">Inputs!$D$60-(A98-1)</f>
        <v>-44</v>
      </c>
      <c r="Q98" s="0" t="n">
        <f aca="false">IF(P98&lt;=0,0,IF(A98=1,Inputs!$B$60,V97))</f>
        <v>0</v>
      </c>
      <c r="R98" s="0" t="n">
        <f aca="false">Q98*Inputs!$B$9</f>
        <v>0</v>
      </c>
      <c r="S98" s="0" t="n">
        <f aca="false">(Q98-R98)*Inputs!$C$60/12</f>
        <v>0</v>
      </c>
      <c r="T98" s="0" t="n">
        <f aca="false">IF(P98&lt;=0,0,IF(P98=1,Q98-R98,MIN((Q98-R98)*(Inputs!$C$60/12)/(1-(1+Inputs!$C$60/12)^(-P98))-S98,Q98-R98)))</f>
        <v>0</v>
      </c>
      <c r="U98" s="0" t="n">
        <f aca="false">(Q98-R98-T98)*Inputs!$B$10</f>
        <v>0</v>
      </c>
      <c r="V98" s="0" t="n">
        <f aca="false">Q98-R98-T98-U98</f>
        <v>0</v>
      </c>
      <c r="W98" s="0" t="n">
        <f aca="false">Inputs!$D$61-(A98-1)</f>
        <v>-32</v>
      </c>
      <c r="X98" s="0" t="n">
        <f aca="false">IF(W98&lt;=0,0,IF(A98=1,Inputs!$B$61,AC97))</f>
        <v>0</v>
      </c>
      <c r="Y98" s="0" t="n">
        <f aca="false">X98*Inputs!$B$9</f>
        <v>0</v>
      </c>
      <c r="Z98" s="0" t="n">
        <f aca="false">(X98-Y98)*Inputs!$C$61/12</f>
        <v>0</v>
      </c>
      <c r="AA98" s="0" t="n">
        <f aca="false">IF(W98&lt;=0,0,IF(W98=1,X98-Y98,MIN((X98-Y98)*(Inputs!$C$61/12)/(1-(1+Inputs!$C$61/12)^(-W98))-Z98,X98-Y98)))</f>
        <v>0</v>
      </c>
      <c r="AB98" s="0" t="n">
        <f aca="false">(X98-Y98-AA98)*Inputs!$B$10</f>
        <v>0</v>
      </c>
      <c r="AC98" s="0" t="n">
        <f aca="false">X98-Y98-AA98-AB98</f>
        <v>0</v>
      </c>
      <c r="AD98" s="0" t="n">
        <f aca="false">Inputs!$D$62-(A98-1)</f>
        <v>-32</v>
      </c>
      <c r="AE98" s="0" t="n">
        <f aca="false">IF(AD98&lt;=0,0,IF(A98=1,Inputs!$B$62,AJ97))</f>
        <v>0</v>
      </c>
      <c r="AF98" s="0" t="n">
        <f aca="false">AE98*Inputs!$B$9</f>
        <v>0</v>
      </c>
      <c r="AG98" s="0" t="n">
        <f aca="false">(AE98-AF98)*Inputs!$C$62/12</f>
        <v>0</v>
      </c>
      <c r="AH98" s="0" t="n">
        <f aca="false">IF(AD98&lt;=0,0,IF(AD98=1,AE98-AF98,MIN((AE98-AF98)*(Inputs!$C$62/12)/(1-(1+Inputs!$C$62/12)^(-AD98))-AG98,AE98-AF98)))</f>
        <v>0</v>
      </c>
      <c r="AI98" s="0" t="n">
        <f aca="false">(AE98-AF98-AH98)*Inputs!$B$10</f>
        <v>0</v>
      </c>
      <c r="AJ98" s="0" t="n">
        <f aca="false">AE98-AF98-AH98-AI98</f>
        <v>0</v>
      </c>
      <c r="AK98" s="0" t="n">
        <f aca="false">Inputs!$D$63-(A98-1)</f>
        <v>-32</v>
      </c>
      <c r="AL98" s="0" t="n">
        <f aca="false">IF(AK98&lt;=0,0,IF(A98=1,Inputs!$B$63,AQ97))</f>
        <v>0</v>
      </c>
      <c r="AM98" s="0" t="n">
        <f aca="false">AL98*Inputs!$B$9</f>
        <v>0</v>
      </c>
      <c r="AN98" s="0" t="n">
        <f aca="false">(AL98-AM98)*Inputs!$C$63/12</f>
        <v>0</v>
      </c>
      <c r="AO98" s="0" t="n">
        <f aca="false">IF(AK98&lt;=0,0,IF(AK98=1,AL98-AM98,MIN((AL98-AM98)*(Inputs!$C$63/12)/(1-(1+Inputs!$C$63/12)^(-AK98))-AN98,AL98-AM98)))</f>
        <v>0</v>
      </c>
      <c r="AP98" s="0" t="n">
        <f aca="false">(AL98-AM98-AO98)*Inputs!$B$10</f>
        <v>0</v>
      </c>
      <c r="AQ98" s="0" t="n">
        <f aca="false">AL98-AM98-AO98-AP98</f>
        <v>0</v>
      </c>
      <c r="AR98" s="0" t="n">
        <f aca="false">Inputs!$D$64-(A98-1)</f>
        <v>-20</v>
      </c>
      <c r="AS98" s="0" t="n">
        <f aca="false">IF(AR98&lt;=0,0,IF(A98=1,Inputs!$B$64,AX97))</f>
        <v>0</v>
      </c>
      <c r="AT98" s="0" t="n">
        <f aca="false">AS98*Inputs!$B$9</f>
        <v>0</v>
      </c>
      <c r="AU98" s="0" t="n">
        <f aca="false">(AS98-AT98)*Inputs!$C$64/12</f>
        <v>0</v>
      </c>
      <c r="AV98" s="0" t="n">
        <f aca="false">IF(AR98&lt;=0,0,IF(AR98=1,AS98-AT98,MIN((AS98-AT98)*(Inputs!$C$64/12)/(1-(1+Inputs!$C$64/12)^(-AR98))-AU98,AS98-AT98)))</f>
        <v>0</v>
      </c>
      <c r="AW98" s="0" t="n">
        <f aca="false">(AS98-AT98-AV98)*Inputs!$B$10</f>
        <v>0</v>
      </c>
      <c r="AX98" s="0" t="n">
        <f aca="false">AS98-AT98-AV98-AW98</f>
        <v>0</v>
      </c>
      <c r="AY98" s="0" t="n">
        <f aca="false">Inputs!$D$65-(A98-1)</f>
        <v>-20</v>
      </c>
      <c r="AZ98" s="0" t="n">
        <f aca="false">IF(AY98&lt;=0,0,IF(A98=1,Inputs!$B$65,BE97))</f>
        <v>0</v>
      </c>
      <c r="BA98" s="0" t="n">
        <f aca="false">AZ98*Inputs!$B$9</f>
        <v>0</v>
      </c>
      <c r="BB98" s="0" t="n">
        <f aca="false">(AZ98-BA98)*Inputs!$C$65/12</f>
        <v>0</v>
      </c>
      <c r="BC98" s="0" t="n">
        <f aca="false">IF(AY98&lt;=0,0,IF(AY98=1,AZ98-BA98,MIN((AZ98-BA98)*(Inputs!$C$65/12)/(1-(1+Inputs!$C$65/12)^(-AY98))-BB98,AZ98-BA98)))</f>
        <v>0</v>
      </c>
      <c r="BD98" s="0" t="n">
        <f aca="false">(AZ98-BA98-BC98)*Inputs!$B$10</f>
        <v>0</v>
      </c>
      <c r="BE98" s="0" t="n">
        <f aca="false">AZ98-BA98-BC98-BD98</f>
        <v>0</v>
      </c>
      <c r="BF98" s="0" t="n">
        <f aca="false">Inputs!$D$66-(A98-1)</f>
        <v>-8</v>
      </c>
      <c r="BG98" s="0" t="n">
        <f aca="false">IF(BF98&lt;=0,0,IF(A98=1,Inputs!$B$66,BL97))</f>
        <v>0</v>
      </c>
      <c r="BH98" s="0" t="n">
        <f aca="false">BG98*Inputs!$B$9</f>
        <v>0</v>
      </c>
      <c r="BI98" s="0" t="n">
        <f aca="false">(BG98-BH98)*Inputs!$C$66/12</f>
        <v>0</v>
      </c>
      <c r="BJ98" s="0" t="n">
        <f aca="false">IF(BF98&lt;=0,0,IF(BF98=1,BG98-BH98,MIN((BG98-BH98)*(Inputs!$C$66/12)/(1-(1+Inputs!$C$66/12)^(-BF98))-BI98,BG98-BH98)))</f>
        <v>0</v>
      </c>
      <c r="BK98" s="0" t="n">
        <f aca="false">(BG98-BH98-BJ98)*Inputs!$B$10</f>
        <v>0</v>
      </c>
      <c r="BL98" s="0" t="n">
        <f aca="false">BG98-BH98-BJ98-BK98</f>
        <v>0</v>
      </c>
      <c r="BM98" s="0" t="n">
        <f aca="false">Inputs!$D$67-(A98-1)</f>
        <v>-8</v>
      </c>
      <c r="BN98" s="0" t="n">
        <f aca="false">IF(BM98&lt;=0,0,IF(A98=1,Inputs!$B$67,BS97))</f>
        <v>0</v>
      </c>
      <c r="BO98" s="0" t="n">
        <f aca="false">BN98*Inputs!$B$9</f>
        <v>0</v>
      </c>
      <c r="BP98" s="0" t="n">
        <f aca="false">(BN98-BO98)*Inputs!$C$67/12</f>
        <v>0</v>
      </c>
      <c r="BQ98" s="0" t="n">
        <f aca="false">IF(BM98&lt;=0,0,IF(BM98=1,BN98-BO98,MIN((BN98-BO98)*(Inputs!$C$67/12)/(1-(1+Inputs!$C$67/12)^(-BM98))-BP98,BN98-BO98)))</f>
        <v>0</v>
      </c>
      <c r="BR98" s="0" t="n">
        <f aca="false">(BN98-BO98-BQ98)*Inputs!$B$10</f>
        <v>0</v>
      </c>
      <c r="BS98" s="0" t="n">
        <f aca="false">BN98-BO98-BQ98-BR98</f>
        <v>0</v>
      </c>
      <c r="BT98" s="0" t="n">
        <f aca="false">C98+J98+Q98+X98+AE98+AL98+AS98+AZ98+BG98+BN98</f>
        <v>0</v>
      </c>
      <c r="BU98" s="0" t="n">
        <f aca="false">D98+K98+R98+Y98+AF98+AM98+AT98+BA98+BH98+BO98</f>
        <v>0</v>
      </c>
      <c r="BV98" s="0" t="n">
        <f aca="false">E98+L98+S98+Z98+AG98+AN98+AU98+BB98+BI98+BP98</f>
        <v>0</v>
      </c>
      <c r="BW98" s="0" t="n">
        <f aca="false">F98+M98+T98+AA98+AH98+AO98+AV98+BC98+BJ98+BQ98</f>
        <v>0</v>
      </c>
      <c r="BX98" s="0" t="n">
        <f aca="false">G98+N98+U98+AB98+AI98+AP98+AW98+BD98+BK98+BR98</f>
        <v>0</v>
      </c>
      <c r="BY98" s="0" t="n">
        <f aca="false">H98+O98+V98+AC98+AJ98+AQ98+AX98+BE98+BL98+BS98</f>
        <v>0</v>
      </c>
      <c r="BZ98" s="0" t="n">
        <f aca="false">IF(A98&gt;Inputs!$B$7,(1-Inputs!$B$6)*INDEX($BU$6:$BU$125,A98-Inputs!$B$7),0)</f>
        <v>0</v>
      </c>
      <c r="CA98" s="0" t="n">
        <f aca="false">CA97+(1-Inputs!$B$6)*BU98-BZ98</f>
        <v>-1.06979314296041E-010</v>
      </c>
      <c r="CB98" s="0" t="n">
        <f aca="false">BY98+CA98</f>
        <v>-1.06979314296041E-010</v>
      </c>
      <c r="CC98" s="0" t="n">
        <f aca="false">BV98+BW98+BX98+BZ98</f>
        <v>0</v>
      </c>
      <c r="CD98" s="0" t="n">
        <f aca="false">CD97+BU98-BZ98</f>
        <v>10913893.1228094</v>
      </c>
    </row>
    <row r="99" customFormat="false" ht="15" hidden="false" customHeight="false" outlineLevel="0" collapsed="false">
      <c r="A99" s="0" t="n">
        <f aca="false">ROW()-5</f>
        <v>94</v>
      </c>
      <c r="B99" s="0" t="n">
        <f aca="false">Inputs!$D$58-(A99-1)</f>
        <v>-57</v>
      </c>
      <c r="C99" s="0" t="n">
        <f aca="false">IF(B99&lt;=0,0,IF(A99=1,Inputs!$B$58,H98))</f>
        <v>0</v>
      </c>
      <c r="D99" s="0" t="n">
        <f aca="false">C99*Inputs!$B$9</f>
        <v>0</v>
      </c>
      <c r="E99" s="0" t="n">
        <f aca="false">(C99-D99)*Inputs!$C$58/12</f>
        <v>0</v>
      </c>
      <c r="F99" s="0" t="n">
        <f aca="false">IF(B99&lt;=0,0,IF(B99=1,C99-D99,MIN((C99-D99)*(Inputs!$C$58/12)/(1-(1+Inputs!$C$58/12)^(-B99))-E99,C99-D99)))</f>
        <v>0</v>
      </c>
      <c r="G99" s="0" t="n">
        <f aca="false">(C99-D99-F99)*Inputs!$B$10</f>
        <v>0</v>
      </c>
      <c r="H99" s="0" t="n">
        <f aca="false">C99-D99-F99-G99</f>
        <v>0</v>
      </c>
      <c r="I99" s="0" t="n">
        <f aca="false">Inputs!$D$59-(A99-1)</f>
        <v>-45</v>
      </c>
      <c r="J99" s="0" t="n">
        <f aca="false">IF(I99&lt;=0,0,IF(A99=1,Inputs!$B$59,O98))</f>
        <v>0</v>
      </c>
      <c r="K99" s="0" t="n">
        <f aca="false">J99*Inputs!$B$9</f>
        <v>0</v>
      </c>
      <c r="L99" s="0" t="n">
        <f aca="false">(J99-K99)*Inputs!$C$59/12</f>
        <v>0</v>
      </c>
      <c r="M99" s="0" t="n">
        <f aca="false">IF(I99&lt;=0,0,IF(I99=1,J99-K99,MIN((J99-K99)*(Inputs!$C$59/12)/(1-(1+Inputs!$C$59/12)^(-I99))-L99,J99-K99)))</f>
        <v>0</v>
      </c>
      <c r="N99" s="0" t="n">
        <f aca="false">(J99-K99-M99)*Inputs!$B$10</f>
        <v>0</v>
      </c>
      <c r="O99" s="0" t="n">
        <f aca="false">J99-K99-M99-N99</f>
        <v>0</v>
      </c>
      <c r="P99" s="0" t="n">
        <f aca="false">Inputs!$D$60-(A99-1)</f>
        <v>-45</v>
      </c>
      <c r="Q99" s="0" t="n">
        <f aca="false">IF(P99&lt;=0,0,IF(A99=1,Inputs!$B$60,V98))</f>
        <v>0</v>
      </c>
      <c r="R99" s="0" t="n">
        <f aca="false">Q99*Inputs!$B$9</f>
        <v>0</v>
      </c>
      <c r="S99" s="0" t="n">
        <f aca="false">(Q99-R99)*Inputs!$C$60/12</f>
        <v>0</v>
      </c>
      <c r="T99" s="0" t="n">
        <f aca="false">IF(P99&lt;=0,0,IF(P99=1,Q99-R99,MIN((Q99-R99)*(Inputs!$C$60/12)/(1-(1+Inputs!$C$60/12)^(-P99))-S99,Q99-R99)))</f>
        <v>0</v>
      </c>
      <c r="U99" s="0" t="n">
        <f aca="false">(Q99-R99-T99)*Inputs!$B$10</f>
        <v>0</v>
      </c>
      <c r="V99" s="0" t="n">
        <f aca="false">Q99-R99-T99-U99</f>
        <v>0</v>
      </c>
      <c r="W99" s="0" t="n">
        <f aca="false">Inputs!$D$61-(A99-1)</f>
        <v>-33</v>
      </c>
      <c r="X99" s="0" t="n">
        <f aca="false">IF(W99&lt;=0,0,IF(A99=1,Inputs!$B$61,AC98))</f>
        <v>0</v>
      </c>
      <c r="Y99" s="0" t="n">
        <f aca="false">X99*Inputs!$B$9</f>
        <v>0</v>
      </c>
      <c r="Z99" s="0" t="n">
        <f aca="false">(X99-Y99)*Inputs!$C$61/12</f>
        <v>0</v>
      </c>
      <c r="AA99" s="0" t="n">
        <f aca="false">IF(W99&lt;=0,0,IF(W99=1,X99-Y99,MIN((X99-Y99)*(Inputs!$C$61/12)/(1-(1+Inputs!$C$61/12)^(-W99))-Z99,X99-Y99)))</f>
        <v>0</v>
      </c>
      <c r="AB99" s="0" t="n">
        <f aca="false">(X99-Y99-AA99)*Inputs!$B$10</f>
        <v>0</v>
      </c>
      <c r="AC99" s="0" t="n">
        <f aca="false">X99-Y99-AA99-AB99</f>
        <v>0</v>
      </c>
      <c r="AD99" s="0" t="n">
        <f aca="false">Inputs!$D$62-(A99-1)</f>
        <v>-33</v>
      </c>
      <c r="AE99" s="0" t="n">
        <f aca="false">IF(AD99&lt;=0,0,IF(A99=1,Inputs!$B$62,AJ98))</f>
        <v>0</v>
      </c>
      <c r="AF99" s="0" t="n">
        <f aca="false">AE99*Inputs!$B$9</f>
        <v>0</v>
      </c>
      <c r="AG99" s="0" t="n">
        <f aca="false">(AE99-AF99)*Inputs!$C$62/12</f>
        <v>0</v>
      </c>
      <c r="AH99" s="0" t="n">
        <f aca="false">IF(AD99&lt;=0,0,IF(AD99=1,AE99-AF99,MIN((AE99-AF99)*(Inputs!$C$62/12)/(1-(1+Inputs!$C$62/12)^(-AD99))-AG99,AE99-AF99)))</f>
        <v>0</v>
      </c>
      <c r="AI99" s="0" t="n">
        <f aca="false">(AE99-AF99-AH99)*Inputs!$B$10</f>
        <v>0</v>
      </c>
      <c r="AJ99" s="0" t="n">
        <f aca="false">AE99-AF99-AH99-AI99</f>
        <v>0</v>
      </c>
      <c r="AK99" s="0" t="n">
        <f aca="false">Inputs!$D$63-(A99-1)</f>
        <v>-33</v>
      </c>
      <c r="AL99" s="0" t="n">
        <f aca="false">IF(AK99&lt;=0,0,IF(A99=1,Inputs!$B$63,AQ98))</f>
        <v>0</v>
      </c>
      <c r="AM99" s="0" t="n">
        <f aca="false">AL99*Inputs!$B$9</f>
        <v>0</v>
      </c>
      <c r="AN99" s="0" t="n">
        <f aca="false">(AL99-AM99)*Inputs!$C$63/12</f>
        <v>0</v>
      </c>
      <c r="AO99" s="0" t="n">
        <f aca="false">IF(AK99&lt;=0,0,IF(AK99=1,AL99-AM99,MIN((AL99-AM99)*(Inputs!$C$63/12)/(1-(1+Inputs!$C$63/12)^(-AK99))-AN99,AL99-AM99)))</f>
        <v>0</v>
      </c>
      <c r="AP99" s="0" t="n">
        <f aca="false">(AL99-AM99-AO99)*Inputs!$B$10</f>
        <v>0</v>
      </c>
      <c r="AQ99" s="0" t="n">
        <f aca="false">AL99-AM99-AO99-AP99</f>
        <v>0</v>
      </c>
      <c r="AR99" s="0" t="n">
        <f aca="false">Inputs!$D$64-(A99-1)</f>
        <v>-21</v>
      </c>
      <c r="AS99" s="0" t="n">
        <f aca="false">IF(AR99&lt;=0,0,IF(A99=1,Inputs!$B$64,AX98))</f>
        <v>0</v>
      </c>
      <c r="AT99" s="0" t="n">
        <f aca="false">AS99*Inputs!$B$9</f>
        <v>0</v>
      </c>
      <c r="AU99" s="0" t="n">
        <f aca="false">(AS99-AT99)*Inputs!$C$64/12</f>
        <v>0</v>
      </c>
      <c r="AV99" s="0" t="n">
        <f aca="false">IF(AR99&lt;=0,0,IF(AR99=1,AS99-AT99,MIN((AS99-AT99)*(Inputs!$C$64/12)/(1-(1+Inputs!$C$64/12)^(-AR99))-AU99,AS99-AT99)))</f>
        <v>0</v>
      </c>
      <c r="AW99" s="0" t="n">
        <f aca="false">(AS99-AT99-AV99)*Inputs!$B$10</f>
        <v>0</v>
      </c>
      <c r="AX99" s="0" t="n">
        <f aca="false">AS99-AT99-AV99-AW99</f>
        <v>0</v>
      </c>
      <c r="AY99" s="0" t="n">
        <f aca="false">Inputs!$D$65-(A99-1)</f>
        <v>-21</v>
      </c>
      <c r="AZ99" s="0" t="n">
        <f aca="false">IF(AY99&lt;=0,0,IF(A99=1,Inputs!$B$65,BE98))</f>
        <v>0</v>
      </c>
      <c r="BA99" s="0" t="n">
        <f aca="false">AZ99*Inputs!$B$9</f>
        <v>0</v>
      </c>
      <c r="BB99" s="0" t="n">
        <f aca="false">(AZ99-BA99)*Inputs!$C$65/12</f>
        <v>0</v>
      </c>
      <c r="BC99" s="0" t="n">
        <f aca="false">IF(AY99&lt;=0,0,IF(AY99=1,AZ99-BA99,MIN((AZ99-BA99)*(Inputs!$C$65/12)/(1-(1+Inputs!$C$65/12)^(-AY99))-BB99,AZ99-BA99)))</f>
        <v>0</v>
      </c>
      <c r="BD99" s="0" t="n">
        <f aca="false">(AZ99-BA99-BC99)*Inputs!$B$10</f>
        <v>0</v>
      </c>
      <c r="BE99" s="0" t="n">
        <f aca="false">AZ99-BA99-BC99-BD99</f>
        <v>0</v>
      </c>
      <c r="BF99" s="0" t="n">
        <f aca="false">Inputs!$D$66-(A99-1)</f>
        <v>-9</v>
      </c>
      <c r="BG99" s="0" t="n">
        <f aca="false">IF(BF99&lt;=0,0,IF(A99=1,Inputs!$B$66,BL98))</f>
        <v>0</v>
      </c>
      <c r="BH99" s="0" t="n">
        <f aca="false">BG99*Inputs!$B$9</f>
        <v>0</v>
      </c>
      <c r="BI99" s="0" t="n">
        <f aca="false">(BG99-BH99)*Inputs!$C$66/12</f>
        <v>0</v>
      </c>
      <c r="BJ99" s="0" t="n">
        <f aca="false">IF(BF99&lt;=0,0,IF(BF99=1,BG99-BH99,MIN((BG99-BH99)*(Inputs!$C$66/12)/(1-(1+Inputs!$C$66/12)^(-BF99))-BI99,BG99-BH99)))</f>
        <v>0</v>
      </c>
      <c r="BK99" s="0" t="n">
        <f aca="false">(BG99-BH99-BJ99)*Inputs!$B$10</f>
        <v>0</v>
      </c>
      <c r="BL99" s="0" t="n">
        <f aca="false">BG99-BH99-BJ99-BK99</f>
        <v>0</v>
      </c>
      <c r="BM99" s="0" t="n">
        <f aca="false">Inputs!$D$67-(A99-1)</f>
        <v>-9</v>
      </c>
      <c r="BN99" s="0" t="n">
        <f aca="false">IF(BM99&lt;=0,0,IF(A99=1,Inputs!$B$67,BS98))</f>
        <v>0</v>
      </c>
      <c r="BO99" s="0" t="n">
        <f aca="false">BN99*Inputs!$B$9</f>
        <v>0</v>
      </c>
      <c r="BP99" s="0" t="n">
        <f aca="false">(BN99-BO99)*Inputs!$C$67/12</f>
        <v>0</v>
      </c>
      <c r="BQ99" s="0" t="n">
        <f aca="false">IF(BM99&lt;=0,0,IF(BM99=1,BN99-BO99,MIN((BN99-BO99)*(Inputs!$C$67/12)/(1-(1+Inputs!$C$67/12)^(-BM99))-BP99,BN99-BO99)))</f>
        <v>0</v>
      </c>
      <c r="BR99" s="0" t="n">
        <f aca="false">(BN99-BO99-BQ99)*Inputs!$B$10</f>
        <v>0</v>
      </c>
      <c r="BS99" s="0" t="n">
        <f aca="false">BN99-BO99-BQ99-BR99</f>
        <v>0</v>
      </c>
      <c r="BT99" s="0" t="n">
        <f aca="false">C99+J99+Q99+X99+AE99+AL99+AS99+AZ99+BG99+BN99</f>
        <v>0</v>
      </c>
      <c r="BU99" s="0" t="n">
        <f aca="false">D99+K99+R99+Y99+AF99+AM99+AT99+BA99+BH99+BO99</f>
        <v>0</v>
      </c>
      <c r="BV99" s="0" t="n">
        <f aca="false">E99+L99+S99+Z99+AG99+AN99+AU99+BB99+BI99+BP99</f>
        <v>0</v>
      </c>
      <c r="BW99" s="0" t="n">
        <f aca="false">F99+M99+T99+AA99+AH99+AO99+AV99+BC99+BJ99+BQ99</f>
        <v>0</v>
      </c>
      <c r="BX99" s="0" t="n">
        <f aca="false">G99+N99+U99+AB99+AI99+AP99+AW99+BD99+BK99+BR99</f>
        <v>0</v>
      </c>
      <c r="BY99" s="0" t="n">
        <f aca="false">H99+O99+V99+AC99+AJ99+AQ99+AX99+BE99+BL99+BS99</f>
        <v>0</v>
      </c>
      <c r="BZ99" s="0" t="n">
        <f aca="false">IF(A99&gt;Inputs!$B$7,(1-Inputs!$B$6)*INDEX($BU$6:$BU$125,A99-Inputs!$B$7),0)</f>
        <v>0</v>
      </c>
      <c r="CA99" s="0" t="n">
        <f aca="false">CA98+(1-Inputs!$B$6)*BU99-BZ99</f>
        <v>-1.06979314296041E-010</v>
      </c>
      <c r="CB99" s="0" t="n">
        <f aca="false">BY99+CA99</f>
        <v>-1.06979314296041E-010</v>
      </c>
      <c r="CC99" s="0" t="n">
        <f aca="false">BV99+BW99+BX99+BZ99</f>
        <v>0</v>
      </c>
      <c r="CD99" s="0" t="n">
        <f aca="false">CD98+BU99-BZ99</f>
        <v>10913893.1228094</v>
      </c>
    </row>
    <row r="100" customFormat="false" ht="15" hidden="false" customHeight="false" outlineLevel="0" collapsed="false">
      <c r="A100" s="0" t="n">
        <f aca="false">ROW()-5</f>
        <v>95</v>
      </c>
      <c r="B100" s="0" t="n">
        <f aca="false">Inputs!$D$58-(A100-1)</f>
        <v>-58</v>
      </c>
      <c r="C100" s="0" t="n">
        <f aca="false">IF(B100&lt;=0,0,IF(A100=1,Inputs!$B$58,H99))</f>
        <v>0</v>
      </c>
      <c r="D100" s="0" t="n">
        <f aca="false">C100*Inputs!$B$9</f>
        <v>0</v>
      </c>
      <c r="E100" s="0" t="n">
        <f aca="false">(C100-D100)*Inputs!$C$58/12</f>
        <v>0</v>
      </c>
      <c r="F100" s="0" t="n">
        <f aca="false">IF(B100&lt;=0,0,IF(B100=1,C100-D100,MIN((C100-D100)*(Inputs!$C$58/12)/(1-(1+Inputs!$C$58/12)^(-B100))-E100,C100-D100)))</f>
        <v>0</v>
      </c>
      <c r="G100" s="0" t="n">
        <f aca="false">(C100-D100-F100)*Inputs!$B$10</f>
        <v>0</v>
      </c>
      <c r="H100" s="0" t="n">
        <f aca="false">C100-D100-F100-G100</f>
        <v>0</v>
      </c>
      <c r="I100" s="0" t="n">
        <f aca="false">Inputs!$D$59-(A100-1)</f>
        <v>-46</v>
      </c>
      <c r="J100" s="0" t="n">
        <f aca="false">IF(I100&lt;=0,0,IF(A100=1,Inputs!$B$59,O99))</f>
        <v>0</v>
      </c>
      <c r="K100" s="0" t="n">
        <f aca="false">J100*Inputs!$B$9</f>
        <v>0</v>
      </c>
      <c r="L100" s="0" t="n">
        <f aca="false">(J100-K100)*Inputs!$C$59/12</f>
        <v>0</v>
      </c>
      <c r="M100" s="0" t="n">
        <f aca="false">IF(I100&lt;=0,0,IF(I100=1,J100-K100,MIN((J100-K100)*(Inputs!$C$59/12)/(1-(1+Inputs!$C$59/12)^(-I100))-L100,J100-K100)))</f>
        <v>0</v>
      </c>
      <c r="N100" s="0" t="n">
        <f aca="false">(J100-K100-M100)*Inputs!$B$10</f>
        <v>0</v>
      </c>
      <c r="O100" s="0" t="n">
        <f aca="false">J100-K100-M100-N100</f>
        <v>0</v>
      </c>
      <c r="P100" s="0" t="n">
        <f aca="false">Inputs!$D$60-(A100-1)</f>
        <v>-46</v>
      </c>
      <c r="Q100" s="0" t="n">
        <f aca="false">IF(P100&lt;=0,0,IF(A100=1,Inputs!$B$60,V99))</f>
        <v>0</v>
      </c>
      <c r="R100" s="0" t="n">
        <f aca="false">Q100*Inputs!$B$9</f>
        <v>0</v>
      </c>
      <c r="S100" s="0" t="n">
        <f aca="false">(Q100-R100)*Inputs!$C$60/12</f>
        <v>0</v>
      </c>
      <c r="T100" s="0" t="n">
        <f aca="false">IF(P100&lt;=0,0,IF(P100=1,Q100-R100,MIN((Q100-R100)*(Inputs!$C$60/12)/(1-(1+Inputs!$C$60/12)^(-P100))-S100,Q100-R100)))</f>
        <v>0</v>
      </c>
      <c r="U100" s="0" t="n">
        <f aca="false">(Q100-R100-T100)*Inputs!$B$10</f>
        <v>0</v>
      </c>
      <c r="V100" s="0" t="n">
        <f aca="false">Q100-R100-T100-U100</f>
        <v>0</v>
      </c>
      <c r="W100" s="0" t="n">
        <f aca="false">Inputs!$D$61-(A100-1)</f>
        <v>-34</v>
      </c>
      <c r="X100" s="0" t="n">
        <f aca="false">IF(W100&lt;=0,0,IF(A100=1,Inputs!$B$61,AC99))</f>
        <v>0</v>
      </c>
      <c r="Y100" s="0" t="n">
        <f aca="false">X100*Inputs!$B$9</f>
        <v>0</v>
      </c>
      <c r="Z100" s="0" t="n">
        <f aca="false">(X100-Y100)*Inputs!$C$61/12</f>
        <v>0</v>
      </c>
      <c r="AA100" s="0" t="n">
        <f aca="false">IF(W100&lt;=0,0,IF(W100=1,X100-Y100,MIN((X100-Y100)*(Inputs!$C$61/12)/(1-(1+Inputs!$C$61/12)^(-W100))-Z100,X100-Y100)))</f>
        <v>0</v>
      </c>
      <c r="AB100" s="0" t="n">
        <f aca="false">(X100-Y100-AA100)*Inputs!$B$10</f>
        <v>0</v>
      </c>
      <c r="AC100" s="0" t="n">
        <f aca="false">X100-Y100-AA100-AB100</f>
        <v>0</v>
      </c>
      <c r="AD100" s="0" t="n">
        <f aca="false">Inputs!$D$62-(A100-1)</f>
        <v>-34</v>
      </c>
      <c r="AE100" s="0" t="n">
        <f aca="false">IF(AD100&lt;=0,0,IF(A100=1,Inputs!$B$62,AJ99))</f>
        <v>0</v>
      </c>
      <c r="AF100" s="0" t="n">
        <f aca="false">AE100*Inputs!$B$9</f>
        <v>0</v>
      </c>
      <c r="AG100" s="0" t="n">
        <f aca="false">(AE100-AF100)*Inputs!$C$62/12</f>
        <v>0</v>
      </c>
      <c r="AH100" s="0" t="n">
        <f aca="false">IF(AD100&lt;=0,0,IF(AD100=1,AE100-AF100,MIN((AE100-AF100)*(Inputs!$C$62/12)/(1-(1+Inputs!$C$62/12)^(-AD100))-AG100,AE100-AF100)))</f>
        <v>0</v>
      </c>
      <c r="AI100" s="0" t="n">
        <f aca="false">(AE100-AF100-AH100)*Inputs!$B$10</f>
        <v>0</v>
      </c>
      <c r="AJ100" s="0" t="n">
        <f aca="false">AE100-AF100-AH100-AI100</f>
        <v>0</v>
      </c>
      <c r="AK100" s="0" t="n">
        <f aca="false">Inputs!$D$63-(A100-1)</f>
        <v>-34</v>
      </c>
      <c r="AL100" s="0" t="n">
        <f aca="false">IF(AK100&lt;=0,0,IF(A100=1,Inputs!$B$63,AQ99))</f>
        <v>0</v>
      </c>
      <c r="AM100" s="0" t="n">
        <f aca="false">AL100*Inputs!$B$9</f>
        <v>0</v>
      </c>
      <c r="AN100" s="0" t="n">
        <f aca="false">(AL100-AM100)*Inputs!$C$63/12</f>
        <v>0</v>
      </c>
      <c r="AO100" s="0" t="n">
        <f aca="false">IF(AK100&lt;=0,0,IF(AK100=1,AL100-AM100,MIN((AL100-AM100)*(Inputs!$C$63/12)/(1-(1+Inputs!$C$63/12)^(-AK100))-AN100,AL100-AM100)))</f>
        <v>0</v>
      </c>
      <c r="AP100" s="0" t="n">
        <f aca="false">(AL100-AM100-AO100)*Inputs!$B$10</f>
        <v>0</v>
      </c>
      <c r="AQ100" s="0" t="n">
        <f aca="false">AL100-AM100-AO100-AP100</f>
        <v>0</v>
      </c>
      <c r="AR100" s="0" t="n">
        <f aca="false">Inputs!$D$64-(A100-1)</f>
        <v>-22</v>
      </c>
      <c r="AS100" s="0" t="n">
        <f aca="false">IF(AR100&lt;=0,0,IF(A100=1,Inputs!$B$64,AX99))</f>
        <v>0</v>
      </c>
      <c r="AT100" s="0" t="n">
        <f aca="false">AS100*Inputs!$B$9</f>
        <v>0</v>
      </c>
      <c r="AU100" s="0" t="n">
        <f aca="false">(AS100-AT100)*Inputs!$C$64/12</f>
        <v>0</v>
      </c>
      <c r="AV100" s="0" t="n">
        <f aca="false">IF(AR100&lt;=0,0,IF(AR100=1,AS100-AT100,MIN((AS100-AT100)*(Inputs!$C$64/12)/(1-(1+Inputs!$C$64/12)^(-AR100))-AU100,AS100-AT100)))</f>
        <v>0</v>
      </c>
      <c r="AW100" s="0" t="n">
        <f aca="false">(AS100-AT100-AV100)*Inputs!$B$10</f>
        <v>0</v>
      </c>
      <c r="AX100" s="0" t="n">
        <f aca="false">AS100-AT100-AV100-AW100</f>
        <v>0</v>
      </c>
      <c r="AY100" s="0" t="n">
        <f aca="false">Inputs!$D$65-(A100-1)</f>
        <v>-22</v>
      </c>
      <c r="AZ100" s="0" t="n">
        <f aca="false">IF(AY100&lt;=0,0,IF(A100=1,Inputs!$B$65,BE99))</f>
        <v>0</v>
      </c>
      <c r="BA100" s="0" t="n">
        <f aca="false">AZ100*Inputs!$B$9</f>
        <v>0</v>
      </c>
      <c r="BB100" s="0" t="n">
        <f aca="false">(AZ100-BA100)*Inputs!$C$65/12</f>
        <v>0</v>
      </c>
      <c r="BC100" s="0" t="n">
        <f aca="false">IF(AY100&lt;=0,0,IF(AY100=1,AZ100-BA100,MIN((AZ100-BA100)*(Inputs!$C$65/12)/(1-(1+Inputs!$C$65/12)^(-AY100))-BB100,AZ100-BA100)))</f>
        <v>0</v>
      </c>
      <c r="BD100" s="0" t="n">
        <f aca="false">(AZ100-BA100-BC100)*Inputs!$B$10</f>
        <v>0</v>
      </c>
      <c r="BE100" s="0" t="n">
        <f aca="false">AZ100-BA100-BC100-BD100</f>
        <v>0</v>
      </c>
      <c r="BF100" s="0" t="n">
        <f aca="false">Inputs!$D$66-(A100-1)</f>
        <v>-10</v>
      </c>
      <c r="BG100" s="0" t="n">
        <f aca="false">IF(BF100&lt;=0,0,IF(A100=1,Inputs!$B$66,BL99))</f>
        <v>0</v>
      </c>
      <c r="BH100" s="0" t="n">
        <f aca="false">BG100*Inputs!$B$9</f>
        <v>0</v>
      </c>
      <c r="BI100" s="0" t="n">
        <f aca="false">(BG100-BH100)*Inputs!$C$66/12</f>
        <v>0</v>
      </c>
      <c r="BJ100" s="0" t="n">
        <f aca="false">IF(BF100&lt;=0,0,IF(BF100=1,BG100-BH100,MIN((BG100-BH100)*(Inputs!$C$66/12)/(1-(1+Inputs!$C$66/12)^(-BF100))-BI100,BG100-BH100)))</f>
        <v>0</v>
      </c>
      <c r="BK100" s="0" t="n">
        <f aca="false">(BG100-BH100-BJ100)*Inputs!$B$10</f>
        <v>0</v>
      </c>
      <c r="BL100" s="0" t="n">
        <f aca="false">BG100-BH100-BJ100-BK100</f>
        <v>0</v>
      </c>
      <c r="BM100" s="0" t="n">
        <f aca="false">Inputs!$D$67-(A100-1)</f>
        <v>-10</v>
      </c>
      <c r="BN100" s="0" t="n">
        <f aca="false">IF(BM100&lt;=0,0,IF(A100=1,Inputs!$B$67,BS99))</f>
        <v>0</v>
      </c>
      <c r="BO100" s="0" t="n">
        <f aca="false">BN100*Inputs!$B$9</f>
        <v>0</v>
      </c>
      <c r="BP100" s="0" t="n">
        <f aca="false">(BN100-BO100)*Inputs!$C$67/12</f>
        <v>0</v>
      </c>
      <c r="BQ100" s="0" t="n">
        <f aca="false">IF(BM100&lt;=0,0,IF(BM100=1,BN100-BO100,MIN((BN100-BO100)*(Inputs!$C$67/12)/(1-(1+Inputs!$C$67/12)^(-BM100))-BP100,BN100-BO100)))</f>
        <v>0</v>
      </c>
      <c r="BR100" s="0" t="n">
        <f aca="false">(BN100-BO100-BQ100)*Inputs!$B$10</f>
        <v>0</v>
      </c>
      <c r="BS100" s="0" t="n">
        <f aca="false">BN100-BO100-BQ100-BR100</f>
        <v>0</v>
      </c>
      <c r="BT100" s="0" t="n">
        <f aca="false">C100+J100+Q100+X100+AE100+AL100+AS100+AZ100+BG100+BN100</f>
        <v>0</v>
      </c>
      <c r="BU100" s="0" t="n">
        <f aca="false">D100+K100+R100+Y100+AF100+AM100+AT100+BA100+BH100+BO100</f>
        <v>0</v>
      </c>
      <c r="BV100" s="0" t="n">
        <f aca="false">E100+L100+S100+Z100+AG100+AN100+AU100+BB100+BI100+BP100</f>
        <v>0</v>
      </c>
      <c r="BW100" s="0" t="n">
        <f aca="false">F100+M100+T100+AA100+AH100+AO100+AV100+BC100+BJ100+BQ100</f>
        <v>0</v>
      </c>
      <c r="BX100" s="0" t="n">
        <f aca="false">G100+N100+U100+AB100+AI100+AP100+AW100+BD100+BK100+BR100</f>
        <v>0</v>
      </c>
      <c r="BY100" s="0" t="n">
        <f aca="false">H100+O100+V100+AC100+AJ100+AQ100+AX100+BE100+BL100+BS100</f>
        <v>0</v>
      </c>
      <c r="BZ100" s="0" t="n">
        <f aca="false">IF(A100&gt;Inputs!$B$7,(1-Inputs!$B$6)*INDEX($BU$6:$BU$125,A100-Inputs!$B$7),0)</f>
        <v>0</v>
      </c>
      <c r="CA100" s="0" t="n">
        <f aca="false">CA99+(1-Inputs!$B$6)*BU100-BZ100</f>
        <v>-1.06979314296041E-010</v>
      </c>
      <c r="CB100" s="0" t="n">
        <f aca="false">BY100+CA100</f>
        <v>-1.06979314296041E-010</v>
      </c>
      <c r="CC100" s="0" t="n">
        <f aca="false">BV100+BW100+BX100+BZ100</f>
        <v>0</v>
      </c>
      <c r="CD100" s="0" t="n">
        <f aca="false">CD99+BU100-BZ100</f>
        <v>10913893.1228094</v>
      </c>
    </row>
    <row r="101" customFormat="false" ht="15" hidden="false" customHeight="false" outlineLevel="0" collapsed="false">
      <c r="A101" s="0" t="n">
        <f aca="false">ROW()-5</f>
        <v>96</v>
      </c>
      <c r="B101" s="0" t="n">
        <f aca="false">Inputs!$D$58-(A101-1)</f>
        <v>-59</v>
      </c>
      <c r="C101" s="0" t="n">
        <f aca="false">IF(B101&lt;=0,0,IF(A101=1,Inputs!$B$58,H100))</f>
        <v>0</v>
      </c>
      <c r="D101" s="0" t="n">
        <f aca="false">C101*Inputs!$B$9</f>
        <v>0</v>
      </c>
      <c r="E101" s="0" t="n">
        <f aca="false">(C101-D101)*Inputs!$C$58/12</f>
        <v>0</v>
      </c>
      <c r="F101" s="0" t="n">
        <f aca="false">IF(B101&lt;=0,0,IF(B101=1,C101-D101,MIN((C101-D101)*(Inputs!$C$58/12)/(1-(1+Inputs!$C$58/12)^(-B101))-E101,C101-D101)))</f>
        <v>0</v>
      </c>
      <c r="G101" s="0" t="n">
        <f aca="false">(C101-D101-F101)*Inputs!$B$10</f>
        <v>0</v>
      </c>
      <c r="H101" s="0" t="n">
        <f aca="false">C101-D101-F101-G101</f>
        <v>0</v>
      </c>
      <c r="I101" s="0" t="n">
        <f aca="false">Inputs!$D$59-(A101-1)</f>
        <v>-47</v>
      </c>
      <c r="J101" s="0" t="n">
        <f aca="false">IF(I101&lt;=0,0,IF(A101=1,Inputs!$B$59,O100))</f>
        <v>0</v>
      </c>
      <c r="K101" s="0" t="n">
        <f aca="false">J101*Inputs!$B$9</f>
        <v>0</v>
      </c>
      <c r="L101" s="0" t="n">
        <f aca="false">(J101-K101)*Inputs!$C$59/12</f>
        <v>0</v>
      </c>
      <c r="M101" s="0" t="n">
        <f aca="false">IF(I101&lt;=0,0,IF(I101=1,J101-K101,MIN((J101-K101)*(Inputs!$C$59/12)/(1-(1+Inputs!$C$59/12)^(-I101))-L101,J101-K101)))</f>
        <v>0</v>
      </c>
      <c r="N101" s="0" t="n">
        <f aca="false">(J101-K101-M101)*Inputs!$B$10</f>
        <v>0</v>
      </c>
      <c r="O101" s="0" t="n">
        <f aca="false">J101-K101-M101-N101</f>
        <v>0</v>
      </c>
      <c r="P101" s="0" t="n">
        <f aca="false">Inputs!$D$60-(A101-1)</f>
        <v>-47</v>
      </c>
      <c r="Q101" s="0" t="n">
        <f aca="false">IF(P101&lt;=0,0,IF(A101=1,Inputs!$B$60,V100))</f>
        <v>0</v>
      </c>
      <c r="R101" s="0" t="n">
        <f aca="false">Q101*Inputs!$B$9</f>
        <v>0</v>
      </c>
      <c r="S101" s="0" t="n">
        <f aca="false">(Q101-R101)*Inputs!$C$60/12</f>
        <v>0</v>
      </c>
      <c r="T101" s="0" t="n">
        <f aca="false">IF(P101&lt;=0,0,IF(P101=1,Q101-R101,MIN((Q101-R101)*(Inputs!$C$60/12)/(1-(1+Inputs!$C$60/12)^(-P101))-S101,Q101-R101)))</f>
        <v>0</v>
      </c>
      <c r="U101" s="0" t="n">
        <f aca="false">(Q101-R101-T101)*Inputs!$B$10</f>
        <v>0</v>
      </c>
      <c r="V101" s="0" t="n">
        <f aca="false">Q101-R101-T101-U101</f>
        <v>0</v>
      </c>
      <c r="W101" s="0" t="n">
        <f aca="false">Inputs!$D$61-(A101-1)</f>
        <v>-35</v>
      </c>
      <c r="X101" s="0" t="n">
        <f aca="false">IF(W101&lt;=0,0,IF(A101=1,Inputs!$B$61,AC100))</f>
        <v>0</v>
      </c>
      <c r="Y101" s="0" t="n">
        <f aca="false">X101*Inputs!$B$9</f>
        <v>0</v>
      </c>
      <c r="Z101" s="0" t="n">
        <f aca="false">(X101-Y101)*Inputs!$C$61/12</f>
        <v>0</v>
      </c>
      <c r="AA101" s="0" t="n">
        <f aca="false">IF(W101&lt;=0,0,IF(W101=1,X101-Y101,MIN((X101-Y101)*(Inputs!$C$61/12)/(1-(1+Inputs!$C$61/12)^(-W101))-Z101,X101-Y101)))</f>
        <v>0</v>
      </c>
      <c r="AB101" s="0" t="n">
        <f aca="false">(X101-Y101-AA101)*Inputs!$B$10</f>
        <v>0</v>
      </c>
      <c r="AC101" s="0" t="n">
        <f aca="false">X101-Y101-AA101-AB101</f>
        <v>0</v>
      </c>
      <c r="AD101" s="0" t="n">
        <f aca="false">Inputs!$D$62-(A101-1)</f>
        <v>-35</v>
      </c>
      <c r="AE101" s="0" t="n">
        <f aca="false">IF(AD101&lt;=0,0,IF(A101=1,Inputs!$B$62,AJ100))</f>
        <v>0</v>
      </c>
      <c r="AF101" s="0" t="n">
        <f aca="false">AE101*Inputs!$B$9</f>
        <v>0</v>
      </c>
      <c r="AG101" s="0" t="n">
        <f aca="false">(AE101-AF101)*Inputs!$C$62/12</f>
        <v>0</v>
      </c>
      <c r="AH101" s="0" t="n">
        <f aca="false">IF(AD101&lt;=0,0,IF(AD101=1,AE101-AF101,MIN((AE101-AF101)*(Inputs!$C$62/12)/(1-(1+Inputs!$C$62/12)^(-AD101))-AG101,AE101-AF101)))</f>
        <v>0</v>
      </c>
      <c r="AI101" s="0" t="n">
        <f aca="false">(AE101-AF101-AH101)*Inputs!$B$10</f>
        <v>0</v>
      </c>
      <c r="AJ101" s="0" t="n">
        <f aca="false">AE101-AF101-AH101-AI101</f>
        <v>0</v>
      </c>
      <c r="AK101" s="0" t="n">
        <f aca="false">Inputs!$D$63-(A101-1)</f>
        <v>-35</v>
      </c>
      <c r="AL101" s="0" t="n">
        <f aca="false">IF(AK101&lt;=0,0,IF(A101=1,Inputs!$B$63,AQ100))</f>
        <v>0</v>
      </c>
      <c r="AM101" s="0" t="n">
        <f aca="false">AL101*Inputs!$B$9</f>
        <v>0</v>
      </c>
      <c r="AN101" s="0" t="n">
        <f aca="false">(AL101-AM101)*Inputs!$C$63/12</f>
        <v>0</v>
      </c>
      <c r="AO101" s="0" t="n">
        <f aca="false">IF(AK101&lt;=0,0,IF(AK101=1,AL101-AM101,MIN((AL101-AM101)*(Inputs!$C$63/12)/(1-(1+Inputs!$C$63/12)^(-AK101))-AN101,AL101-AM101)))</f>
        <v>0</v>
      </c>
      <c r="AP101" s="0" t="n">
        <f aca="false">(AL101-AM101-AO101)*Inputs!$B$10</f>
        <v>0</v>
      </c>
      <c r="AQ101" s="0" t="n">
        <f aca="false">AL101-AM101-AO101-AP101</f>
        <v>0</v>
      </c>
      <c r="AR101" s="0" t="n">
        <f aca="false">Inputs!$D$64-(A101-1)</f>
        <v>-23</v>
      </c>
      <c r="AS101" s="0" t="n">
        <f aca="false">IF(AR101&lt;=0,0,IF(A101=1,Inputs!$B$64,AX100))</f>
        <v>0</v>
      </c>
      <c r="AT101" s="0" t="n">
        <f aca="false">AS101*Inputs!$B$9</f>
        <v>0</v>
      </c>
      <c r="AU101" s="0" t="n">
        <f aca="false">(AS101-AT101)*Inputs!$C$64/12</f>
        <v>0</v>
      </c>
      <c r="AV101" s="0" t="n">
        <f aca="false">IF(AR101&lt;=0,0,IF(AR101=1,AS101-AT101,MIN((AS101-AT101)*(Inputs!$C$64/12)/(1-(1+Inputs!$C$64/12)^(-AR101))-AU101,AS101-AT101)))</f>
        <v>0</v>
      </c>
      <c r="AW101" s="0" t="n">
        <f aca="false">(AS101-AT101-AV101)*Inputs!$B$10</f>
        <v>0</v>
      </c>
      <c r="AX101" s="0" t="n">
        <f aca="false">AS101-AT101-AV101-AW101</f>
        <v>0</v>
      </c>
      <c r="AY101" s="0" t="n">
        <f aca="false">Inputs!$D$65-(A101-1)</f>
        <v>-23</v>
      </c>
      <c r="AZ101" s="0" t="n">
        <f aca="false">IF(AY101&lt;=0,0,IF(A101=1,Inputs!$B$65,BE100))</f>
        <v>0</v>
      </c>
      <c r="BA101" s="0" t="n">
        <f aca="false">AZ101*Inputs!$B$9</f>
        <v>0</v>
      </c>
      <c r="BB101" s="0" t="n">
        <f aca="false">(AZ101-BA101)*Inputs!$C$65/12</f>
        <v>0</v>
      </c>
      <c r="BC101" s="0" t="n">
        <f aca="false">IF(AY101&lt;=0,0,IF(AY101=1,AZ101-BA101,MIN((AZ101-BA101)*(Inputs!$C$65/12)/(1-(1+Inputs!$C$65/12)^(-AY101))-BB101,AZ101-BA101)))</f>
        <v>0</v>
      </c>
      <c r="BD101" s="0" t="n">
        <f aca="false">(AZ101-BA101-BC101)*Inputs!$B$10</f>
        <v>0</v>
      </c>
      <c r="BE101" s="0" t="n">
        <f aca="false">AZ101-BA101-BC101-BD101</f>
        <v>0</v>
      </c>
      <c r="BF101" s="0" t="n">
        <f aca="false">Inputs!$D$66-(A101-1)</f>
        <v>-11</v>
      </c>
      <c r="BG101" s="0" t="n">
        <f aca="false">IF(BF101&lt;=0,0,IF(A101=1,Inputs!$B$66,BL100))</f>
        <v>0</v>
      </c>
      <c r="BH101" s="0" t="n">
        <f aca="false">BG101*Inputs!$B$9</f>
        <v>0</v>
      </c>
      <c r="BI101" s="0" t="n">
        <f aca="false">(BG101-BH101)*Inputs!$C$66/12</f>
        <v>0</v>
      </c>
      <c r="BJ101" s="0" t="n">
        <f aca="false">IF(BF101&lt;=0,0,IF(BF101=1,BG101-BH101,MIN((BG101-BH101)*(Inputs!$C$66/12)/(1-(1+Inputs!$C$66/12)^(-BF101))-BI101,BG101-BH101)))</f>
        <v>0</v>
      </c>
      <c r="BK101" s="0" t="n">
        <f aca="false">(BG101-BH101-BJ101)*Inputs!$B$10</f>
        <v>0</v>
      </c>
      <c r="BL101" s="0" t="n">
        <f aca="false">BG101-BH101-BJ101-BK101</f>
        <v>0</v>
      </c>
      <c r="BM101" s="0" t="n">
        <f aca="false">Inputs!$D$67-(A101-1)</f>
        <v>-11</v>
      </c>
      <c r="BN101" s="0" t="n">
        <f aca="false">IF(BM101&lt;=0,0,IF(A101=1,Inputs!$B$67,BS100))</f>
        <v>0</v>
      </c>
      <c r="BO101" s="0" t="n">
        <f aca="false">BN101*Inputs!$B$9</f>
        <v>0</v>
      </c>
      <c r="BP101" s="0" t="n">
        <f aca="false">(BN101-BO101)*Inputs!$C$67/12</f>
        <v>0</v>
      </c>
      <c r="BQ101" s="0" t="n">
        <f aca="false">IF(BM101&lt;=0,0,IF(BM101=1,BN101-BO101,MIN((BN101-BO101)*(Inputs!$C$67/12)/(1-(1+Inputs!$C$67/12)^(-BM101))-BP101,BN101-BO101)))</f>
        <v>0</v>
      </c>
      <c r="BR101" s="0" t="n">
        <f aca="false">(BN101-BO101-BQ101)*Inputs!$B$10</f>
        <v>0</v>
      </c>
      <c r="BS101" s="0" t="n">
        <f aca="false">BN101-BO101-BQ101-BR101</f>
        <v>0</v>
      </c>
      <c r="BT101" s="0" t="n">
        <f aca="false">C101+J101+Q101+X101+AE101+AL101+AS101+AZ101+BG101+BN101</f>
        <v>0</v>
      </c>
      <c r="BU101" s="0" t="n">
        <f aca="false">D101+K101+R101+Y101+AF101+AM101+AT101+BA101+BH101+BO101</f>
        <v>0</v>
      </c>
      <c r="BV101" s="0" t="n">
        <f aca="false">E101+L101+S101+Z101+AG101+AN101+AU101+BB101+BI101+BP101</f>
        <v>0</v>
      </c>
      <c r="BW101" s="0" t="n">
        <f aca="false">F101+M101+T101+AA101+AH101+AO101+AV101+BC101+BJ101+BQ101</f>
        <v>0</v>
      </c>
      <c r="BX101" s="0" t="n">
        <f aca="false">G101+N101+U101+AB101+AI101+AP101+AW101+BD101+BK101+BR101</f>
        <v>0</v>
      </c>
      <c r="BY101" s="0" t="n">
        <f aca="false">H101+O101+V101+AC101+AJ101+AQ101+AX101+BE101+BL101+BS101</f>
        <v>0</v>
      </c>
      <c r="BZ101" s="0" t="n">
        <f aca="false">IF(A101&gt;Inputs!$B$7,(1-Inputs!$B$6)*INDEX($BU$6:$BU$125,A101-Inputs!$B$7),0)</f>
        <v>0</v>
      </c>
      <c r="CA101" s="0" t="n">
        <f aca="false">CA100+(1-Inputs!$B$6)*BU101-BZ101</f>
        <v>-1.06979314296041E-010</v>
      </c>
      <c r="CB101" s="0" t="n">
        <f aca="false">BY101+CA101</f>
        <v>-1.06979314296041E-010</v>
      </c>
      <c r="CC101" s="0" t="n">
        <f aca="false">BV101+BW101+BX101+BZ101</f>
        <v>0</v>
      </c>
      <c r="CD101" s="0" t="n">
        <f aca="false">CD100+BU101-BZ101</f>
        <v>10913893.1228094</v>
      </c>
    </row>
    <row r="102" customFormat="false" ht="15" hidden="false" customHeight="false" outlineLevel="0" collapsed="false">
      <c r="A102" s="0" t="n">
        <f aca="false">ROW()-5</f>
        <v>97</v>
      </c>
      <c r="B102" s="0" t="n">
        <f aca="false">Inputs!$D$58-(A102-1)</f>
        <v>-60</v>
      </c>
      <c r="C102" s="0" t="n">
        <f aca="false">IF(B102&lt;=0,0,IF(A102=1,Inputs!$B$58,H101))</f>
        <v>0</v>
      </c>
      <c r="D102" s="0" t="n">
        <f aca="false">C102*Inputs!$B$9</f>
        <v>0</v>
      </c>
      <c r="E102" s="0" t="n">
        <f aca="false">(C102-D102)*Inputs!$C$58/12</f>
        <v>0</v>
      </c>
      <c r="F102" s="0" t="n">
        <f aca="false">IF(B102&lt;=0,0,IF(B102=1,C102-D102,MIN((C102-D102)*(Inputs!$C$58/12)/(1-(1+Inputs!$C$58/12)^(-B102))-E102,C102-D102)))</f>
        <v>0</v>
      </c>
      <c r="G102" s="0" t="n">
        <f aca="false">(C102-D102-F102)*Inputs!$B$10</f>
        <v>0</v>
      </c>
      <c r="H102" s="0" t="n">
        <f aca="false">C102-D102-F102-G102</f>
        <v>0</v>
      </c>
      <c r="I102" s="0" t="n">
        <f aca="false">Inputs!$D$59-(A102-1)</f>
        <v>-48</v>
      </c>
      <c r="J102" s="0" t="n">
        <f aca="false">IF(I102&lt;=0,0,IF(A102=1,Inputs!$B$59,O101))</f>
        <v>0</v>
      </c>
      <c r="K102" s="0" t="n">
        <f aca="false">J102*Inputs!$B$9</f>
        <v>0</v>
      </c>
      <c r="L102" s="0" t="n">
        <f aca="false">(J102-K102)*Inputs!$C$59/12</f>
        <v>0</v>
      </c>
      <c r="M102" s="0" t="n">
        <f aca="false">IF(I102&lt;=0,0,IF(I102=1,J102-K102,MIN((J102-K102)*(Inputs!$C$59/12)/(1-(1+Inputs!$C$59/12)^(-I102))-L102,J102-K102)))</f>
        <v>0</v>
      </c>
      <c r="N102" s="0" t="n">
        <f aca="false">(J102-K102-M102)*Inputs!$B$10</f>
        <v>0</v>
      </c>
      <c r="O102" s="0" t="n">
        <f aca="false">J102-K102-M102-N102</f>
        <v>0</v>
      </c>
      <c r="P102" s="0" t="n">
        <f aca="false">Inputs!$D$60-(A102-1)</f>
        <v>-48</v>
      </c>
      <c r="Q102" s="0" t="n">
        <f aca="false">IF(P102&lt;=0,0,IF(A102=1,Inputs!$B$60,V101))</f>
        <v>0</v>
      </c>
      <c r="R102" s="0" t="n">
        <f aca="false">Q102*Inputs!$B$9</f>
        <v>0</v>
      </c>
      <c r="S102" s="0" t="n">
        <f aca="false">(Q102-R102)*Inputs!$C$60/12</f>
        <v>0</v>
      </c>
      <c r="T102" s="0" t="n">
        <f aca="false">IF(P102&lt;=0,0,IF(P102=1,Q102-R102,MIN((Q102-R102)*(Inputs!$C$60/12)/(1-(1+Inputs!$C$60/12)^(-P102))-S102,Q102-R102)))</f>
        <v>0</v>
      </c>
      <c r="U102" s="0" t="n">
        <f aca="false">(Q102-R102-T102)*Inputs!$B$10</f>
        <v>0</v>
      </c>
      <c r="V102" s="0" t="n">
        <f aca="false">Q102-R102-T102-U102</f>
        <v>0</v>
      </c>
      <c r="W102" s="0" t="n">
        <f aca="false">Inputs!$D$61-(A102-1)</f>
        <v>-36</v>
      </c>
      <c r="X102" s="0" t="n">
        <f aca="false">IF(W102&lt;=0,0,IF(A102=1,Inputs!$B$61,AC101))</f>
        <v>0</v>
      </c>
      <c r="Y102" s="0" t="n">
        <f aca="false">X102*Inputs!$B$9</f>
        <v>0</v>
      </c>
      <c r="Z102" s="0" t="n">
        <f aca="false">(X102-Y102)*Inputs!$C$61/12</f>
        <v>0</v>
      </c>
      <c r="AA102" s="0" t="n">
        <f aca="false">IF(W102&lt;=0,0,IF(W102=1,X102-Y102,MIN((X102-Y102)*(Inputs!$C$61/12)/(1-(1+Inputs!$C$61/12)^(-W102))-Z102,X102-Y102)))</f>
        <v>0</v>
      </c>
      <c r="AB102" s="0" t="n">
        <f aca="false">(X102-Y102-AA102)*Inputs!$B$10</f>
        <v>0</v>
      </c>
      <c r="AC102" s="0" t="n">
        <f aca="false">X102-Y102-AA102-AB102</f>
        <v>0</v>
      </c>
      <c r="AD102" s="0" t="n">
        <f aca="false">Inputs!$D$62-(A102-1)</f>
        <v>-36</v>
      </c>
      <c r="AE102" s="0" t="n">
        <f aca="false">IF(AD102&lt;=0,0,IF(A102=1,Inputs!$B$62,AJ101))</f>
        <v>0</v>
      </c>
      <c r="AF102" s="0" t="n">
        <f aca="false">AE102*Inputs!$B$9</f>
        <v>0</v>
      </c>
      <c r="AG102" s="0" t="n">
        <f aca="false">(AE102-AF102)*Inputs!$C$62/12</f>
        <v>0</v>
      </c>
      <c r="AH102" s="0" t="n">
        <f aca="false">IF(AD102&lt;=0,0,IF(AD102=1,AE102-AF102,MIN((AE102-AF102)*(Inputs!$C$62/12)/(1-(1+Inputs!$C$62/12)^(-AD102))-AG102,AE102-AF102)))</f>
        <v>0</v>
      </c>
      <c r="AI102" s="0" t="n">
        <f aca="false">(AE102-AF102-AH102)*Inputs!$B$10</f>
        <v>0</v>
      </c>
      <c r="AJ102" s="0" t="n">
        <f aca="false">AE102-AF102-AH102-AI102</f>
        <v>0</v>
      </c>
      <c r="AK102" s="0" t="n">
        <f aca="false">Inputs!$D$63-(A102-1)</f>
        <v>-36</v>
      </c>
      <c r="AL102" s="0" t="n">
        <f aca="false">IF(AK102&lt;=0,0,IF(A102=1,Inputs!$B$63,AQ101))</f>
        <v>0</v>
      </c>
      <c r="AM102" s="0" t="n">
        <f aca="false">AL102*Inputs!$B$9</f>
        <v>0</v>
      </c>
      <c r="AN102" s="0" t="n">
        <f aca="false">(AL102-AM102)*Inputs!$C$63/12</f>
        <v>0</v>
      </c>
      <c r="AO102" s="0" t="n">
        <f aca="false">IF(AK102&lt;=0,0,IF(AK102=1,AL102-AM102,MIN((AL102-AM102)*(Inputs!$C$63/12)/(1-(1+Inputs!$C$63/12)^(-AK102))-AN102,AL102-AM102)))</f>
        <v>0</v>
      </c>
      <c r="AP102" s="0" t="n">
        <f aca="false">(AL102-AM102-AO102)*Inputs!$B$10</f>
        <v>0</v>
      </c>
      <c r="AQ102" s="0" t="n">
        <f aca="false">AL102-AM102-AO102-AP102</f>
        <v>0</v>
      </c>
      <c r="AR102" s="0" t="n">
        <f aca="false">Inputs!$D$64-(A102-1)</f>
        <v>-24</v>
      </c>
      <c r="AS102" s="0" t="n">
        <f aca="false">IF(AR102&lt;=0,0,IF(A102=1,Inputs!$B$64,AX101))</f>
        <v>0</v>
      </c>
      <c r="AT102" s="0" t="n">
        <f aca="false">AS102*Inputs!$B$9</f>
        <v>0</v>
      </c>
      <c r="AU102" s="0" t="n">
        <f aca="false">(AS102-AT102)*Inputs!$C$64/12</f>
        <v>0</v>
      </c>
      <c r="AV102" s="0" t="n">
        <f aca="false">IF(AR102&lt;=0,0,IF(AR102=1,AS102-AT102,MIN((AS102-AT102)*(Inputs!$C$64/12)/(1-(1+Inputs!$C$64/12)^(-AR102))-AU102,AS102-AT102)))</f>
        <v>0</v>
      </c>
      <c r="AW102" s="0" t="n">
        <f aca="false">(AS102-AT102-AV102)*Inputs!$B$10</f>
        <v>0</v>
      </c>
      <c r="AX102" s="0" t="n">
        <f aca="false">AS102-AT102-AV102-AW102</f>
        <v>0</v>
      </c>
      <c r="AY102" s="0" t="n">
        <f aca="false">Inputs!$D$65-(A102-1)</f>
        <v>-24</v>
      </c>
      <c r="AZ102" s="0" t="n">
        <f aca="false">IF(AY102&lt;=0,0,IF(A102=1,Inputs!$B$65,BE101))</f>
        <v>0</v>
      </c>
      <c r="BA102" s="0" t="n">
        <f aca="false">AZ102*Inputs!$B$9</f>
        <v>0</v>
      </c>
      <c r="BB102" s="0" t="n">
        <f aca="false">(AZ102-BA102)*Inputs!$C$65/12</f>
        <v>0</v>
      </c>
      <c r="BC102" s="0" t="n">
        <f aca="false">IF(AY102&lt;=0,0,IF(AY102=1,AZ102-BA102,MIN((AZ102-BA102)*(Inputs!$C$65/12)/(1-(1+Inputs!$C$65/12)^(-AY102))-BB102,AZ102-BA102)))</f>
        <v>0</v>
      </c>
      <c r="BD102" s="0" t="n">
        <f aca="false">(AZ102-BA102-BC102)*Inputs!$B$10</f>
        <v>0</v>
      </c>
      <c r="BE102" s="0" t="n">
        <f aca="false">AZ102-BA102-BC102-BD102</f>
        <v>0</v>
      </c>
      <c r="BF102" s="0" t="n">
        <f aca="false">Inputs!$D$66-(A102-1)</f>
        <v>-12</v>
      </c>
      <c r="BG102" s="0" t="n">
        <f aca="false">IF(BF102&lt;=0,0,IF(A102=1,Inputs!$B$66,BL101))</f>
        <v>0</v>
      </c>
      <c r="BH102" s="0" t="n">
        <f aca="false">BG102*Inputs!$B$9</f>
        <v>0</v>
      </c>
      <c r="BI102" s="0" t="n">
        <f aca="false">(BG102-BH102)*Inputs!$C$66/12</f>
        <v>0</v>
      </c>
      <c r="BJ102" s="0" t="n">
        <f aca="false">IF(BF102&lt;=0,0,IF(BF102=1,BG102-BH102,MIN((BG102-BH102)*(Inputs!$C$66/12)/(1-(1+Inputs!$C$66/12)^(-BF102))-BI102,BG102-BH102)))</f>
        <v>0</v>
      </c>
      <c r="BK102" s="0" t="n">
        <f aca="false">(BG102-BH102-BJ102)*Inputs!$B$10</f>
        <v>0</v>
      </c>
      <c r="BL102" s="0" t="n">
        <f aca="false">BG102-BH102-BJ102-BK102</f>
        <v>0</v>
      </c>
      <c r="BM102" s="0" t="n">
        <f aca="false">Inputs!$D$67-(A102-1)</f>
        <v>-12</v>
      </c>
      <c r="BN102" s="0" t="n">
        <f aca="false">IF(BM102&lt;=0,0,IF(A102=1,Inputs!$B$67,BS101))</f>
        <v>0</v>
      </c>
      <c r="BO102" s="0" t="n">
        <f aca="false">BN102*Inputs!$B$9</f>
        <v>0</v>
      </c>
      <c r="BP102" s="0" t="n">
        <f aca="false">(BN102-BO102)*Inputs!$C$67/12</f>
        <v>0</v>
      </c>
      <c r="BQ102" s="0" t="n">
        <f aca="false">IF(BM102&lt;=0,0,IF(BM102=1,BN102-BO102,MIN((BN102-BO102)*(Inputs!$C$67/12)/(1-(1+Inputs!$C$67/12)^(-BM102))-BP102,BN102-BO102)))</f>
        <v>0</v>
      </c>
      <c r="BR102" s="0" t="n">
        <f aca="false">(BN102-BO102-BQ102)*Inputs!$B$10</f>
        <v>0</v>
      </c>
      <c r="BS102" s="0" t="n">
        <f aca="false">BN102-BO102-BQ102-BR102</f>
        <v>0</v>
      </c>
      <c r="BT102" s="0" t="n">
        <f aca="false">C102+J102+Q102+X102+AE102+AL102+AS102+AZ102+BG102+BN102</f>
        <v>0</v>
      </c>
      <c r="BU102" s="0" t="n">
        <f aca="false">D102+K102+R102+Y102+AF102+AM102+AT102+BA102+BH102+BO102</f>
        <v>0</v>
      </c>
      <c r="BV102" s="0" t="n">
        <f aca="false">E102+L102+S102+Z102+AG102+AN102+AU102+BB102+BI102+BP102</f>
        <v>0</v>
      </c>
      <c r="BW102" s="0" t="n">
        <f aca="false">F102+M102+T102+AA102+AH102+AO102+AV102+BC102+BJ102+BQ102</f>
        <v>0</v>
      </c>
      <c r="BX102" s="0" t="n">
        <f aca="false">G102+N102+U102+AB102+AI102+AP102+AW102+BD102+BK102+BR102</f>
        <v>0</v>
      </c>
      <c r="BY102" s="0" t="n">
        <f aca="false">H102+O102+V102+AC102+AJ102+AQ102+AX102+BE102+BL102+BS102</f>
        <v>0</v>
      </c>
      <c r="BZ102" s="0" t="n">
        <f aca="false">IF(A102&gt;Inputs!$B$7,(1-Inputs!$B$6)*INDEX($BU$6:$BU$125,A102-Inputs!$B$7),0)</f>
        <v>0</v>
      </c>
      <c r="CA102" s="0" t="n">
        <f aca="false">CA101+(1-Inputs!$B$6)*BU102-BZ102</f>
        <v>-1.06979314296041E-010</v>
      </c>
      <c r="CB102" s="0" t="n">
        <f aca="false">BY102+CA102</f>
        <v>-1.06979314296041E-010</v>
      </c>
      <c r="CC102" s="0" t="n">
        <f aca="false">BV102+BW102+BX102+BZ102</f>
        <v>0</v>
      </c>
      <c r="CD102" s="0" t="n">
        <f aca="false">CD101+BU102-BZ102</f>
        <v>10913893.1228094</v>
      </c>
    </row>
    <row r="103" customFormat="false" ht="15" hidden="false" customHeight="false" outlineLevel="0" collapsed="false">
      <c r="A103" s="0" t="n">
        <f aca="false">ROW()-5</f>
        <v>98</v>
      </c>
      <c r="B103" s="0" t="n">
        <f aca="false">Inputs!$D$58-(A103-1)</f>
        <v>-61</v>
      </c>
      <c r="C103" s="0" t="n">
        <f aca="false">IF(B103&lt;=0,0,IF(A103=1,Inputs!$B$58,H102))</f>
        <v>0</v>
      </c>
      <c r="D103" s="0" t="n">
        <f aca="false">C103*Inputs!$B$9</f>
        <v>0</v>
      </c>
      <c r="E103" s="0" t="n">
        <f aca="false">(C103-D103)*Inputs!$C$58/12</f>
        <v>0</v>
      </c>
      <c r="F103" s="0" t="n">
        <f aca="false">IF(B103&lt;=0,0,IF(B103=1,C103-D103,MIN((C103-D103)*(Inputs!$C$58/12)/(1-(1+Inputs!$C$58/12)^(-B103))-E103,C103-D103)))</f>
        <v>0</v>
      </c>
      <c r="G103" s="0" t="n">
        <f aca="false">(C103-D103-F103)*Inputs!$B$10</f>
        <v>0</v>
      </c>
      <c r="H103" s="0" t="n">
        <f aca="false">C103-D103-F103-G103</f>
        <v>0</v>
      </c>
      <c r="I103" s="0" t="n">
        <f aca="false">Inputs!$D$59-(A103-1)</f>
        <v>-49</v>
      </c>
      <c r="J103" s="0" t="n">
        <f aca="false">IF(I103&lt;=0,0,IF(A103=1,Inputs!$B$59,O102))</f>
        <v>0</v>
      </c>
      <c r="K103" s="0" t="n">
        <f aca="false">J103*Inputs!$B$9</f>
        <v>0</v>
      </c>
      <c r="L103" s="0" t="n">
        <f aca="false">(J103-K103)*Inputs!$C$59/12</f>
        <v>0</v>
      </c>
      <c r="M103" s="0" t="n">
        <f aca="false">IF(I103&lt;=0,0,IF(I103=1,J103-K103,MIN((J103-K103)*(Inputs!$C$59/12)/(1-(1+Inputs!$C$59/12)^(-I103))-L103,J103-K103)))</f>
        <v>0</v>
      </c>
      <c r="N103" s="0" t="n">
        <f aca="false">(J103-K103-M103)*Inputs!$B$10</f>
        <v>0</v>
      </c>
      <c r="O103" s="0" t="n">
        <f aca="false">J103-K103-M103-N103</f>
        <v>0</v>
      </c>
      <c r="P103" s="0" t="n">
        <f aca="false">Inputs!$D$60-(A103-1)</f>
        <v>-49</v>
      </c>
      <c r="Q103" s="0" t="n">
        <f aca="false">IF(P103&lt;=0,0,IF(A103=1,Inputs!$B$60,V102))</f>
        <v>0</v>
      </c>
      <c r="R103" s="0" t="n">
        <f aca="false">Q103*Inputs!$B$9</f>
        <v>0</v>
      </c>
      <c r="S103" s="0" t="n">
        <f aca="false">(Q103-R103)*Inputs!$C$60/12</f>
        <v>0</v>
      </c>
      <c r="T103" s="0" t="n">
        <f aca="false">IF(P103&lt;=0,0,IF(P103=1,Q103-R103,MIN((Q103-R103)*(Inputs!$C$60/12)/(1-(1+Inputs!$C$60/12)^(-P103))-S103,Q103-R103)))</f>
        <v>0</v>
      </c>
      <c r="U103" s="0" t="n">
        <f aca="false">(Q103-R103-T103)*Inputs!$B$10</f>
        <v>0</v>
      </c>
      <c r="V103" s="0" t="n">
        <f aca="false">Q103-R103-T103-U103</f>
        <v>0</v>
      </c>
      <c r="W103" s="0" t="n">
        <f aca="false">Inputs!$D$61-(A103-1)</f>
        <v>-37</v>
      </c>
      <c r="X103" s="0" t="n">
        <f aca="false">IF(W103&lt;=0,0,IF(A103=1,Inputs!$B$61,AC102))</f>
        <v>0</v>
      </c>
      <c r="Y103" s="0" t="n">
        <f aca="false">X103*Inputs!$B$9</f>
        <v>0</v>
      </c>
      <c r="Z103" s="0" t="n">
        <f aca="false">(X103-Y103)*Inputs!$C$61/12</f>
        <v>0</v>
      </c>
      <c r="AA103" s="0" t="n">
        <f aca="false">IF(W103&lt;=0,0,IF(W103=1,X103-Y103,MIN((X103-Y103)*(Inputs!$C$61/12)/(1-(1+Inputs!$C$61/12)^(-W103))-Z103,X103-Y103)))</f>
        <v>0</v>
      </c>
      <c r="AB103" s="0" t="n">
        <f aca="false">(X103-Y103-AA103)*Inputs!$B$10</f>
        <v>0</v>
      </c>
      <c r="AC103" s="0" t="n">
        <f aca="false">X103-Y103-AA103-AB103</f>
        <v>0</v>
      </c>
      <c r="AD103" s="0" t="n">
        <f aca="false">Inputs!$D$62-(A103-1)</f>
        <v>-37</v>
      </c>
      <c r="AE103" s="0" t="n">
        <f aca="false">IF(AD103&lt;=0,0,IF(A103=1,Inputs!$B$62,AJ102))</f>
        <v>0</v>
      </c>
      <c r="AF103" s="0" t="n">
        <f aca="false">AE103*Inputs!$B$9</f>
        <v>0</v>
      </c>
      <c r="AG103" s="0" t="n">
        <f aca="false">(AE103-AF103)*Inputs!$C$62/12</f>
        <v>0</v>
      </c>
      <c r="AH103" s="0" t="n">
        <f aca="false">IF(AD103&lt;=0,0,IF(AD103=1,AE103-AF103,MIN((AE103-AF103)*(Inputs!$C$62/12)/(1-(1+Inputs!$C$62/12)^(-AD103))-AG103,AE103-AF103)))</f>
        <v>0</v>
      </c>
      <c r="AI103" s="0" t="n">
        <f aca="false">(AE103-AF103-AH103)*Inputs!$B$10</f>
        <v>0</v>
      </c>
      <c r="AJ103" s="0" t="n">
        <f aca="false">AE103-AF103-AH103-AI103</f>
        <v>0</v>
      </c>
      <c r="AK103" s="0" t="n">
        <f aca="false">Inputs!$D$63-(A103-1)</f>
        <v>-37</v>
      </c>
      <c r="AL103" s="0" t="n">
        <f aca="false">IF(AK103&lt;=0,0,IF(A103=1,Inputs!$B$63,AQ102))</f>
        <v>0</v>
      </c>
      <c r="AM103" s="0" t="n">
        <f aca="false">AL103*Inputs!$B$9</f>
        <v>0</v>
      </c>
      <c r="AN103" s="0" t="n">
        <f aca="false">(AL103-AM103)*Inputs!$C$63/12</f>
        <v>0</v>
      </c>
      <c r="AO103" s="0" t="n">
        <f aca="false">IF(AK103&lt;=0,0,IF(AK103=1,AL103-AM103,MIN((AL103-AM103)*(Inputs!$C$63/12)/(1-(1+Inputs!$C$63/12)^(-AK103))-AN103,AL103-AM103)))</f>
        <v>0</v>
      </c>
      <c r="AP103" s="0" t="n">
        <f aca="false">(AL103-AM103-AO103)*Inputs!$B$10</f>
        <v>0</v>
      </c>
      <c r="AQ103" s="0" t="n">
        <f aca="false">AL103-AM103-AO103-AP103</f>
        <v>0</v>
      </c>
      <c r="AR103" s="0" t="n">
        <f aca="false">Inputs!$D$64-(A103-1)</f>
        <v>-25</v>
      </c>
      <c r="AS103" s="0" t="n">
        <f aca="false">IF(AR103&lt;=0,0,IF(A103=1,Inputs!$B$64,AX102))</f>
        <v>0</v>
      </c>
      <c r="AT103" s="0" t="n">
        <f aca="false">AS103*Inputs!$B$9</f>
        <v>0</v>
      </c>
      <c r="AU103" s="0" t="n">
        <f aca="false">(AS103-AT103)*Inputs!$C$64/12</f>
        <v>0</v>
      </c>
      <c r="AV103" s="0" t="n">
        <f aca="false">IF(AR103&lt;=0,0,IF(AR103=1,AS103-AT103,MIN((AS103-AT103)*(Inputs!$C$64/12)/(1-(1+Inputs!$C$64/12)^(-AR103))-AU103,AS103-AT103)))</f>
        <v>0</v>
      </c>
      <c r="AW103" s="0" t="n">
        <f aca="false">(AS103-AT103-AV103)*Inputs!$B$10</f>
        <v>0</v>
      </c>
      <c r="AX103" s="0" t="n">
        <f aca="false">AS103-AT103-AV103-AW103</f>
        <v>0</v>
      </c>
      <c r="AY103" s="0" t="n">
        <f aca="false">Inputs!$D$65-(A103-1)</f>
        <v>-25</v>
      </c>
      <c r="AZ103" s="0" t="n">
        <f aca="false">IF(AY103&lt;=0,0,IF(A103=1,Inputs!$B$65,BE102))</f>
        <v>0</v>
      </c>
      <c r="BA103" s="0" t="n">
        <f aca="false">AZ103*Inputs!$B$9</f>
        <v>0</v>
      </c>
      <c r="BB103" s="0" t="n">
        <f aca="false">(AZ103-BA103)*Inputs!$C$65/12</f>
        <v>0</v>
      </c>
      <c r="BC103" s="0" t="n">
        <f aca="false">IF(AY103&lt;=0,0,IF(AY103=1,AZ103-BA103,MIN((AZ103-BA103)*(Inputs!$C$65/12)/(1-(1+Inputs!$C$65/12)^(-AY103))-BB103,AZ103-BA103)))</f>
        <v>0</v>
      </c>
      <c r="BD103" s="0" t="n">
        <f aca="false">(AZ103-BA103-BC103)*Inputs!$B$10</f>
        <v>0</v>
      </c>
      <c r="BE103" s="0" t="n">
        <f aca="false">AZ103-BA103-BC103-BD103</f>
        <v>0</v>
      </c>
      <c r="BF103" s="0" t="n">
        <f aca="false">Inputs!$D$66-(A103-1)</f>
        <v>-13</v>
      </c>
      <c r="BG103" s="0" t="n">
        <f aca="false">IF(BF103&lt;=0,0,IF(A103=1,Inputs!$B$66,BL102))</f>
        <v>0</v>
      </c>
      <c r="BH103" s="0" t="n">
        <f aca="false">BG103*Inputs!$B$9</f>
        <v>0</v>
      </c>
      <c r="BI103" s="0" t="n">
        <f aca="false">(BG103-BH103)*Inputs!$C$66/12</f>
        <v>0</v>
      </c>
      <c r="BJ103" s="0" t="n">
        <f aca="false">IF(BF103&lt;=0,0,IF(BF103=1,BG103-BH103,MIN((BG103-BH103)*(Inputs!$C$66/12)/(1-(1+Inputs!$C$66/12)^(-BF103))-BI103,BG103-BH103)))</f>
        <v>0</v>
      </c>
      <c r="BK103" s="0" t="n">
        <f aca="false">(BG103-BH103-BJ103)*Inputs!$B$10</f>
        <v>0</v>
      </c>
      <c r="BL103" s="0" t="n">
        <f aca="false">BG103-BH103-BJ103-BK103</f>
        <v>0</v>
      </c>
      <c r="BM103" s="0" t="n">
        <f aca="false">Inputs!$D$67-(A103-1)</f>
        <v>-13</v>
      </c>
      <c r="BN103" s="0" t="n">
        <f aca="false">IF(BM103&lt;=0,0,IF(A103=1,Inputs!$B$67,BS102))</f>
        <v>0</v>
      </c>
      <c r="BO103" s="0" t="n">
        <f aca="false">BN103*Inputs!$B$9</f>
        <v>0</v>
      </c>
      <c r="BP103" s="0" t="n">
        <f aca="false">(BN103-BO103)*Inputs!$C$67/12</f>
        <v>0</v>
      </c>
      <c r="BQ103" s="0" t="n">
        <f aca="false">IF(BM103&lt;=0,0,IF(BM103=1,BN103-BO103,MIN((BN103-BO103)*(Inputs!$C$67/12)/(1-(1+Inputs!$C$67/12)^(-BM103))-BP103,BN103-BO103)))</f>
        <v>0</v>
      </c>
      <c r="BR103" s="0" t="n">
        <f aca="false">(BN103-BO103-BQ103)*Inputs!$B$10</f>
        <v>0</v>
      </c>
      <c r="BS103" s="0" t="n">
        <f aca="false">BN103-BO103-BQ103-BR103</f>
        <v>0</v>
      </c>
      <c r="BT103" s="0" t="n">
        <f aca="false">C103+J103+Q103+X103+AE103+AL103+AS103+AZ103+BG103+BN103</f>
        <v>0</v>
      </c>
      <c r="BU103" s="0" t="n">
        <f aca="false">D103+K103+R103+Y103+AF103+AM103+AT103+BA103+BH103+BO103</f>
        <v>0</v>
      </c>
      <c r="BV103" s="0" t="n">
        <f aca="false">E103+L103+S103+Z103+AG103+AN103+AU103+BB103+BI103+BP103</f>
        <v>0</v>
      </c>
      <c r="BW103" s="0" t="n">
        <f aca="false">F103+M103+T103+AA103+AH103+AO103+AV103+BC103+BJ103+BQ103</f>
        <v>0</v>
      </c>
      <c r="BX103" s="0" t="n">
        <f aca="false">G103+N103+U103+AB103+AI103+AP103+AW103+BD103+BK103+BR103</f>
        <v>0</v>
      </c>
      <c r="BY103" s="0" t="n">
        <f aca="false">H103+O103+V103+AC103+AJ103+AQ103+AX103+BE103+BL103+BS103</f>
        <v>0</v>
      </c>
      <c r="BZ103" s="0" t="n">
        <f aca="false">IF(A103&gt;Inputs!$B$7,(1-Inputs!$B$6)*INDEX($BU$6:$BU$125,A103-Inputs!$B$7),0)</f>
        <v>0</v>
      </c>
      <c r="CA103" s="0" t="n">
        <f aca="false">CA102+(1-Inputs!$B$6)*BU103-BZ103</f>
        <v>-1.06979314296041E-010</v>
      </c>
      <c r="CB103" s="0" t="n">
        <f aca="false">BY103+CA103</f>
        <v>-1.06979314296041E-010</v>
      </c>
      <c r="CC103" s="0" t="n">
        <f aca="false">BV103+BW103+BX103+BZ103</f>
        <v>0</v>
      </c>
      <c r="CD103" s="0" t="n">
        <f aca="false">CD102+BU103-BZ103</f>
        <v>10913893.1228094</v>
      </c>
    </row>
    <row r="104" customFormat="false" ht="15" hidden="false" customHeight="false" outlineLevel="0" collapsed="false">
      <c r="A104" s="0" t="n">
        <f aca="false">ROW()-5</f>
        <v>99</v>
      </c>
      <c r="B104" s="0" t="n">
        <f aca="false">Inputs!$D$58-(A104-1)</f>
        <v>-62</v>
      </c>
      <c r="C104" s="0" t="n">
        <f aca="false">IF(B104&lt;=0,0,IF(A104=1,Inputs!$B$58,H103))</f>
        <v>0</v>
      </c>
      <c r="D104" s="0" t="n">
        <f aca="false">C104*Inputs!$B$9</f>
        <v>0</v>
      </c>
      <c r="E104" s="0" t="n">
        <f aca="false">(C104-D104)*Inputs!$C$58/12</f>
        <v>0</v>
      </c>
      <c r="F104" s="0" t="n">
        <f aca="false">IF(B104&lt;=0,0,IF(B104=1,C104-D104,MIN((C104-D104)*(Inputs!$C$58/12)/(1-(1+Inputs!$C$58/12)^(-B104))-E104,C104-D104)))</f>
        <v>0</v>
      </c>
      <c r="G104" s="0" t="n">
        <f aca="false">(C104-D104-F104)*Inputs!$B$10</f>
        <v>0</v>
      </c>
      <c r="H104" s="0" t="n">
        <f aca="false">C104-D104-F104-G104</f>
        <v>0</v>
      </c>
      <c r="I104" s="0" t="n">
        <f aca="false">Inputs!$D$59-(A104-1)</f>
        <v>-50</v>
      </c>
      <c r="J104" s="0" t="n">
        <f aca="false">IF(I104&lt;=0,0,IF(A104=1,Inputs!$B$59,O103))</f>
        <v>0</v>
      </c>
      <c r="K104" s="0" t="n">
        <f aca="false">J104*Inputs!$B$9</f>
        <v>0</v>
      </c>
      <c r="L104" s="0" t="n">
        <f aca="false">(J104-K104)*Inputs!$C$59/12</f>
        <v>0</v>
      </c>
      <c r="M104" s="0" t="n">
        <f aca="false">IF(I104&lt;=0,0,IF(I104=1,J104-K104,MIN((J104-K104)*(Inputs!$C$59/12)/(1-(1+Inputs!$C$59/12)^(-I104))-L104,J104-K104)))</f>
        <v>0</v>
      </c>
      <c r="N104" s="0" t="n">
        <f aca="false">(J104-K104-M104)*Inputs!$B$10</f>
        <v>0</v>
      </c>
      <c r="O104" s="0" t="n">
        <f aca="false">J104-K104-M104-N104</f>
        <v>0</v>
      </c>
      <c r="P104" s="0" t="n">
        <f aca="false">Inputs!$D$60-(A104-1)</f>
        <v>-50</v>
      </c>
      <c r="Q104" s="0" t="n">
        <f aca="false">IF(P104&lt;=0,0,IF(A104=1,Inputs!$B$60,V103))</f>
        <v>0</v>
      </c>
      <c r="R104" s="0" t="n">
        <f aca="false">Q104*Inputs!$B$9</f>
        <v>0</v>
      </c>
      <c r="S104" s="0" t="n">
        <f aca="false">(Q104-R104)*Inputs!$C$60/12</f>
        <v>0</v>
      </c>
      <c r="T104" s="0" t="n">
        <f aca="false">IF(P104&lt;=0,0,IF(P104=1,Q104-R104,MIN((Q104-R104)*(Inputs!$C$60/12)/(1-(1+Inputs!$C$60/12)^(-P104))-S104,Q104-R104)))</f>
        <v>0</v>
      </c>
      <c r="U104" s="0" t="n">
        <f aca="false">(Q104-R104-T104)*Inputs!$B$10</f>
        <v>0</v>
      </c>
      <c r="V104" s="0" t="n">
        <f aca="false">Q104-R104-T104-U104</f>
        <v>0</v>
      </c>
      <c r="W104" s="0" t="n">
        <f aca="false">Inputs!$D$61-(A104-1)</f>
        <v>-38</v>
      </c>
      <c r="X104" s="0" t="n">
        <f aca="false">IF(W104&lt;=0,0,IF(A104=1,Inputs!$B$61,AC103))</f>
        <v>0</v>
      </c>
      <c r="Y104" s="0" t="n">
        <f aca="false">X104*Inputs!$B$9</f>
        <v>0</v>
      </c>
      <c r="Z104" s="0" t="n">
        <f aca="false">(X104-Y104)*Inputs!$C$61/12</f>
        <v>0</v>
      </c>
      <c r="AA104" s="0" t="n">
        <f aca="false">IF(W104&lt;=0,0,IF(W104=1,X104-Y104,MIN((X104-Y104)*(Inputs!$C$61/12)/(1-(1+Inputs!$C$61/12)^(-W104))-Z104,X104-Y104)))</f>
        <v>0</v>
      </c>
      <c r="AB104" s="0" t="n">
        <f aca="false">(X104-Y104-AA104)*Inputs!$B$10</f>
        <v>0</v>
      </c>
      <c r="AC104" s="0" t="n">
        <f aca="false">X104-Y104-AA104-AB104</f>
        <v>0</v>
      </c>
      <c r="AD104" s="0" t="n">
        <f aca="false">Inputs!$D$62-(A104-1)</f>
        <v>-38</v>
      </c>
      <c r="AE104" s="0" t="n">
        <f aca="false">IF(AD104&lt;=0,0,IF(A104=1,Inputs!$B$62,AJ103))</f>
        <v>0</v>
      </c>
      <c r="AF104" s="0" t="n">
        <f aca="false">AE104*Inputs!$B$9</f>
        <v>0</v>
      </c>
      <c r="AG104" s="0" t="n">
        <f aca="false">(AE104-AF104)*Inputs!$C$62/12</f>
        <v>0</v>
      </c>
      <c r="AH104" s="0" t="n">
        <f aca="false">IF(AD104&lt;=0,0,IF(AD104=1,AE104-AF104,MIN((AE104-AF104)*(Inputs!$C$62/12)/(1-(1+Inputs!$C$62/12)^(-AD104))-AG104,AE104-AF104)))</f>
        <v>0</v>
      </c>
      <c r="AI104" s="0" t="n">
        <f aca="false">(AE104-AF104-AH104)*Inputs!$B$10</f>
        <v>0</v>
      </c>
      <c r="AJ104" s="0" t="n">
        <f aca="false">AE104-AF104-AH104-AI104</f>
        <v>0</v>
      </c>
      <c r="AK104" s="0" t="n">
        <f aca="false">Inputs!$D$63-(A104-1)</f>
        <v>-38</v>
      </c>
      <c r="AL104" s="0" t="n">
        <f aca="false">IF(AK104&lt;=0,0,IF(A104=1,Inputs!$B$63,AQ103))</f>
        <v>0</v>
      </c>
      <c r="AM104" s="0" t="n">
        <f aca="false">AL104*Inputs!$B$9</f>
        <v>0</v>
      </c>
      <c r="AN104" s="0" t="n">
        <f aca="false">(AL104-AM104)*Inputs!$C$63/12</f>
        <v>0</v>
      </c>
      <c r="AO104" s="0" t="n">
        <f aca="false">IF(AK104&lt;=0,0,IF(AK104=1,AL104-AM104,MIN((AL104-AM104)*(Inputs!$C$63/12)/(1-(1+Inputs!$C$63/12)^(-AK104))-AN104,AL104-AM104)))</f>
        <v>0</v>
      </c>
      <c r="AP104" s="0" t="n">
        <f aca="false">(AL104-AM104-AO104)*Inputs!$B$10</f>
        <v>0</v>
      </c>
      <c r="AQ104" s="0" t="n">
        <f aca="false">AL104-AM104-AO104-AP104</f>
        <v>0</v>
      </c>
      <c r="AR104" s="0" t="n">
        <f aca="false">Inputs!$D$64-(A104-1)</f>
        <v>-26</v>
      </c>
      <c r="AS104" s="0" t="n">
        <f aca="false">IF(AR104&lt;=0,0,IF(A104=1,Inputs!$B$64,AX103))</f>
        <v>0</v>
      </c>
      <c r="AT104" s="0" t="n">
        <f aca="false">AS104*Inputs!$B$9</f>
        <v>0</v>
      </c>
      <c r="AU104" s="0" t="n">
        <f aca="false">(AS104-AT104)*Inputs!$C$64/12</f>
        <v>0</v>
      </c>
      <c r="AV104" s="0" t="n">
        <f aca="false">IF(AR104&lt;=0,0,IF(AR104=1,AS104-AT104,MIN((AS104-AT104)*(Inputs!$C$64/12)/(1-(1+Inputs!$C$64/12)^(-AR104))-AU104,AS104-AT104)))</f>
        <v>0</v>
      </c>
      <c r="AW104" s="0" t="n">
        <f aca="false">(AS104-AT104-AV104)*Inputs!$B$10</f>
        <v>0</v>
      </c>
      <c r="AX104" s="0" t="n">
        <f aca="false">AS104-AT104-AV104-AW104</f>
        <v>0</v>
      </c>
      <c r="AY104" s="0" t="n">
        <f aca="false">Inputs!$D$65-(A104-1)</f>
        <v>-26</v>
      </c>
      <c r="AZ104" s="0" t="n">
        <f aca="false">IF(AY104&lt;=0,0,IF(A104=1,Inputs!$B$65,BE103))</f>
        <v>0</v>
      </c>
      <c r="BA104" s="0" t="n">
        <f aca="false">AZ104*Inputs!$B$9</f>
        <v>0</v>
      </c>
      <c r="BB104" s="0" t="n">
        <f aca="false">(AZ104-BA104)*Inputs!$C$65/12</f>
        <v>0</v>
      </c>
      <c r="BC104" s="0" t="n">
        <f aca="false">IF(AY104&lt;=0,0,IF(AY104=1,AZ104-BA104,MIN((AZ104-BA104)*(Inputs!$C$65/12)/(1-(1+Inputs!$C$65/12)^(-AY104))-BB104,AZ104-BA104)))</f>
        <v>0</v>
      </c>
      <c r="BD104" s="0" t="n">
        <f aca="false">(AZ104-BA104-BC104)*Inputs!$B$10</f>
        <v>0</v>
      </c>
      <c r="BE104" s="0" t="n">
        <f aca="false">AZ104-BA104-BC104-BD104</f>
        <v>0</v>
      </c>
      <c r="BF104" s="0" t="n">
        <f aca="false">Inputs!$D$66-(A104-1)</f>
        <v>-14</v>
      </c>
      <c r="BG104" s="0" t="n">
        <f aca="false">IF(BF104&lt;=0,0,IF(A104=1,Inputs!$B$66,BL103))</f>
        <v>0</v>
      </c>
      <c r="BH104" s="0" t="n">
        <f aca="false">BG104*Inputs!$B$9</f>
        <v>0</v>
      </c>
      <c r="BI104" s="0" t="n">
        <f aca="false">(BG104-BH104)*Inputs!$C$66/12</f>
        <v>0</v>
      </c>
      <c r="BJ104" s="0" t="n">
        <f aca="false">IF(BF104&lt;=0,0,IF(BF104=1,BG104-BH104,MIN((BG104-BH104)*(Inputs!$C$66/12)/(1-(1+Inputs!$C$66/12)^(-BF104))-BI104,BG104-BH104)))</f>
        <v>0</v>
      </c>
      <c r="BK104" s="0" t="n">
        <f aca="false">(BG104-BH104-BJ104)*Inputs!$B$10</f>
        <v>0</v>
      </c>
      <c r="BL104" s="0" t="n">
        <f aca="false">BG104-BH104-BJ104-BK104</f>
        <v>0</v>
      </c>
      <c r="BM104" s="0" t="n">
        <f aca="false">Inputs!$D$67-(A104-1)</f>
        <v>-14</v>
      </c>
      <c r="BN104" s="0" t="n">
        <f aca="false">IF(BM104&lt;=0,0,IF(A104=1,Inputs!$B$67,BS103))</f>
        <v>0</v>
      </c>
      <c r="BO104" s="0" t="n">
        <f aca="false">BN104*Inputs!$B$9</f>
        <v>0</v>
      </c>
      <c r="BP104" s="0" t="n">
        <f aca="false">(BN104-BO104)*Inputs!$C$67/12</f>
        <v>0</v>
      </c>
      <c r="BQ104" s="0" t="n">
        <f aca="false">IF(BM104&lt;=0,0,IF(BM104=1,BN104-BO104,MIN((BN104-BO104)*(Inputs!$C$67/12)/(1-(1+Inputs!$C$67/12)^(-BM104))-BP104,BN104-BO104)))</f>
        <v>0</v>
      </c>
      <c r="BR104" s="0" t="n">
        <f aca="false">(BN104-BO104-BQ104)*Inputs!$B$10</f>
        <v>0</v>
      </c>
      <c r="BS104" s="0" t="n">
        <f aca="false">BN104-BO104-BQ104-BR104</f>
        <v>0</v>
      </c>
      <c r="BT104" s="0" t="n">
        <f aca="false">C104+J104+Q104+X104+AE104+AL104+AS104+AZ104+BG104+BN104</f>
        <v>0</v>
      </c>
      <c r="BU104" s="0" t="n">
        <f aca="false">D104+K104+R104+Y104+AF104+AM104+AT104+BA104+BH104+BO104</f>
        <v>0</v>
      </c>
      <c r="BV104" s="0" t="n">
        <f aca="false">E104+L104+S104+Z104+AG104+AN104+AU104+BB104+BI104+BP104</f>
        <v>0</v>
      </c>
      <c r="BW104" s="0" t="n">
        <f aca="false">F104+M104+T104+AA104+AH104+AO104+AV104+BC104+BJ104+BQ104</f>
        <v>0</v>
      </c>
      <c r="BX104" s="0" t="n">
        <f aca="false">G104+N104+U104+AB104+AI104+AP104+AW104+BD104+BK104+BR104</f>
        <v>0</v>
      </c>
      <c r="BY104" s="0" t="n">
        <f aca="false">H104+O104+V104+AC104+AJ104+AQ104+AX104+BE104+BL104+BS104</f>
        <v>0</v>
      </c>
      <c r="BZ104" s="0" t="n">
        <f aca="false">IF(A104&gt;Inputs!$B$7,(1-Inputs!$B$6)*INDEX($BU$6:$BU$125,A104-Inputs!$B$7),0)</f>
        <v>0</v>
      </c>
      <c r="CA104" s="0" t="n">
        <f aca="false">CA103+(1-Inputs!$B$6)*BU104-BZ104</f>
        <v>-1.06979314296041E-010</v>
      </c>
      <c r="CB104" s="0" t="n">
        <f aca="false">BY104+CA104</f>
        <v>-1.06979314296041E-010</v>
      </c>
      <c r="CC104" s="0" t="n">
        <f aca="false">BV104+BW104+BX104+BZ104</f>
        <v>0</v>
      </c>
      <c r="CD104" s="0" t="n">
        <f aca="false">CD103+BU104-BZ104</f>
        <v>10913893.1228094</v>
      </c>
    </row>
    <row r="105" customFormat="false" ht="15" hidden="false" customHeight="false" outlineLevel="0" collapsed="false">
      <c r="A105" s="0" t="n">
        <f aca="false">ROW()-5</f>
        <v>100</v>
      </c>
      <c r="B105" s="0" t="n">
        <f aca="false">Inputs!$D$58-(A105-1)</f>
        <v>-63</v>
      </c>
      <c r="C105" s="0" t="n">
        <f aca="false">IF(B105&lt;=0,0,IF(A105=1,Inputs!$B$58,H104))</f>
        <v>0</v>
      </c>
      <c r="D105" s="0" t="n">
        <f aca="false">C105*Inputs!$B$9</f>
        <v>0</v>
      </c>
      <c r="E105" s="0" t="n">
        <f aca="false">(C105-D105)*Inputs!$C$58/12</f>
        <v>0</v>
      </c>
      <c r="F105" s="0" t="n">
        <f aca="false">IF(B105&lt;=0,0,IF(B105=1,C105-D105,MIN((C105-D105)*(Inputs!$C$58/12)/(1-(1+Inputs!$C$58/12)^(-B105))-E105,C105-D105)))</f>
        <v>0</v>
      </c>
      <c r="G105" s="0" t="n">
        <f aca="false">(C105-D105-F105)*Inputs!$B$10</f>
        <v>0</v>
      </c>
      <c r="H105" s="0" t="n">
        <f aca="false">C105-D105-F105-G105</f>
        <v>0</v>
      </c>
      <c r="I105" s="0" t="n">
        <f aca="false">Inputs!$D$59-(A105-1)</f>
        <v>-51</v>
      </c>
      <c r="J105" s="0" t="n">
        <f aca="false">IF(I105&lt;=0,0,IF(A105=1,Inputs!$B$59,O104))</f>
        <v>0</v>
      </c>
      <c r="K105" s="0" t="n">
        <f aca="false">J105*Inputs!$B$9</f>
        <v>0</v>
      </c>
      <c r="L105" s="0" t="n">
        <f aca="false">(J105-K105)*Inputs!$C$59/12</f>
        <v>0</v>
      </c>
      <c r="M105" s="0" t="n">
        <f aca="false">IF(I105&lt;=0,0,IF(I105=1,J105-K105,MIN((J105-K105)*(Inputs!$C$59/12)/(1-(1+Inputs!$C$59/12)^(-I105))-L105,J105-K105)))</f>
        <v>0</v>
      </c>
      <c r="N105" s="0" t="n">
        <f aca="false">(J105-K105-M105)*Inputs!$B$10</f>
        <v>0</v>
      </c>
      <c r="O105" s="0" t="n">
        <f aca="false">J105-K105-M105-N105</f>
        <v>0</v>
      </c>
      <c r="P105" s="0" t="n">
        <f aca="false">Inputs!$D$60-(A105-1)</f>
        <v>-51</v>
      </c>
      <c r="Q105" s="0" t="n">
        <f aca="false">IF(P105&lt;=0,0,IF(A105=1,Inputs!$B$60,V104))</f>
        <v>0</v>
      </c>
      <c r="R105" s="0" t="n">
        <f aca="false">Q105*Inputs!$B$9</f>
        <v>0</v>
      </c>
      <c r="S105" s="0" t="n">
        <f aca="false">(Q105-R105)*Inputs!$C$60/12</f>
        <v>0</v>
      </c>
      <c r="T105" s="0" t="n">
        <f aca="false">IF(P105&lt;=0,0,IF(P105=1,Q105-R105,MIN((Q105-R105)*(Inputs!$C$60/12)/(1-(1+Inputs!$C$60/12)^(-P105))-S105,Q105-R105)))</f>
        <v>0</v>
      </c>
      <c r="U105" s="0" t="n">
        <f aca="false">(Q105-R105-T105)*Inputs!$B$10</f>
        <v>0</v>
      </c>
      <c r="V105" s="0" t="n">
        <f aca="false">Q105-R105-T105-U105</f>
        <v>0</v>
      </c>
      <c r="W105" s="0" t="n">
        <f aca="false">Inputs!$D$61-(A105-1)</f>
        <v>-39</v>
      </c>
      <c r="X105" s="0" t="n">
        <f aca="false">IF(W105&lt;=0,0,IF(A105=1,Inputs!$B$61,AC104))</f>
        <v>0</v>
      </c>
      <c r="Y105" s="0" t="n">
        <f aca="false">X105*Inputs!$B$9</f>
        <v>0</v>
      </c>
      <c r="Z105" s="0" t="n">
        <f aca="false">(X105-Y105)*Inputs!$C$61/12</f>
        <v>0</v>
      </c>
      <c r="AA105" s="0" t="n">
        <f aca="false">IF(W105&lt;=0,0,IF(W105=1,X105-Y105,MIN((X105-Y105)*(Inputs!$C$61/12)/(1-(1+Inputs!$C$61/12)^(-W105))-Z105,X105-Y105)))</f>
        <v>0</v>
      </c>
      <c r="AB105" s="0" t="n">
        <f aca="false">(X105-Y105-AA105)*Inputs!$B$10</f>
        <v>0</v>
      </c>
      <c r="AC105" s="0" t="n">
        <f aca="false">X105-Y105-AA105-AB105</f>
        <v>0</v>
      </c>
      <c r="AD105" s="0" t="n">
        <f aca="false">Inputs!$D$62-(A105-1)</f>
        <v>-39</v>
      </c>
      <c r="AE105" s="0" t="n">
        <f aca="false">IF(AD105&lt;=0,0,IF(A105=1,Inputs!$B$62,AJ104))</f>
        <v>0</v>
      </c>
      <c r="AF105" s="0" t="n">
        <f aca="false">AE105*Inputs!$B$9</f>
        <v>0</v>
      </c>
      <c r="AG105" s="0" t="n">
        <f aca="false">(AE105-AF105)*Inputs!$C$62/12</f>
        <v>0</v>
      </c>
      <c r="AH105" s="0" t="n">
        <f aca="false">IF(AD105&lt;=0,0,IF(AD105=1,AE105-AF105,MIN((AE105-AF105)*(Inputs!$C$62/12)/(1-(1+Inputs!$C$62/12)^(-AD105))-AG105,AE105-AF105)))</f>
        <v>0</v>
      </c>
      <c r="AI105" s="0" t="n">
        <f aca="false">(AE105-AF105-AH105)*Inputs!$B$10</f>
        <v>0</v>
      </c>
      <c r="AJ105" s="0" t="n">
        <f aca="false">AE105-AF105-AH105-AI105</f>
        <v>0</v>
      </c>
      <c r="AK105" s="0" t="n">
        <f aca="false">Inputs!$D$63-(A105-1)</f>
        <v>-39</v>
      </c>
      <c r="AL105" s="0" t="n">
        <f aca="false">IF(AK105&lt;=0,0,IF(A105=1,Inputs!$B$63,AQ104))</f>
        <v>0</v>
      </c>
      <c r="AM105" s="0" t="n">
        <f aca="false">AL105*Inputs!$B$9</f>
        <v>0</v>
      </c>
      <c r="AN105" s="0" t="n">
        <f aca="false">(AL105-AM105)*Inputs!$C$63/12</f>
        <v>0</v>
      </c>
      <c r="AO105" s="0" t="n">
        <f aca="false">IF(AK105&lt;=0,0,IF(AK105=1,AL105-AM105,MIN((AL105-AM105)*(Inputs!$C$63/12)/(1-(1+Inputs!$C$63/12)^(-AK105))-AN105,AL105-AM105)))</f>
        <v>0</v>
      </c>
      <c r="AP105" s="0" t="n">
        <f aca="false">(AL105-AM105-AO105)*Inputs!$B$10</f>
        <v>0</v>
      </c>
      <c r="AQ105" s="0" t="n">
        <f aca="false">AL105-AM105-AO105-AP105</f>
        <v>0</v>
      </c>
      <c r="AR105" s="0" t="n">
        <f aca="false">Inputs!$D$64-(A105-1)</f>
        <v>-27</v>
      </c>
      <c r="AS105" s="0" t="n">
        <f aca="false">IF(AR105&lt;=0,0,IF(A105=1,Inputs!$B$64,AX104))</f>
        <v>0</v>
      </c>
      <c r="AT105" s="0" t="n">
        <f aca="false">AS105*Inputs!$B$9</f>
        <v>0</v>
      </c>
      <c r="AU105" s="0" t="n">
        <f aca="false">(AS105-AT105)*Inputs!$C$64/12</f>
        <v>0</v>
      </c>
      <c r="AV105" s="0" t="n">
        <f aca="false">IF(AR105&lt;=0,0,IF(AR105=1,AS105-AT105,MIN((AS105-AT105)*(Inputs!$C$64/12)/(1-(1+Inputs!$C$64/12)^(-AR105))-AU105,AS105-AT105)))</f>
        <v>0</v>
      </c>
      <c r="AW105" s="0" t="n">
        <f aca="false">(AS105-AT105-AV105)*Inputs!$B$10</f>
        <v>0</v>
      </c>
      <c r="AX105" s="0" t="n">
        <f aca="false">AS105-AT105-AV105-AW105</f>
        <v>0</v>
      </c>
      <c r="AY105" s="0" t="n">
        <f aca="false">Inputs!$D$65-(A105-1)</f>
        <v>-27</v>
      </c>
      <c r="AZ105" s="0" t="n">
        <f aca="false">IF(AY105&lt;=0,0,IF(A105=1,Inputs!$B$65,BE104))</f>
        <v>0</v>
      </c>
      <c r="BA105" s="0" t="n">
        <f aca="false">AZ105*Inputs!$B$9</f>
        <v>0</v>
      </c>
      <c r="BB105" s="0" t="n">
        <f aca="false">(AZ105-BA105)*Inputs!$C$65/12</f>
        <v>0</v>
      </c>
      <c r="BC105" s="0" t="n">
        <f aca="false">IF(AY105&lt;=0,0,IF(AY105=1,AZ105-BA105,MIN((AZ105-BA105)*(Inputs!$C$65/12)/(1-(1+Inputs!$C$65/12)^(-AY105))-BB105,AZ105-BA105)))</f>
        <v>0</v>
      </c>
      <c r="BD105" s="0" t="n">
        <f aca="false">(AZ105-BA105-BC105)*Inputs!$B$10</f>
        <v>0</v>
      </c>
      <c r="BE105" s="0" t="n">
        <f aca="false">AZ105-BA105-BC105-BD105</f>
        <v>0</v>
      </c>
      <c r="BF105" s="0" t="n">
        <f aca="false">Inputs!$D$66-(A105-1)</f>
        <v>-15</v>
      </c>
      <c r="BG105" s="0" t="n">
        <f aca="false">IF(BF105&lt;=0,0,IF(A105=1,Inputs!$B$66,BL104))</f>
        <v>0</v>
      </c>
      <c r="BH105" s="0" t="n">
        <f aca="false">BG105*Inputs!$B$9</f>
        <v>0</v>
      </c>
      <c r="BI105" s="0" t="n">
        <f aca="false">(BG105-BH105)*Inputs!$C$66/12</f>
        <v>0</v>
      </c>
      <c r="BJ105" s="0" t="n">
        <f aca="false">IF(BF105&lt;=0,0,IF(BF105=1,BG105-BH105,MIN((BG105-BH105)*(Inputs!$C$66/12)/(1-(1+Inputs!$C$66/12)^(-BF105))-BI105,BG105-BH105)))</f>
        <v>0</v>
      </c>
      <c r="BK105" s="0" t="n">
        <f aca="false">(BG105-BH105-BJ105)*Inputs!$B$10</f>
        <v>0</v>
      </c>
      <c r="BL105" s="0" t="n">
        <f aca="false">BG105-BH105-BJ105-BK105</f>
        <v>0</v>
      </c>
      <c r="BM105" s="0" t="n">
        <f aca="false">Inputs!$D$67-(A105-1)</f>
        <v>-15</v>
      </c>
      <c r="BN105" s="0" t="n">
        <f aca="false">IF(BM105&lt;=0,0,IF(A105=1,Inputs!$B$67,BS104))</f>
        <v>0</v>
      </c>
      <c r="BO105" s="0" t="n">
        <f aca="false">BN105*Inputs!$B$9</f>
        <v>0</v>
      </c>
      <c r="BP105" s="0" t="n">
        <f aca="false">(BN105-BO105)*Inputs!$C$67/12</f>
        <v>0</v>
      </c>
      <c r="BQ105" s="0" t="n">
        <f aca="false">IF(BM105&lt;=0,0,IF(BM105=1,BN105-BO105,MIN((BN105-BO105)*(Inputs!$C$67/12)/(1-(1+Inputs!$C$67/12)^(-BM105))-BP105,BN105-BO105)))</f>
        <v>0</v>
      </c>
      <c r="BR105" s="0" t="n">
        <f aca="false">(BN105-BO105-BQ105)*Inputs!$B$10</f>
        <v>0</v>
      </c>
      <c r="BS105" s="0" t="n">
        <f aca="false">BN105-BO105-BQ105-BR105</f>
        <v>0</v>
      </c>
      <c r="BT105" s="0" t="n">
        <f aca="false">C105+J105+Q105+X105+AE105+AL105+AS105+AZ105+BG105+BN105</f>
        <v>0</v>
      </c>
      <c r="BU105" s="0" t="n">
        <f aca="false">D105+K105+R105+Y105+AF105+AM105+AT105+BA105+BH105+BO105</f>
        <v>0</v>
      </c>
      <c r="BV105" s="0" t="n">
        <f aca="false">E105+L105+S105+Z105+AG105+AN105+AU105+BB105+BI105+BP105</f>
        <v>0</v>
      </c>
      <c r="BW105" s="0" t="n">
        <f aca="false">F105+M105+T105+AA105+AH105+AO105+AV105+BC105+BJ105+BQ105</f>
        <v>0</v>
      </c>
      <c r="BX105" s="0" t="n">
        <f aca="false">G105+N105+U105+AB105+AI105+AP105+AW105+BD105+BK105+BR105</f>
        <v>0</v>
      </c>
      <c r="BY105" s="0" t="n">
        <f aca="false">H105+O105+V105+AC105+AJ105+AQ105+AX105+BE105+BL105+BS105</f>
        <v>0</v>
      </c>
      <c r="BZ105" s="0" t="n">
        <f aca="false">IF(A105&gt;Inputs!$B$7,(1-Inputs!$B$6)*INDEX($BU$6:$BU$125,A105-Inputs!$B$7),0)</f>
        <v>0</v>
      </c>
      <c r="CA105" s="0" t="n">
        <f aca="false">CA104+(1-Inputs!$B$6)*BU105-BZ105</f>
        <v>-1.06979314296041E-010</v>
      </c>
      <c r="CB105" s="0" t="n">
        <f aca="false">BY105+CA105</f>
        <v>-1.06979314296041E-010</v>
      </c>
      <c r="CC105" s="0" t="n">
        <f aca="false">BV105+BW105+BX105+BZ105</f>
        <v>0</v>
      </c>
      <c r="CD105" s="0" t="n">
        <f aca="false">CD104+BU105-BZ105</f>
        <v>10913893.1228094</v>
      </c>
    </row>
    <row r="106" customFormat="false" ht="15" hidden="false" customHeight="false" outlineLevel="0" collapsed="false">
      <c r="A106" s="0" t="n">
        <f aca="false">ROW()-5</f>
        <v>101</v>
      </c>
      <c r="B106" s="0" t="n">
        <f aca="false">Inputs!$D$58-(A106-1)</f>
        <v>-64</v>
      </c>
      <c r="C106" s="0" t="n">
        <f aca="false">IF(B106&lt;=0,0,IF(A106=1,Inputs!$B$58,H105))</f>
        <v>0</v>
      </c>
      <c r="D106" s="0" t="n">
        <f aca="false">C106*Inputs!$B$9</f>
        <v>0</v>
      </c>
      <c r="E106" s="0" t="n">
        <f aca="false">(C106-D106)*Inputs!$C$58/12</f>
        <v>0</v>
      </c>
      <c r="F106" s="0" t="n">
        <f aca="false">IF(B106&lt;=0,0,IF(B106=1,C106-D106,MIN((C106-D106)*(Inputs!$C$58/12)/(1-(1+Inputs!$C$58/12)^(-B106))-E106,C106-D106)))</f>
        <v>0</v>
      </c>
      <c r="G106" s="0" t="n">
        <f aca="false">(C106-D106-F106)*Inputs!$B$10</f>
        <v>0</v>
      </c>
      <c r="H106" s="0" t="n">
        <f aca="false">C106-D106-F106-G106</f>
        <v>0</v>
      </c>
      <c r="I106" s="0" t="n">
        <f aca="false">Inputs!$D$59-(A106-1)</f>
        <v>-52</v>
      </c>
      <c r="J106" s="0" t="n">
        <f aca="false">IF(I106&lt;=0,0,IF(A106=1,Inputs!$B$59,O105))</f>
        <v>0</v>
      </c>
      <c r="K106" s="0" t="n">
        <f aca="false">J106*Inputs!$B$9</f>
        <v>0</v>
      </c>
      <c r="L106" s="0" t="n">
        <f aca="false">(J106-K106)*Inputs!$C$59/12</f>
        <v>0</v>
      </c>
      <c r="M106" s="0" t="n">
        <f aca="false">IF(I106&lt;=0,0,IF(I106=1,J106-K106,MIN((J106-K106)*(Inputs!$C$59/12)/(1-(1+Inputs!$C$59/12)^(-I106))-L106,J106-K106)))</f>
        <v>0</v>
      </c>
      <c r="N106" s="0" t="n">
        <f aca="false">(J106-K106-M106)*Inputs!$B$10</f>
        <v>0</v>
      </c>
      <c r="O106" s="0" t="n">
        <f aca="false">J106-K106-M106-N106</f>
        <v>0</v>
      </c>
      <c r="P106" s="0" t="n">
        <f aca="false">Inputs!$D$60-(A106-1)</f>
        <v>-52</v>
      </c>
      <c r="Q106" s="0" t="n">
        <f aca="false">IF(P106&lt;=0,0,IF(A106=1,Inputs!$B$60,V105))</f>
        <v>0</v>
      </c>
      <c r="R106" s="0" t="n">
        <f aca="false">Q106*Inputs!$B$9</f>
        <v>0</v>
      </c>
      <c r="S106" s="0" t="n">
        <f aca="false">(Q106-R106)*Inputs!$C$60/12</f>
        <v>0</v>
      </c>
      <c r="T106" s="0" t="n">
        <f aca="false">IF(P106&lt;=0,0,IF(P106=1,Q106-R106,MIN((Q106-R106)*(Inputs!$C$60/12)/(1-(1+Inputs!$C$60/12)^(-P106))-S106,Q106-R106)))</f>
        <v>0</v>
      </c>
      <c r="U106" s="0" t="n">
        <f aca="false">(Q106-R106-T106)*Inputs!$B$10</f>
        <v>0</v>
      </c>
      <c r="V106" s="0" t="n">
        <f aca="false">Q106-R106-T106-U106</f>
        <v>0</v>
      </c>
      <c r="W106" s="0" t="n">
        <f aca="false">Inputs!$D$61-(A106-1)</f>
        <v>-40</v>
      </c>
      <c r="X106" s="0" t="n">
        <f aca="false">IF(W106&lt;=0,0,IF(A106=1,Inputs!$B$61,AC105))</f>
        <v>0</v>
      </c>
      <c r="Y106" s="0" t="n">
        <f aca="false">X106*Inputs!$B$9</f>
        <v>0</v>
      </c>
      <c r="Z106" s="0" t="n">
        <f aca="false">(X106-Y106)*Inputs!$C$61/12</f>
        <v>0</v>
      </c>
      <c r="AA106" s="0" t="n">
        <f aca="false">IF(W106&lt;=0,0,IF(W106=1,X106-Y106,MIN((X106-Y106)*(Inputs!$C$61/12)/(1-(1+Inputs!$C$61/12)^(-W106))-Z106,X106-Y106)))</f>
        <v>0</v>
      </c>
      <c r="AB106" s="0" t="n">
        <f aca="false">(X106-Y106-AA106)*Inputs!$B$10</f>
        <v>0</v>
      </c>
      <c r="AC106" s="0" t="n">
        <f aca="false">X106-Y106-AA106-AB106</f>
        <v>0</v>
      </c>
      <c r="AD106" s="0" t="n">
        <f aca="false">Inputs!$D$62-(A106-1)</f>
        <v>-40</v>
      </c>
      <c r="AE106" s="0" t="n">
        <f aca="false">IF(AD106&lt;=0,0,IF(A106=1,Inputs!$B$62,AJ105))</f>
        <v>0</v>
      </c>
      <c r="AF106" s="0" t="n">
        <f aca="false">AE106*Inputs!$B$9</f>
        <v>0</v>
      </c>
      <c r="AG106" s="0" t="n">
        <f aca="false">(AE106-AF106)*Inputs!$C$62/12</f>
        <v>0</v>
      </c>
      <c r="AH106" s="0" t="n">
        <f aca="false">IF(AD106&lt;=0,0,IF(AD106=1,AE106-AF106,MIN((AE106-AF106)*(Inputs!$C$62/12)/(1-(1+Inputs!$C$62/12)^(-AD106))-AG106,AE106-AF106)))</f>
        <v>0</v>
      </c>
      <c r="AI106" s="0" t="n">
        <f aca="false">(AE106-AF106-AH106)*Inputs!$B$10</f>
        <v>0</v>
      </c>
      <c r="AJ106" s="0" t="n">
        <f aca="false">AE106-AF106-AH106-AI106</f>
        <v>0</v>
      </c>
      <c r="AK106" s="0" t="n">
        <f aca="false">Inputs!$D$63-(A106-1)</f>
        <v>-40</v>
      </c>
      <c r="AL106" s="0" t="n">
        <f aca="false">IF(AK106&lt;=0,0,IF(A106=1,Inputs!$B$63,AQ105))</f>
        <v>0</v>
      </c>
      <c r="AM106" s="0" t="n">
        <f aca="false">AL106*Inputs!$B$9</f>
        <v>0</v>
      </c>
      <c r="AN106" s="0" t="n">
        <f aca="false">(AL106-AM106)*Inputs!$C$63/12</f>
        <v>0</v>
      </c>
      <c r="AO106" s="0" t="n">
        <f aca="false">IF(AK106&lt;=0,0,IF(AK106=1,AL106-AM106,MIN((AL106-AM106)*(Inputs!$C$63/12)/(1-(1+Inputs!$C$63/12)^(-AK106))-AN106,AL106-AM106)))</f>
        <v>0</v>
      </c>
      <c r="AP106" s="0" t="n">
        <f aca="false">(AL106-AM106-AO106)*Inputs!$B$10</f>
        <v>0</v>
      </c>
      <c r="AQ106" s="0" t="n">
        <f aca="false">AL106-AM106-AO106-AP106</f>
        <v>0</v>
      </c>
      <c r="AR106" s="0" t="n">
        <f aca="false">Inputs!$D$64-(A106-1)</f>
        <v>-28</v>
      </c>
      <c r="AS106" s="0" t="n">
        <f aca="false">IF(AR106&lt;=0,0,IF(A106=1,Inputs!$B$64,AX105))</f>
        <v>0</v>
      </c>
      <c r="AT106" s="0" t="n">
        <f aca="false">AS106*Inputs!$B$9</f>
        <v>0</v>
      </c>
      <c r="AU106" s="0" t="n">
        <f aca="false">(AS106-AT106)*Inputs!$C$64/12</f>
        <v>0</v>
      </c>
      <c r="AV106" s="0" t="n">
        <f aca="false">IF(AR106&lt;=0,0,IF(AR106=1,AS106-AT106,MIN((AS106-AT106)*(Inputs!$C$64/12)/(1-(1+Inputs!$C$64/12)^(-AR106))-AU106,AS106-AT106)))</f>
        <v>0</v>
      </c>
      <c r="AW106" s="0" t="n">
        <f aca="false">(AS106-AT106-AV106)*Inputs!$B$10</f>
        <v>0</v>
      </c>
      <c r="AX106" s="0" t="n">
        <f aca="false">AS106-AT106-AV106-AW106</f>
        <v>0</v>
      </c>
      <c r="AY106" s="0" t="n">
        <f aca="false">Inputs!$D$65-(A106-1)</f>
        <v>-28</v>
      </c>
      <c r="AZ106" s="0" t="n">
        <f aca="false">IF(AY106&lt;=0,0,IF(A106=1,Inputs!$B$65,BE105))</f>
        <v>0</v>
      </c>
      <c r="BA106" s="0" t="n">
        <f aca="false">AZ106*Inputs!$B$9</f>
        <v>0</v>
      </c>
      <c r="BB106" s="0" t="n">
        <f aca="false">(AZ106-BA106)*Inputs!$C$65/12</f>
        <v>0</v>
      </c>
      <c r="BC106" s="0" t="n">
        <f aca="false">IF(AY106&lt;=0,0,IF(AY106=1,AZ106-BA106,MIN((AZ106-BA106)*(Inputs!$C$65/12)/(1-(1+Inputs!$C$65/12)^(-AY106))-BB106,AZ106-BA106)))</f>
        <v>0</v>
      </c>
      <c r="BD106" s="0" t="n">
        <f aca="false">(AZ106-BA106-BC106)*Inputs!$B$10</f>
        <v>0</v>
      </c>
      <c r="BE106" s="0" t="n">
        <f aca="false">AZ106-BA106-BC106-BD106</f>
        <v>0</v>
      </c>
      <c r="BF106" s="0" t="n">
        <f aca="false">Inputs!$D$66-(A106-1)</f>
        <v>-16</v>
      </c>
      <c r="BG106" s="0" t="n">
        <f aca="false">IF(BF106&lt;=0,0,IF(A106=1,Inputs!$B$66,BL105))</f>
        <v>0</v>
      </c>
      <c r="BH106" s="0" t="n">
        <f aca="false">BG106*Inputs!$B$9</f>
        <v>0</v>
      </c>
      <c r="BI106" s="0" t="n">
        <f aca="false">(BG106-BH106)*Inputs!$C$66/12</f>
        <v>0</v>
      </c>
      <c r="BJ106" s="0" t="n">
        <f aca="false">IF(BF106&lt;=0,0,IF(BF106=1,BG106-BH106,MIN((BG106-BH106)*(Inputs!$C$66/12)/(1-(1+Inputs!$C$66/12)^(-BF106))-BI106,BG106-BH106)))</f>
        <v>0</v>
      </c>
      <c r="BK106" s="0" t="n">
        <f aca="false">(BG106-BH106-BJ106)*Inputs!$B$10</f>
        <v>0</v>
      </c>
      <c r="BL106" s="0" t="n">
        <f aca="false">BG106-BH106-BJ106-BK106</f>
        <v>0</v>
      </c>
      <c r="BM106" s="0" t="n">
        <f aca="false">Inputs!$D$67-(A106-1)</f>
        <v>-16</v>
      </c>
      <c r="BN106" s="0" t="n">
        <f aca="false">IF(BM106&lt;=0,0,IF(A106=1,Inputs!$B$67,BS105))</f>
        <v>0</v>
      </c>
      <c r="BO106" s="0" t="n">
        <f aca="false">BN106*Inputs!$B$9</f>
        <v>0</v>
      </c>
      <c r="BP106" s="0" t="n">
        <f aca="false">(BN106-BO106)*Inputs!$C$67/12</f>
        <v>0</v>
      </c>
      <c r="BQ106" s="0" t="n">
        <f aca="false">IF(BM106&lt;=0,0,IF(BM106=1,BN106-BO106,MIN((BN106-BO106)*(Inputs!$C$67/12)/(1-(1+Inputs!$C$67/12)^(-BM106))-BP106,BN106-BO106)))</f>
        <v>0</v>
      </c>
      <c r="BR106" s="0" t="n">
        <f aca="false">(BN106-BO106-BQ106)*Inputs!$B$10</f>
        <v>0</v>
      </c>
      <c r="BS106" s="0" t="n">
        <f aca="false">BN106-BO106-BQ106-BR106</f>
        <v>0</v>
      </c>
      <c r="BT106" s="0" t="n">
        <f aca="false">C106+J106+Q106+X106+AE106+AL106+AS106+AZ106+BG106+BN106</f>
        <v>0</v>
      </c>
      <c r="BU106" s="0" t="n">
        <f aca="false">D106+K106+R106+Y106+AF106+AM106+AT106+BA106+BH106+BO106</f>
        <v>0</v>
      </c>
      <c r="BV106" s="0" t="n">
        <f aca="false">E106+L106+S106+Z106+AG106+AN106+AU106+BB106+BI106+BP106</f>
        <v>0</v>
      </c>
      <c r="BW106" s="0" t="n">
        <f aca="false">F106+M106+T106+AA106+AH106+AO106+AV106+BC106+BJ106+BQ106</f>
        <v>0</v>
      </c>
      <c r="BX106" s="0" t="n">
        <f aca="false">G106+N106+U106+AB106+AI106+AP106+AW106+BD106+BK106+BR106</f>
        <v>0</v>
      </c>
      <c r="BY106" s="0" t="n">
        <f aca="false">H106+O106+V106+AC106+AJ106+AQ106+AX106+BE106+BL106+BS106</f>
        <v>0</v>
      </c>
      <c r="BZ106" s="0" t="n">
        <f aca="false">IF(A106&gt;Inputs!$B$7,(1-Inputs!$B$6)*INDEX($BU$6:$BU$125,A106-Inputs!$B$7),0)</f>
        <v>0</v>
      </c>
      <c r="CA106" s="0" t="n">
        <f aca="false">CA105+(1-Inputs!$B$6)*BU106-BZ106</f>
        <v>-1.06979314296041E-010</v>
      </c>
      <c r="CB106" s="0" t="n">
        <f aca="false">BY106+CA106</f>
        <v>-1.06979314296041E-010</v>
      </c>
      <c r="CC106" s="0" t="n">
        <f aca="false">BV106+BW106+BX106+BZ106</f>
        <v>0</v>
      </c>
      <c r="CD106" s="0" t="n">
        <f aca="false">CD105+BU106-BZ106</f>
        <v>10913893.1228094</v>
      </c>
    </row>
    <row r="107" customFormat="false" ht="15" hidden="false" customHeight="false" outlineLevel="0" collapsed="false">
      <c r="A107" s="0" t="n">
        <f aca="false">ROW()-5</f>
        <v>102</v>
      </c>
      <c r="B107" s="0" t="n">
        <f aca="false">Inputs!$D$58-(A107-1)</f>
        <v>-65</v>
      </c>
      <c r="C107" s="0" t="n">
        <f aca="false">IF(B107&lt;=0,0,IF(A107=1,Inputs!$B$58,H106))</f>
        <v>0</v>
      </c>
      <c r="D107" s="0" t="n">
        <f aca="false">C107*Inputs!$B$9</f>
        <v>0</v>
      </c>
      <c r="E107" s="0" t="n">
        <f aca="false">(C107-D107)*Inputs!$C$58/12</f>
        <v>0</v>
      </c>
      <c r="F107" s="0" t="n">
        <f aca="false">IF(B107&lt;=0,0,IF(B107=1,C107-D107,MIN((C107-D107)*(Inputs!$C$58/12)/(1-(1+Inputs!$C$58/12)^(-B107))-E107,C107-D107)))</f>
        <v>0</v>
      </c>
      <c r="G107" s="0" t="n">
        <f aca="false">(C107-D107-F107)*Inputs!$B$10</f>
        <v>0</v>
      </c>
      <c r="H107" s="0" t="n">
        <f aca="false">C107-D107-F107-G107</f>
        <v>0</v>
      </c>
      <c r="I107" s="0" t="n">
        <f aca="false">Inputs!$D$59-(A107-1)</f>
        <v>-53</v>
      </c>
      <c r="J107" s="0" t="n">
        <f aca="false">IF(I107&lt;=0,0,IF(A107=1,Inputs!$B$59,O106))</f>
        <v>0</v>
      </c>
      <c r="K107" s="0" t="n">
        <f aca="false">J107*Inputs!$B$9</f>
        <v>0</v>
      </c>
      <c r="L107" s="0" t="n">
        <f aca="false">(J107-K107)*Inputs!$C$59/12</f>
        <v>0</v>
      </c>
      <c r="M107" s="0" t="n">
        <f aca="false">IF(I107&lt;=0,0,IF(I107=1,J107-K107,MIN((J107-K107)*(Inputs!$C$59/12)/(1-(1+Inputs!$C$59/12)^(-I107))-L107,J107-K107)))</f>
        <v>0</v>
      </c>
      <c r="N107" s="0" t="n">
        <f aca="false">(J107-K107-M107)*Inputs!$B$10</f>
        <v>0</v>
      </c>
      <c r="O107" s="0" t="n">
        <f aca="false">J107-K107-M107-N107</f>
        <v>0</v>
      </c>
      <c r="P107" s="0" t="n">
        <f aca="false">Inputs!$D$60-(A107-1)</f>
        <v>-53</v>
      </c>
      <c r="Q107" s="0" t="n">
        <f aca="false">IF(P107&lt;=0,0,IF(A107=1,Inputs!$B$60,V106))</f>
        <v>0</v>
      </c>
      <c r="R107" s="0" t="n">
        <f aca="false">Q107*Inputs!$B$9</f>
        <v>0</v>
      </c>
      <c r="S107" s="0" t="n">
        <f aca="false">(Q107-R107)*Inputs!$C$60/12</f>
        <v>0</v>
      </c>
      <c r="T107" s="0" t="n">
        <f aca="false">IF(P107&lt;=0,0,IF(P107=1,Q107-R107,MIN((Q107-R107)*(Inputs!$C$60/12)/(1-(1+Inputs!$C$60/12)^(-P107))-S107,Q107-R107)))</f>
        <v>0</v>
      </c>
      <c r="U107" s="0" t="n">
        <f aca="false">(Q107-R107-T107)*Inputs!$B$10</f>
        <v>0</v>
      </c>
      <c r="V107" s="0" t="n">
        <f aca="false">Q107-R107-T107-U107</f>
        <v>0</v>
      </c>
      <c r="W107" s="0" t="n">
        <f aca="false">Inputs!$D$61-(A107-1)</f>
        <v>-41</v>
      </c>
      <c r="X107" s="0" t="n">
        <f aca="false">IF(W107&lt;=0,0,IF(A107=1,Inputs!$B$61,AC106))</f>
        <v>0</v>
      </c>
      <c r="Y107" s="0" t="n">
        <f aca="false">X107*Inputs!$B$9</f>
        <v>0</v>
      </c>
      <c r="Z107" s="0" t="n">
        <f aca="false">(X107-Y107)*Inputs!$C$61/12</f>
        <v>0</v>
      </c>
      <c r="AA107" s="0" t="n">
        <f aca="false">IF(W107&lt;=0,0,IF(W107=1,X107-Y107,MIN((X107-Y107)*(Inputs!$C$61/12)/(1-(1+Inputs!$C$61/12)^(-W107))-Z107,X107-Y107)))</f>
        <v>0</v>
      </c>
      <c r="AB107" s="0" t="n">
        <f aca="false">(X107-Y107-AA107)*Inputs!$B$10</f>
        <v>0</v>
      </c>
      <c r="AC107" s="0" t="n">
        <f aca="false">X107-Y107-AA107-AB107</f>
        <v>0</v>
      </c>
      <c r="AD107" s="0" t="n">
        <f aca="false">Inputs!$D$62-(A107-1)</f>
        <v>-41</v>
      </c>
      <c r="AE107" s="0" t="n">
        <f aca="false">IF(AD107&lt;=0,0,IF(A107=1,Inputs!$B$62,AJ106))</f>
        <v>0</v>
      </c>
      <c r="AF107" s="0" t="n">
        <f aca="false">AE107*Inputs!$B$9</f>
        <v>0</v>
      </c>
      <c r="AG107" s="0" t="n">
        <f aca="false">(AE107-AF107)*Inputs!$C$62/12</f>
        <v>0</v>
      </c>
      <c r="AH107" s="0" t="n">
        <f aca="false">IF(AD107&lt;=0,0,IF(AD107=1,AE107-AF107,MIN((AE107-AF107)*(Inputs!$C$62/12)/(1-(1+Inputs!$C$62/12)^(-AD107))-AG107,AE107-AF107)))</f>
        <v>0</v>
      </c>
      <c r="AI107" s="0" t="n">
        <f aca="false">(AE107-AF107-AH107)*Inputs!$B$10</f>
        <v>0</v>
      </c>
      <c r="AJ107" s="0" t="n">
        <f aca="false">AE107-AF107-AH107-AI107</f>
        <v>0</v>
      </c>
      <c r="AK107" s="0" t="n">
        <f aca="false">Inputs!$D$63-(A107-1)</f>
        <v>-41</v>
      </c>
      <c r="AL107" s="0" t="n">
        <f aca="false">IF(AK107&lt;=0,0,IF(A107=1,Inputs!$B$63,AQ106))</f>
        <v>0</v>
      </c>
      <c r="AM107" s="0" t="n">
        <f aca="false">AL107*Inputs!$B$9</f>
        <v>0</v>
      </c>
      <c r="AN107" s="0" t="n">
        <f aca="false">(AL107-AM107)*Inputs!$C$63/12</f>
        <v>0</v>
      </c>
      <c r="AO107" s="0" t="n">
        <f aca="false">IF(AK107&lt;=0,0,IF(AK107=1,AL107-AM107,MIN((AL107-AM107)*(Inputs!$C$63/12)/(1-(1+Inputs!$C$63/12)^(-AK107))-AN107,AL107-AM107)))</f>
        <v>0</v>
      </c>
      <c r="AP107" s="0" t="n">
        <f aca="false">(AL107-AM107-AO107)*Inputs!$B$10</f>
        <v>0</v>
      </c>
      <c r="AQ107" s="0" t="n">
        <f aca="false">AL107-AM107-AO107-AP107</f>
        <v>0</v>
      </c>
      <c r="AR107" s="0" t="n">
        <f aca="false">Inputs!$D$64-(A107-1)</f>
        <v>-29</v>
      </c>
      <c r="AS107" s="0" t="n">
        <f aca="false">IF(AR107&lt;=0,0,IF(A107=1,Inputs!$B$64,AX106))</f>
        <v>0</v>
      </c>
      <c r="AT107" s="0" t="n">
        <f aca="false">AS107*Inputs!$B$9</f>
        <v>0</v>
      </c>
      <c r="AU107" s="0" t="n">
        <f aca="false">(AS107-AT107)*Inputs!$C$64/12</f>
        <v>0</v>
      </c>
      <c r="AV107" s="0" t="n">
        <f aca="false">IF(AR107&lt;=0,0,IF(AR107=1,AS107-AT107,MIN((AS107-AT107)*(Inputs!$C$64/12)/(1-(1+Inputs!$C$64/12)^(-AR107))-AU107,AS107-AT107)))</f>
        <v>0</v>
      </c>
      <c r="AW107" s="0" t="n">
        <f aca="false">(AS107-AT107-AV107)*Inputs!$B$10</f>
        <v>0</v>
      </c>
      <c r="AX107" s="0" t="n">
        <f aca="false">AS107-AT107-AV107-AW107</f>
        <v>0</v>
      </c>
      <c r="AY107" s="0" t="n">
        <f aca="false">Inputs!$D$65-(A107-1)</f>
        <v>-29</v>
      </c>
      <c r="AZ107" s="0" t="n">
        <f aca="false">IF(AY107&lt;=0,0,IF(A107=1,Inputs!$B$65,BE106))</f>
        <v>0</v>
      </c>
      <c r="BA107" s="0" t="n">
        <f aca="false">AZ107*Inputs!$B$9</f>
        <v>0</v>
      </c>
      <c r="BB107" s="0" t="n">
        <f aca="false">(AZ107-BA107)*Inputs!$C$65/12</f>
        <v>0</v>
      </c>
      <c r="BC107" s="0" t="n">
        <f aca="false">IF(AY107&lt;=0,0,IF(AY107=1,AZ107-BA107,MIN((AZ107-BA107)*(Inputs!$C$65/12)/(1-(1+Inputs!$C$65/12)^(-AY107))-BB107,AZ107-BA107)))</f>
        <v>0</v>
      </c>
      <c r="BD107" s="0" t="n">
        <f aca="false">(AZ107-BA107-BC107)*Inputs!$B$10</f>
        <v>0</v>
      </c>
      <c r="BE107" s="0" t="n">
        <f aca="false">AZ107-BA107-BC107-BD107</f>
        <v>0</v>
      </c>
      <c r="BF107" s="0" t="n">
        <f aca="false">Inputs!$D$66-(A107-1)</f>
        <v>-17</v>
      </c>
      <c r="BG107" s="0" t="n">
        <f aca="false">IF(BF107&lt;=0,0,IF(A107=1,Inputs!$B$66,BL106))</f>
        <v>0</v>
      </c>
      <c r="BH107" s="0" t="n">
        <f aca="false">BG107*Inputs!$B$9</f>
        <v>0</v>
      </c>
      <c r="BI107" s="0" t="n">
        <f aca="false">(BG107-BH107)*Inputs!$C$66/12</f>
        <v>0</v>
      </c>
      <c r="BJ107" s="0" t="n">
        <f aca="false">IF(BF107&lt;=0,0,IF(BF107=1,BG107-BH107,MIN((BG107-BH107)*(Inputs!$C$66/12)/(1-(1+Inputs!$C$66/12)^(-BF107))-BI107,BG107-BH107)))</f>
        <v>0</v>
      </c>
      <c r="BK107" s="0" t="n">
        <f aca="false">(BG107-BH107-BJ107)*Inputs!$B$10</f>
        <v>0</v>
      </c>
      <c r="BL107" s="0" t="n">
        <f aca="false">BG107-BH107-BJ107-BK107</f>
        <v>0</v>
      </c>
      <c r="BM107" s="0" t="n">
        <f aca="false">Inputs!$D$67-(A107-1)</f>
        <v>-17</v>
      </c>
      <c r="BN107" s="0" t="n">
        <f aca="false">IF(BM107&lt;=0,0,IF(A107=1,Inputs!$B$67,BS106))</f>
        <v>0</v>
      </c>
      <c r="BO107" s="0" t="n">
        <f aca="false">BN107*Inputs!$B$9</f>
        <v>0</v>
      </c>
      <c r="BP107" s="0" t="n">
        <f aca="false">(BN107-BO107)*Inputs!$C$67/12</f>
        <v>0</v>
      </c>
      <c r="BQ107" s="0" t="n">
        <f aca="false">IF(BM107&lt;=0,0,IF(BM107=1,BN107-BO107,MIN((BN107-BO107)*(Inputs!$C$67/12)/(1-(1+Inputs!$C$67/12)^(-BM107))-BP107,BN107-BO107)))</f>
        <v>0</v>
      </c>
      <c r="BR107" s="0" t="n">
        <f aca="false">(BN107-BO107-BQ107)*Inputs!$B$10</f>
        <v>0</v>
      </c>
      <c r="BS107" s="0" t="n">
        <f aca="false">BN107-BO107-BQ107-BR107</f>
        <v>0</v>
      </c>
      <c r="BT107" s="0" t="n">
        <f aca="false">C107+J107+Q107+X107+AE107+AL107+AS107+AZ107+BG107+BN107</f>
        <v>0</v>
      </c>
      <c r="BU107" s="0" t="n">
        <f aca="false">D107+K107+R107+Y107+AF107+AM107+AT107+BA107+BH107+BO107</f>
        <v>0</v>
      </c>
      <c r="BV107" s="0" t="n">
        <f aca="false">E107+L107+S107+Z107+AG107+AN107+AU107+BB107+BI107+BP107</f>
        <v>0</v>
      </c>
      <c r="BW107" s="0" t="n">
        <f aca="false">F107+M107+T107+AA107+AH107+AO107+AV107+BC107+BJ107+BQ107</f>
        <v>0</v>
      </c>
      <c r="BX107" s="0" t="n">
        <f aca="false">G107+N107+U107+AB107+AI107+AP107+AW107+BD107+BK107+BR107</f>
        <v>0</v>
      </c>
      <c r="BY107" s="0" t="n">
        <f aca="false">H107+O107+V107+AC107+AJ107+AQ107+AX107+BE107+BL107+BS107</f>
        <v>0</v>
      </c>
      <c r="BZ107" s="0" t="n">
        <f aca="false">IF(A107&gt;Inputs!$B$7,(1-Inputs!$B$6)*INDEX($BU$6:$BU$125,A107-Inputs!$B$7),0)</f>
        <v>0</v>
      </c>
      <c r="CA107" s="0" t="n">
        <f aca="false">CA106+(1-Inputs!$B$6)*BU107-BZ107</f>
        <v>-1.06979314296041E-010</v>
      </c>
      <c r="CB107" s="0" t="n">
        <f aca="false">BY107+CA107</f>
        <v>-1.06979314296041E-010</v>
      </c>
      <c r="CC107" s="0" t="n">
        <f aca="false">BV107+BW107+BX107+BZ107</f>
        <v>0</v>
      </c>
      <c r="CD107" s="0" t="n">
        <f aca="false">CD106+BU107-BZ107</f>
        <v>10913893.1228094</v>
      </c>
    </row>
    <row r="108" customFormat="false" ht="15" hidden="false" customHeight="false" outlineLevel="0" collapsed="false">
      <c r="A108" s="0" t="n">
        <f aca="false">ROW()-5</f>
        <v>103</v>
      </c>
      <c r="B108" s="0" t="n">
        <f aca="false">Inputs!$D$58-(A108-1)</f>
        <v>-66</v>
      </c>
      <c r="C108" s="0" t="n">
        <f aca="false">IF(B108&lt;=0,0,IF(A108=1,Inputs!$B$58,H107))</f>
        <v>0</v>
      </c>
      <c r="D108" s="0" t="n">
        <f aca="false">C108*Inputs!$B$9</f>
        <v>0</v>
      </c>
      <c r="E108" s="0" t="n">
        <f aca="false">(C108-D108)*Inputs!$C$58/12</f>
        <v>0</v>
      </c>
      <c r="F108" s="0" t="n">
        <f aca="false">IF(B108&lt;=0,0,IF(B108=1,C108-D108,MIN((C108-D108)*(Inputs!$C$58/12)/(1-(1+Inputs!$C$58/12)^(-B108))-E108,C108-D108)))</f>
        <v>0</v>
      </c>
      <c r="G108" s="0" t="n">
        <f aca="false">(C108-D108-F108)*Inputs!$B$10</f>
        <v>0</v>
      </c>
      <c r="H108" s="0" t="n">
        <f aca="false">C108-D108-F108-G108</f>
        <v>0</v>
      </c>
      <c r="I108" s="0" t="n">
        <f aca="false">Inputs!$D$59-(A108-1)</f>
        <v>-54</v>
      </c>
      <c r="J108" s="0" t="n">
        <f aca="false">IF(I108&lt;=0,0,IF(A108=1,Inputs!$B$59,O107))</f>
        <v>0</v>
      </c>
      <c r="K108" s="0" t="n">
        <f aca="false">J108*Inputs!$B$9</f>
        <v>0</v>
      </c>
      <c r="L108" s="0" t="n">
        <f aca="false">(J108-K108)*Inputs!$C$59/12</f>
        <v>0</v>
      </c>
      <c r="M108" s="0" t="n">
        <f aca="false">IF(I108&lt;=0,0,IF(I108=1,J108-K108,MIN((J108-K108)*(Inputs!$C$59/12)/(1-(1+Inputs!$C$59/12)^(-I108))-L108,J108-K108)))</f>
        <v>0</v>
      </c>
      <c r="N108" s="0" t="n">
        <f aca="false">(J108-K108-M108)*Inputs!$B$10</f>
        <v>0</v>
      </c>
      <c r="O108" s="0" t="n">
        <f aca="false">J108-K108-M108-N108</f>
        <v>0</v>
      </c>
      <c r="P108" s="0" t="n">
        <f aca="false">Inputs!$D$60-(A108-1)</f>
        <v>-54</v>
      </c>
      <c r="Q108" s="0" t="n">
        <f aca="false">IF(P108&lt;=0,0,IF(A108=1,Inputs!$B$60,V107))</f>
        <v>0</v>
      </c>
      <c r="R108" s="0" t="n">
        <f aca="false">Q108*Inputs!$B$9</f>
        <v>0</v>
      </c>
      <c r="S108" s="0" t="n">
        <f aca="false">(Q108-R108)*Inputs!$C$60/12</f>
        <v>0</v>
      </c>
      <c r="T108" s="0" t="n">
        <f aca="false">IF(P108&lt;=0,0,IF(P108=1,Q108-R108,MIN((Q108-R108)*(Inputs!$C$60/12)/(1-(1+Inputs!$C$60/12)^(-P108))-S108,Q108-R108)))</f>
        <v>0</v>
      </c>
      <c r="U108" s="0" t="n">
        <f aca="false">(Q108-R108-T108)*Inputs!$B$10</f>
        <v>0</v>
      </c>
      <c r="V108" s="0" t="n">
        <f aca="false">Q108-R108-T108-U108</f>
        <v>0</v>
      </c>
      <c r="W108" s="0" t="n">
        <f aca="false">Inputs!$D$61-(A108-1)</f>
        <v>-42</v>
      </c>
      <c r="X108" s="0" t="n">
        <f aca="false">IF(W108&lt;=0,0,IF(A108=1,Inputs!$B$61,AC107))</f>
        <v>0</v>
      </c>
      <c r="Y108" s="0" t="n">
        <f aca="false">X108*Inputs!$B$9</f>
        <v>0</v>
      </c>
      <c r="Z108" s="0" t="n">
        <f aca="false">(X108-Y108)*Inputs!$C$61/12</f>
        <v>0</v>
      </c>
      <c r="AA108" s="0" t="n">
        <f aca="false">IF(W108&lt;=0,0,IF(W108=1,X108-Y108,MIN((X108-Y108)*(Inputs!$C$61/12)/(1-(1+Inputs!$C$61/12)^(-W108))-Z108,X108-Y108)))</f>
        <v>0</v>
      </c>
      <c r="AB108" s="0" t="n">
        <f aca="false">(X108-Y108-AA108)*Inputs!$B$10</f>
        <v>0</v>
      </c>
      <c r="AC108" s="0" t="n">
        <f aca="false">X108-Y108-AA108-AB108</f>
        <v>0</v>
      </c>
      <c r="AD108" s="0" t="n">
        <f aca="false">Inputs!$D$62-(A108-1)</f>
        <v>-42</v>
      </c>
      <c r="AE108" s="0" t="n">
        <f aca="false">IF(AD108&lt;=0,0,IF(A108=1,Inputs!$B$62,AJ107))</f>
        <v>0</v>
      </c>
      <c r="AF108" s="0" t="n">
        <f aca="false">AE108*Inputs!$B$9</f>
        <v>0</v>
      </c>
      <c r="AG108" s="0" t="n">
        <f aca="false">(AE108-AF108)*Inputs!$C$62/12</f>
        <v>0</v>
      </c>
      <c r="AH108" s="0" t="n">
        <f aca="false">IF(AD108&lt;=0,0,IF(AD108=1,AE108-AF108,MIN((AE108-AF108)*(Inputs!$C$62/12)/(1-(1+Inputs!$C$62/12)^(-AD108))-AG108,AE108-AF108)))</f>
        <v>0</v>
      </c>
      <c r="AI108" s="0" t="n">
        <f aca="false">(AE108-AF108-AH108)*Inputs!$B$10</f>
        <v>0</v>
      </c>
      <c r="AJ108" s="0" t="n">
        <f aca="false">AE108-AF108-AH108-AI108</f>
        <v>0</v>
      </c>
      <c r="AK108" s="0" t="n">
        <f aca="false">Inputs!$D$63-(A108-1)</f>
        <v>-42</v>
      </c>
      <c r="AL108" s="0" t="n">
        <f aca="false">IF(AK108&lt;=0,0,IF(A108=1,Inputs!$B$63,AQ107))</f>
        <v>0</v>
      </c>
      <c r="AM108" s="0" t="n">
        <f aca="false">AL108*Inputs!$B$9</f>
        <v>0</v>
      </c>
      <c r="AN108" s="0" t="n">
        <f aca="false">(AL108-AM108)*Inputs!$C$63/12</f>
        <v>0</v>
      </c>
      <c r="AO108" s="0" t="n">
        <f aca="false">IF(AK108&lt;=0,0,IF(AK108=1,AL108-AM108,MIN((AL108-AM108)*(Inputs!$C$63/12)/(1-(1+Inputs!$C$63/12)^(-AK108))-AN108,AL108-AM108)))</f>
        <v>0</v>
      </c>
      <c r="AP108" s="0" t="n">
        <f aca="false">(AL108-AM108-AO108)*Inputs!$B$10</f>
        <v>0</v>
      </c>
      <c r="AQ108" s="0" t="n">
        <f aca="false">AL108-AM108-AO108-AP108</f>
        <v>0</v>
      </c>
      <c r="AR108" s="0" t="n">
        <f aca="false">Inputs!$D$64-(A108-1)</f>
        <v>-30</v>
      </c>
      <c r="AS108" s="0" t="n">
        <f aca="false">IF(AR108&lt;=0,0,IF(A108=1,Inputs!$B$64,AX107))</f>
        <v>0</v>
      </c>
      <c r="AT108" s="0" t="n">
        <f aca="false">AS108*Inputs!$B$9</f>
        <v>0</v>
      </c>
      <c r="AU108" s="0" t="n">
        <f aca="false">(AS108-AT108)*Inputs!$C$64/12</f>
        <v>0</v>
      </c>
      <c r="AV108" s="0" t="n">
        <f aca="false">IF(AR108&lt;=0,0,IF(AR108=1,AS108-AT108,MIN((AS108-AT108)*(Inputs!$C$64/12)/(1-(1+Inputs!$C$64/12)^(-AR108))-AU108,AS108-AT108)))</f>
        <v>0</v>
      </c>
      <c r="AW108" s="0" t="n">
        <f aca="false">(AS108-AT108-AV108)*Inputs!$B$10</f>
        <v>0</v>
      </c>
      <c r="AX108" s="0" t="n">
        <f aca="false">AS108-AT108-AV108-AW108</f>
        <v>0</v>
      </c>
      <c r="AY108" s="0" t="n">
        <f aca="false">Inputs!$D$65-(A108-1)</f>
        <v>-30</v>
      </c>
      <c r="AZ108" s="0" t="n">
        <f aca="false">IF(AY108&lt;=0,0,IF(A108=1,Inputs!$B$65,BE107))</f>
        <v>0</v>
      </c>
      <c r="BA108" s="0" t="n">
        <f aca="false">AZ108*Inputs!$B$9</f>
        <v>0</v>
      </c>
      <c r="BB108" s="0" t="n">
        <f aca="false">(AZ108-BA108)*Inputs!$C$65/12</f>
        <v>0</v>
      </c>
      <c r="BC108" s="0" t="n">
        <f aca="false">IF(AY108&lt;=0,0,IF(AY108=1,AZ108-BA108,MIN((AZ108-BA108)*(Inputs!$C$65/12)/(1-(1+Inputs!$C$65/12)^(-AY108))-BB108,AZ108-BA108)))</f>
        <v>0</v>
      </c>
      <c r="BD108" s="0" t="n">
        <f aca="false">(AZ108-BA108-BC108)*Inputs!$B$10</f>
        <v>0</v>
      </c>
      <c r="BE108" s="0" t="n">
        <f aca="false">AZ108-BA108-BC108-BD108</f>
        <v>0</v>
      </c>
      <c r="BF108" s="0" t="n">
        <f aca="false">Inputs!$D$66-(A108-1)</f>
        <v>-18</v>
      </c>
      <c r="BG108" s="0" t="n">
        <f aca="false">IF(BF108&lt;=0,0,IF(A108=1,Inputs!$B$66,BL107))</f>
        <v>0</v>
      </c>
      <c r="BH108" s="0" t="n">
        <f aca="false">BG108*Inputs!$B$9</f>
        <v>0</v>
      </c>
      <c r="BI108" s="0" t="n">
        <f aca="false">(BG108-BH108)*Inputs!$C$66/12</f>
        <v>0</v>
      </c>
      <c r="BJ108" s="0" t="n">
        <f aca="false">IF(BF108&lt;=0,0,IF(BF108=1,BG108-BH108,MIN((BG108-BH108)*(Inputs!$C$66/12)/(1-(1+Inputs!$C$66/12)^(-BF108))-BI108,BG108-BH108)))</f>
        <v>0</v>
      </c>
      <c r="BK108" s="0" t="n">
        <f aca="false">(BG108-BH108-BJ108)*Inputs!$B$10</f>
        <v>0</v>
      </c>
      <c r="BL108" s="0" t="n">
        <f aca="false">BG108-BH108-BJ108-BK108</f>
        <v>0</v>
      </c>
      <c r="BM108" s="0" t="n">
        <f aca="false">Inputs!$D$67-(A108-1)</f>
        <v>-18</v>
      </c>
      <c r="BN108" s="0" t="n">
        <f aca="false">IF(BM108&lt;=0,0,IF(A108=1,Inputs!$B$67,BS107))</f>
        <v>0</v>
      </c>
      <c r="BO108" s="0" t="n">
        <f aca="false">BN108*Inputs!$B$9</f>
        <v>0</v>
      </c>
      <c r="BP108" s="0" t="n">
        <f aca="false">(BN108-BO108)*Inputs!$C$67/12</f>
        <v>0</v>
      </c>
      <c r="BQ108" s="0" t="n">
        <f aca="false">IF(BM108&lt;=0,0,IF(BM108=1,BN108-BO108,MIN((BN108-BO108)*(Inputs!$C$67/12)/(1-(1+Inputs!$C$67/12)^(-BM108))-BP108,BN108-BO108)))</f>
        <v>0</v>
      </c>
      <c r="BR108" s="0" t="n">
        <f aca="false">(BN108-BO108-BQ108)*Inputs!$B$10</f>
        <v>0</v>
      </c>
      <c r="BS108" s="0" t="n">
        <f aca="false">BN108-BO108-BQ108-BR108</f>
        <v>0</v>
      </c>
      <c r="BT108" s="0" t="n">
        <f aca="false">C108+J108+Q108+X108+AE108+AL108+AS108+AZ108+BG108+BN108</f>
        <v>0</v>
      </c>
      <c r="BU108" s="0" t="n">
        <f aca="false">D108+K108+R108+Y108+AF108+AM108+AT108+BA108+BH108+BO108</f>
        <v>0</v>
      </c>
      <c r="BV108" s="0" t="n">
        <f aca="false">E108+L108+S108+Z108+AG108+AN108+AU108+BB108+BI108+BP108</f>
        <v>0</v>
      </c>
      <c r="BW108" s="0" t="n">
        <f aca="false">F108+M108+T108+AA108+AH108+AO108+AV108+BC108+BJ108+BQ108</f>
        <v>0</v>
      </c>
      <c r="BX108" s="0" t="n">
        <f aca="false">G108+N108+U108+AB108+AI108+AP108+AW108+BD108+BK108+BR108</f>
        <v>0</v>
      </c>
      <c r="BY108" s="0" t="n">
        <f aca="false">H108+O108+V108+AC108+AJ108+AQ108+AX108+BE108+BL108+BS108</f>
        <v>0</v>
      </c>
      <c r="BZ108" s="0" t="n">
        <f aca="false">IF(A108&gt;Inputs!$B$7,(1-Inputs!$B$6)*INDEX($BU$6:$BU$125,A108-Inputs!$B$7),0)</f>
        <v>0</v>
      </c>
      <c r="CA108" s="0" t="n">
        <f aca="false">CA107+(1-Inputs!$B$6)*BU108-BZ108</f>
        <v>-1.06979314296041E-010</v>
      </c>
      <c r="CB108" s="0" t="n">
        <f aca="false">BY108+CA108</f>
        <v>-1.06979314296041E-010</v>
      </c>
      <c r="CC108" s="0" t="n">
        <f aca="false">BV108+BW108+BX108+BZ108</f>
        <v>0</v>
      </c>
      <c r="CD108" s="0" t="n">
        <f aca="false">CD107+BU108-BZ108</f>
        <v>10913893.1228094</v>
      </c>
    </row>
    <row r="109" customFormat="false" ht="15" hidden="false" customHeight="false" outlineLevel="0" collapsed="false">
      <c r="A109" s="0" t="n">
        <f aca="false">ROW()-5</f>
        <v>104</v>
      </c>
      <c r="B109" s="0" t="n">
        <f aca="false">Inputs!$D$58-(A109-1)</f>
        <v>-67</v>
      </c>
      <c r="C109" s="0" t="n">
        <f aca="false">IF(B109&lt;=0,0,IF(A109=1,Inputs!$B$58,H108))</f>
        <v>0</v>
      </c>
      <c r="D109" s="0" t="n">
        <f aca="false">C109*Inputs!$B$9</f>
        <v>0</v>
      </c>
      <c r="E109" s="0" t="n">
        <f aca="false">(C109-D109)*Inputs!$C$58/12</f>
        <v>0</v>
      </c>
      <c r="F109" s="0" t="n">
        <f aca="false">IF(B109&lt;=0,0,IF(B109=1,C109-D109,MIN((C109-D109)*(Inputs!$C$58/12)/(1-(1+Inputs!$C$58/12)^(-B109))-E109,C109-D109)))</f>
        <v>0</v>
      </c>
      <c r="G109" s="0" t="n">
        <f aca="false">(C109-D109-F109)*Inputs!$B$10</f>
        <v>0</v>
      </c>
      <c r="H109" s="0" t="n">
        <f aca="false">C109-D109-F109-G109</f>
        <v>0</v>
      </c>
      <c r="I109" s="0" t="n">
        <f aca="false">Inputs!$D$59-(A109-1)</f>
        <v>-55</v>
      </c>
      <c r="J109" s="0" t="n">
        <f aca="false">IF(I109&lt;=0,0,IF(A109=1,Inputs!$B$59,O108))</f>
        <v>0</v>
      </c>
      <c r="K109" s="0" t="n">
        <f aca="false">J109*Inputs!$B$9</f>
        <v>0</v>
      </c>
      <c r="L109" s="0" t="n">
        <f aca="false">(J109-K109)*Inputs!$C$59/12</f>
        <v>0</v>
      </c>
      <c r="M109" s="0" t="n">
        <f aca="false">IF(I109&lt;=0,0,IF(I109=1,J109-K109,MIN((J109-K109)*(Inputs!$C$59/12)/(1-(1+Inputs!$C$59/12)^(-I109))-L109,J109-K109)))</f>
        <v>0</v>
      </c>
      <c r="N109" s="0" t="n">
        <f aca="false">(J109-K109-M109)*Inputs!$B$10</f>
        <v>0</v>
      </c>
      <c r="O109" s="0" t="n">
        <f aca="false">J109-K109-M109-N109</f>
        <v>0</v>
      </c>
      <c r="P109" s="0" t="n">
        <f aca="false">Inputs!$D$60-(A109-1)</f>
        <v>-55</v>
      </c>
      <c r="Q109" s="0" t="n">
        <f aca="false">IF(P109&lt;=0,0,IF(A109=1,Inputs!$B$60,V108))</f>
        <v>0</v>
      </c>
      <c r="R109" s="0" t="n">
        <f aca="false">Q109*Inputs!$B$9</f>
        <v>0</v>
      </c>
      <c r="S109" s="0" t="n">
        <f aca="false">(Q109-R109)*Inputs!$C$60/12</f>
        <v>0</v>
      </c>
      <c r="T109" s="0" t="n">
        <f aca="false">IF(P109&lt;=0,0,IF(P109=1,Q109-R109,MIN((Q109-R109)*(Inputs!$C$60/12)/(1-(1+Inputs!$C$60/12)^(-P109))-S109,Q109-R109)))</f>
        <v>0</v>
      </c>
      <c r="U109" s="0" t="n">
        <f aca="false">(Q109-R109-T109)*Inputs!$B$10</f>
        <v>0</v>
      </c>
      <c r="V109" s="0" t="n">
        <f aca="false">Q109-R109-T109-U109</f>
        <v>0</v>
      </c>
      <c r="W109" s="0" t="n">
        <f aca="false">Inputs!$D$61-(A109-1)</f>
        <v>-43</v>
      </c>
      <c r="X109" s="0" t="n">
        <f aca="false">IF(W109&lt;=0,0,IF(A109=1,Inputs!$B$61,AC108))</f>
        <v>0</v>
      </c>
      <c r="Y109" s="0" t="n">
        <f aca="false">X109*Inputs!$B$9</f>
        <v>0</v>
      </c>
      <c r="Z109" s="0" t="n">
        <f aca="false">(X109-Y109)*Inputs!$C$61/12</f>
        <v>0</v>
      </c>
      <c r="AA109" s="0" t="n">
        <f aca="false">IF(W109&lt;=0,0,IF(W109=1,X109-Y109,MIN((X109-Y109)*(Inputs!$C$61/12)/(1-(1+Inputs!$C$61/12)^(-W109))-Z109,X109-Y109)))</f>
        <v>0</v>
      </c>
      <c r="AB109" s="0" t="n">
        <f aca="false">(X109-Y109-AA109)*Inputs!$B$10</f>
        <v>0</v>
      </c>
      <c r="AC109" s="0" t="n">
        <f aca="false">X109-Y109-AA109-AB109</f>
        <v>0</v>
      </c>
      <c r="AD109" s="0" t="n">
        <f aca="false">Inputs!$D$62-(A109-1)</f>
        <v>-43</v>
      </c>
      <c r="AE109" s="0" t="n">
        <f aca="false">IF(AD109&lt;=0,0,IF(A109=1,Inputs!$B$62,AJ108))</f>
        <v>0</v>
      </c>
      <c r="AF109" s="0" t="n">
        <f aca="false">AE109*Inputs!$B$9</f>
        <v>0</v>
      </c>
      <c r="AG109" s="0" t="n">
        <f aca="false">(AE109-AF109)*Inputs!$C$62/12</f>
        <v>0</v>
      </c>
      <c r="AH109" s="0" t="n">
        <f aca="false">IF(AD109&lt;=0,0,IF(AD109=1,AE109-AF109,MIN((AE109-AF109)*(Inputs!$C$62/12)/(1-(1+Inputs!$C$62/12)^(-AD109))-AG109,AE109-AF109)))</f>
        <v>0</v>
      </c>
      <c r="AI109" s="0" t="n">
        <f aca="false">(AE109-AF109-AH109)*Inputs!$B$10</f>
        <v>0</v>
      </c>
      <c r="AJ109" s="0" t="n">
        <f aca="false">AE109-AF109-AH109-AI109</f>
        <v>0</v>
      </c>
      <c r="AK109" s="0" t="n">
        <f aca="false">Inputs!$D$63-(A109-1)</f>
        <v>-43</v>
      </c>
      <c r="AL109" s="0" t="n">
        <f aca="false">IF(AK109&lt;=0,0,IF(A109=1,Inputs!$B$63,AQ108))</f>
        <v>0</v>
      </c>
      <c r="AM109" s="0" t="n">
        <f aca="false">AL109*Inputs!$B$9</f>
        <v>0</v>
      </c>
      <c r="AN109" s="0" t="n">
        <f aca="false">(AL109-AM109)*Inputs!$C$63/12</f>
        <v>0</v>
      </c>
      <c r="AO109" s="0" t="n">
        <f aca="false">IF(AK109&lt;=0,0,IF(AK109=1,AL109-AM109,MIN((AL109-AM109)*(Inputs!$C$63/12)/(1-(1+Inputs!$C$63/12)^(-AK109))-AN109,AL109-AM109)))</f>
        <v>0</v>
      </c>
      <c r="AP109" s="0" t="n">
        <f aca="false">(AL109-AM109-AO109)*Inputs!$B$10</f>
        <v>0</v>
      </c>
      <c r="AQ109" s="0" t="n">
        <f aca="false">AL109-AM109-AO109-AP109</f>
        <v>0</v>
      </c>
      <c r="AR109" s="0" t="n">
        <f aca="false">Inputs!$D$64-(A109-1)</f>
        <v>-31</v>
      </c>
      <c r="AS109" s="0" t="n">
        <f aca="false">IF(AR109&lt;=0,0,IF(A109=1,Inputs!$B$64,AX108))</f>
        <v>0</v>
      </c>
      <c r="AT109" s="0" t="n">
        <f aca="false">AS109*Inputs!$B$9</f>
        <v>0</v>
      </c>
      <c r="AU109" s="0" t="n">
        <f aca="false">(AS109-AT109)*Inputs!$C$64/12</f>
        <v>0</v>
      </c>
      <c r="AV109" s="0" t="n">
        <f aca="false">IF(AR109&lt;=0,0,IF(AR109=1,AS109-AT109,MIN((AS109-AT109)*(Inputs!$C$64/12)/(1-(1+Inputs!$C$64/12)^(-AR109))-AU109,AS109-AT109)))</f>
        <v>0</v>
      </c>
      <c r="AW109" s="0" t="n">
        <f aca="false">(AS109-AT109-AV109)*Inputs!$B$10</f>
        <v>0</v>
      </c>
      <c r="AX109" s="0" t="n">
        <f aca="false">AS109-AT109-AV109-AW109</f>
        <v>0</v>
      </c>
      <c r="AY109" s="0" t="n">
        <f aca="false">Inputs!$D$65-(A109-1)</f>
        <v>-31</v>
      </c>
      <c r="AZ109" s="0" t="n">
        <f aca="false">IF(AY109&lt;=0,0,IF(A109=1,Inputs!$B$65,BE108))</f>
        <v>0</v>
      </c>
      <c r="BA109" s="0" t="n">
        <f aca="false">AZ109*Inputs!$B$9</f>
        <v>0</v>
      </c>
      <c r="BB109" s="0" t="n">
        <f aca="false">(AZ109-BA109)*Inputs!$C$65/12</f>
        <v>0</v>
      </c>
      <c r="BC109" s="0" t="n">
        <f aca="false">IF(AY109&lt;=0,0,IF(AY109=1,AZ109-BA109,MIN((AZ109-BA109)*(Inputs!$C$65/12)/(1-(1+Inputs!$C$65/12)^(-AY109))-BB109,AZ109-BA109)))</f>
        <v>0</v>
      </c>
      <c r="BD109" s="0" t="n">
        <f aca="false">(AZ109-BA109-BC109)*Inputs!$B$10</f>
        <v>0</v>
      </c>
      <c r="BE109" s="0" t="n">
        <f aca="false">AZ109-BA109-BC109-BD109</f>
        <v>0</v>
      </c>
      <c r="BF109" s="0" t="n">
        <f aca="false">Inputs!$D$66-(A109-1)</f>
        <v>-19</v>
      </c>
      <c r="BG109" s="0" t="n">
        <f aca="false">IF(BF109&lt;=0,0,IF(A109=1,Inputs!$B$66,BL108))</f>
        <v>0</v>
      </c>
      <c r="BH109" s="0" t="n">
        <f aca="false">BG109*Inputs!$B$9</f>
        <v>0</v>
      </c>
      <c r="BI109" s="0" t="n">
        <f aca="false">(BG109-BH109)*Inputs!$C$66/12</f>
        <v>0</v>
      </c>
      <c r="BJ109" s="0" t="n">
        <f aca="false">IF(BF109&lt;=0,0,IF(BF109=1,BG109-BH109,MIN((BG109-BH109)*(Inputs!$C$66/12)/(1-(1+Inputs!$C$66/12)^(-BF109))-BI109,BG109-BH109)))</f>
        <v>0</v>
      </c>
      <c r="BK109" s="0" t="n">
        <f aca="false">(BG109-BH109-BJ109)*Inputs!$B$10</f>
        <v>0</v>
      </c>
      <c r="BL109" s="0" t="n">
        <f aca="false">BG109-BH109-BJ109-BK109</f>
        <v>0</v>
      </c>
      <c r="BM109" s="0" t="n">
        <f aca="false">Inputs!$D$67-(A109-1)</f>
        <v>-19</v>
      </c>
      <c r="BN109" s="0" t="n">
        <f aca="false">IF(BM109&lt;=0,0,IF(A109=1,Inputs!$B$67,BS108))</f>
        <v>0</v>
      </c>
      <c r="BO109" s="0" t="n">
        <f aca="false">BN109*Inputs!$B$9</f>
        <v>0</v>
      </c>
      <c r="BP109" s="0" t="n">
        <f aca="false">(BN109-BO109)*Inputs!$C$67/12</f>
        <v>0</v>
      </c>
      <c r="BQ109" s="0" t="n">
        <f aca="false">IF(BM109&lt;=0,0,IF(BM109=1,BN109-BO109,MIN((BN109-BO109)*(Inputs!$C$67/12)/(1-(1+Inputs!$C$67/12)^(-BM109))-BP109,BN109-BO109)))</f>
        <v>0</v>
      </c>
      <c r="BR109" s="0" t="n">
        <f aca="false">(BN109-BO109-BQ109)*Inputs!$B$10</f>
        <v>0</v>
      </c>
      <c r="BS109" s="0" t="n">
        <f aca="false">BN109-BO109-BQ109-BR109</f>
        <v>0</v>
      </c>
      <c r="BT109" s="0" t="n">
        <f aca="false">C109+J109+Q109+X109+AE109+AL109+AS109+AZ109+BG109+BN109</f>
        <v>0</v>
      </c>
      <c r="BU109" s="0" t="n">
        <f aca="false">D109+K109+R109+Y109+AF109+AM109+AT109+BA109+BH109+BO109</f>
        <v>0</v>
      </c>
      <c r="BV109" s="0" t="n">
        <f aca="false">E109+L109+S109+Z109+AG109+AN109+AU109+BB109+BI109+BP109</f>
        <v>0</v>
      </c>
      <c r="BW109" s="0" t="n">
        <f aca="false">F109+M109+T109+AA109+AH109+AO109+AV109+BC109+BJ109+BQ109</f>
        <v>0</v>
      </c>
      <c r="BX109" s="0" t="n">
        <f aca="false">G109+N109+U109+AB109+AI109+AP109+AW109+BD109+BK109+BR109</f>
        <v>0</v>
      </c>
      <c r="BY109" s="0" t="n">
        <f aca="false">H109+O109+V109+AC109+AJ109+AQ109+AX109+BE109+BL109+BS109</f>
        <v>0</v>
      </c>
      <c r="BZ109" s="0" t="n">
        <f aca="false">IF(A109&gt;Inputs!$B$7,(1-Inputs!$B$6)*INDEX($BU$6:$BU$125,A109-Inputs!$B$7),0)</f>
        <v>0</v>
      </c>
      <c r="CA109" s="0" t="n">
        <f aca="false">CA108+(1-Inputs!$B$6)*BU109-BZ109</f>
        <v>-1.06979314296041E-010</v>
      </c>
      <c r="CB109" s="0" t="n">
        <f aca="false">BY109+CA109</f>
        <v>-1.06979314296041E-010</v>
      </c>
      <c r="CC109" s="0" t="n">
        <f aca="false">BV109+BW109+BX109+BZ109</f>
        <v>0</v>
      </c>
      <c r="CD109" s="0" t="n">
        <f aca="false">CD108+BU109-BZ109</f>
        <v>10913893.1228094</v>
      </c>
    </row>
    <row r="110" customFormat="false" ht="15" hidden="false" customHeight="false" outlineLevel="0" collapsed="false">
      <c r="A110" s="0" t="n">
        <f aca="false">ROW()-5</f>
        <v>105</v>
      </c>
      <c r="B110" s="0" t="n">
        <f aca="false">Inputs!$D$58-(A110-1)</f>
        <v>-68</v>
      </c>
      <c r="C110" s="0" t="n">
        <f aca="false">IF(B110&lt;=0,0,IF(A110=1,Inputs!$B$58,H109))</f>
        <v>0</v>
      </c>
      <c r="D110" s="0" t="n">
        <f aca="false">C110*Inputs!$B$9</f>
        <v>0</v>
      </c>
      <c r="E110" s="0" t="n">
        <f aca="false">(C110-D110)*Inputs!$C$58/12</f>
        <v>0</v>
      </c>
      <c r="F110" s="0" t="n">
        <f aca="false">IF(B110&lt;=0,0,IF(B110=1,C110-D110,MIN((C110-D110)*(Inputs!$C$58/12)/(1-(1+Inputs!$C$58/12)^(-B110))-E110,C110-D110)))</f>
        <v>0</v>
      </c>
      <c r="G110" s="0" t="n">
        <f aca="false">(C110-D110-F110)*Inputs!$B$10</f>
        <v>0</v>
      </c>
      <c r="H110" s="0" t="n">
        <f aca="false">C110-D110-F110-G110</f>
        <v>0</v>
      </c>
      <c r="I110" s="0" t="n">
        <f aca="false">Inputs!$D$59-(A110-1)</f>
        <v>-56</v>
      </c>
      <c r="J110" s="0" t="n">
        <f aca="false">IF(I110&lt;=0,0,IF(A110=1,Inputs!$B$59,O109))</f>
        <v>0</v>
      </c>
      <c r="K110" s="0" t="n">
        <f aca="false">J110*Inputs!$B$9</f>
        <v>0</v>
      </c>
      <c r="L110" s="0" t="n">
        <f aca="false">(J110-K110)*Inputs!$C$59/12</f>
        <v>0</v>
      </c>
      <c r="M110" s="0" t="n">
        <f aca="false">IF(I110&lt;=0,0,IF(I110=1,J110-K110,MIN((J110-K110)*(Inputs!$C$59/12)/(1-(1+Inputs!$C$59/12)^(-I110))-L110,J110-K110)))</f>
        <v>0</v>
      </c>
      <c r="N110" s="0" t="n">
        <f aca="false">(J110-K110-M110)*Inputs!$B$10</f>
        <v>0</v>
      </c>
      <c r="O110" s="0" t="n">
        <f aca="false">J110-K110-M110-N110</f>
        <v>0</v>
      </c>
      <c r="P110" s="0" t="n">
        <f aca="false">Inputs!$D$60-(A110-1)</f>
        <v>-56</v>
      </c>
      <c r="Q110" s="0" t="n">
        <f aca="false">IF(P110&lt;=0,0,IF(A110=1,Inputs!$B$60,V109))</f>
        <v>0</v>
      </c>
      <c r="R110" s="0" t="n">
        <f aca="false">Q110*Inputs!$B$9</f>
        <v>0</v>
      </c>
      <c r="S110" s="0" t="n">
        <f aca="false">(Q110-R110)*Inputs!$C$60/12</f>
        <v>0</v>
      </c>
      <c r="T110" s="0" t="n">
        <f aca="false">IF(P110&lt;=0,0,IF(P110=1,Q110-R110,MIN((Q110-R110)*(Inputs!$C$60/12)/(1-(1+Inputs!$C$60/12)^(-P110))-S110,Q110-R110)))</f>
        <v>0</v>
      </c>
      <c r="U110" s="0" t="n">
        <f aca="false">(Q110-R110-T110)*Inputs!$B$10</f>
        <v>0</v>
      </c>
      <c r="V110" s="0" t="n">
        <f aca="false">Q110-R110-T110-U110</f>
        <v>0</v>
      </c>
      <c r="W110" s="0" t="n">
        <f aca="false">Inputs!$D$61-(A110-1)</f>
        <v>-44</v>
      </c>
      <c r="X110" s="0" t="n">
        <f aca="false">IF(W110&lt;=0,0,IF(A110=1,Inputs!$B$61,AC109))</f>
        <v>0</v>
      </c>
      <c r="Y110" s="0" t="n">
        <f aca="false">X110*Inputs!$B$9</f>
        <v>0</v>
      </c>
      <c r="Z110" s="0" t="n">
        <f aca="false">(X110-Y110)*Inputs!$C$61/12</f>
        <v>0</v>
      </c>
      <c r="AA110" s="0" t="n">
        <f aca="false">IF(W110&lt;=0,0,IF(W110=1,X110-Y110,MIN((X110-Y110)*(Inputs!$C$61/12)/(1-(1+Inputs!$C$61/12)^(-W110))-Z110,X110-Y110)))</f>
        <v>0</v>
      </c>
      <c r="AB110" s="0" t="n">
        <f aca="false">(X110-Y110-AA110)*Inputs!$B$10</f>
        <v>0</v>
      </c>
      <c r="AC110" s="0" t="n">
        <f aca="false">X110-Y110-AA110-AB110</f>
        <v>0</v>
      </c>
      <c r="AD110" s="0" t="n">
        <f aca="false">Inputs!$D$62-(A110-1)</f>
        <v>-44</v>
      </c>
      <c r="AE110" s="0" t="n">
        <f aca="false">IF(AD110&lt;=0,0,IF(A110=1,Inputs!$B$62,AJ109))</f>
        <v>0</v>
      </c>
      <c r="AF110" s="0" t="n">
        <f aca="false">AE110*Inputs!$B$9</f>
        <v>0</v>
      </c>
      <c r="AG110" s="0" t="n">
        <f aca="false">(AE110-AF110)*Inputs!$C$62/12</f>
        <v>0</v>
      </c>
      <c r="AH110" s="0" t="n">
        <f aca="false">IF(AD110&lt;=0,0,IF(AD110=1,AE110-AF110,MIN((AE110-AF110)*(Inputs!$C$62/12)/(1-(1+Inputs!$C$62/12)^(-AD110))-AG110,AE110-AF110)))</f>
        <v>0</v>
      </c>
      <c r="AI110" s="0" t="n">
        <f aca="false">(AE110-AF110-AH110)*Inputs!$B$10</f>
        <v>0</v>
      </c>
      <c r="AJ110" s="0" t="n">
        <f aca="false">AE110-AF110-AH110-AI110</f>
        <v>0</v>
      </c>
      <c r="AK110" s="0" t="n">
        <f aca="false">Inputs!$D$63-(A110-1)</f>
        <v>-44</v>
      </c>
      <c r="AL110" s="0" t="n">
        <f aca="false">IF(AK110&lt;=0,0,IF(A110=1,Inputs!$B$63,AQ109))</f>
        <v>0</v>
      </c>
      <c r="AM110" s="0" t="n">
        <f aca="false">AL110*Inputs!$B$9</f>
        <v>0</v>
      </c>
      <c r="AN110" s="0" t="n">
        <f aca="false">(AL110-AM110)*Inputs!$C$63/12</f>
        <v>0</v>
      </c>
      <c r="AO110" s="0" t="n">
        <f aca="false">IF(AK110&lt;=0,0,IF(AK110=1,AL110-AM110,MIN((AL110-AM110)*(Inputs!$C$63/12)/(1-(1+Inputs!$C$63/12)^(-AK110))-AN110,AL110-AM110)))</f>
        <v>0</v>
      </c>
      <c r="AP110" s="0" t="n">
        <f aca="false">(AL110-AM110-AO110)*Inputs!$B$10</f>
        <v>0</v>
      </c>
      <c r="AQ110" s="0" t="n">
        <f aca="false">AL110-AM110-AO110-AP110</f>
        <v>0</v>
      </c>
      <c r="AR110" s="0" t="n">
        <f aca="false">Inputs!$D$64-(A110-1)</f>
        <v>-32</v>
      </c>
      <c r="AS110" s="0" t="n">
        <f aca="false">IF(AR110&lt;=0,0,IF(A110=1,Inputs!$B$64,AX109))</f>
        <v>0</v>
      </c>
      <c r="AT110" s="0" t="n">
        <f aca="false">AS110*Inputs!$B$9</f>
        <v>0</v>
      </c>
      <c r="AU110" s="0" t="n">
        <f aca="false">(AS110-AT110)*Inputs!$C$64/12</f>
        <v>0</v>
      </c>
      <c r="AV110" s="0" t="n">
        <f aca="false">IF(AR110&lt;=0,0,IF(AR110=1,AS110-AT110,MIN((AS110-AT110)*(Inputs!$C$64/12)/(1-(1+Inputs!$C$64/12)^(-AR110))-AU110,AS110-AT110)))</f>
        <v>0</v>
      </c>
      <c r="AW110" s="0" t="n">
        <f aca="false">(AS110-AT110-AV110)*Inputs!$B$10</f>
        <v>0</v>
      </c>
      <c r="AX110" s="0" t="n">
        <f aca="false">AS110-AT110-AV110-AW110</f>
        <v>0</v>
      </c>
      <c r="AY110" s="0" t="n">
        <f aca="false">Inputs!$D$65-(A110-1)</f>
        <v>-32</v>
      </c>
      <c r="AZ110" s="0" t="n">
        <f aca="false">IF(AY110&lt;=0,0,IF(A110=1,Inputs!$B$65,BE109))</f>
        <v>0</v>
      </c>
      <c r="BA110" s="0" t="n">
        <f aca="false">AZ110*Inputs!$B$9</f>
        <v>0</v>
      </c>
      <c r="BB110" s="0" t="n">
        <f aca="false">(AZ110-BA110)*Inputs!$C$65/12</f>
        <v>0</v>
      </c>
      <c r="BC110" s="0" t="n">
        <f aca="false">IF(AY110&lt;=0,0,IF(AY110=1,AZ110-BA110,MIN((AZ110-BA110)*(Inputs!$C$65/12)/(1-(1+Inputs!$C$65/12)^(-AY110))-BB110,AZ110-BA110)))</f>
        <v>0</v>
      </c>
      <c r="BD110" s="0" t="n">
        <f aca="false">(AZ110-BA110-BC110)*Inputs!$B$10</f>
        <v>0</v>
      </c>
      <c r="BE110" s="0" t="n">
        <f aca="false">AZ110-BA110-BC110-BD110</f>
        <v>0</v>
      </c>
      <c r="BF110" s="0" t="n">
        <f aca="false">Inputs!$D$66-(A110-1)</f>
        <v>-20</v>
      </c>
      <c r="BG110" s="0" t="n">
        <f aca="false">IF(BF110&lt;=0,0,IF(A110=1,Inputs!$B$66,BL109))</f>
        <v>0</v>
      </c>
      <c r="BH110" s="0" t="n">
        <f aca="false">BG110*Inputs!$B$9</f>
        <v>0</v>
      </c>
      <c r="BI110" s="0" t="n">
        <f aca="false">(BG110-BH110)*Inputs!$C$66/12</f>
        <v>0</v>
      </c>
      <c r="BJ110" s="0" t="n">
        <f aca="false">IF(BF110&lt;=0,0,IF(BF110=1,BG110-BH110,MIN((BG110-BH110)*(Inputs!$C$66/12)/(1-(1+Inputs!$C$66/12)^(-BF110))-BI110,BG110-BH110)))</f>
        <v>0</v>
      </c>
      <c r="BK110" s="0" t="n">
        <f aca="false">(BG110-BH110-BJ110)*Inputs!$B$10</f>
        <v>0</v>
      </c>
      <c r="BL110" s="0" t="n">
        <f aca="false">BG110-BH110-BJ110-BK110</f>
        <v>0</v>
      </c>
      <c r="BM110" s="0" t="n">
        <f aca="false">Inputs!$D$67-(A110-1)</f>
        <v>-20</v>
      </c>
      <c r="BN110" s="0" t="n">
        <f aca="false">IF(BM110&lt;=0,0,IF(A110=1,Inputs!$B$67,BS109))</f>
        <v>0</v>
      </c>
      <c r="BO110" s="0" t="n">
        <f aca="false">BN110*Inputs!$B$9</f>
        <v>0</v>
      </c>
      <c r="BP110" s="0" t="n">
        <f aca="false">(BN110-BO110)*Inputs!$C$67/12</f>
        <v>0</v>
      </c>
      <c r="BQ110" s="0" t="n">
        <f aca="false">IF(BM110&lt;=0,0,IF(BM110=1,BN110-BO110,MIN((BN110-BO110)*(Inputs!$C$67/12)/(1-(1+Inputs!$C$67/12)^(-BM110))-BP110,BN110-BO110)))</f>
        <v>0</v>
      </c>
      <c r="BR110" s="0" t="n">
        <f aca="false">(BN110-BO110-BQ110)*Inputs!$B$10</f>
        <v>0</v>
      </c>
      <c r="BS110" s="0" t="n">
        <f aca="false">BN110-BO110-BQ110-BR110</f>
        <v>0</v>
      </c>
      <c r="BT110" s="0" t="n">
        <f aca="false">C110+J110+Q110+X110+AE110+AL110+AS110+AZ110+BG110+BN110</f>
        <v>0</v>
      </c>
      <c r="BU110" s="0" t="n">
        <f aca="false">D110+K110+R110+Y110+AF110+AM110+AT110+BA110+BH110+BO110</f>
        <v>0</v>
      </c>
      <c r="BV110" s="0" t="n">
        <f aca="false">E110+L110+S110+Z110+AG110+AN110+AU110+BB110+BI110+BP110</f>
        <v>0</v>
      </c>
      <c r="BW110" s="0" t="n">
        <f aca="false">F110+M110+T110+AA110+AH110+AO110+AV110+BC110+BJ110+BQ110</f>
        <v>0</v>
      </c>
      <c r="BX110" s="0" t="n">
        <f aca="false">G110+N110+U110+AB110+AI110+AP110+AW110+BD110+BK110+BR110</f>
        <v>0</v>
      </c>
      <c r="BY110" s="0" t="n">
        <f aca="false">H110+O110+V110+AC110+AJ110+AQ110+AX110+BE110+BL110+BS110</f>
        <v>0</v>
      </c>
      <c r="BZ110" s="0" t="n">
        <f aca="false">IF(A110&gt;Inputs!$B$7,(1-Inputs!$B$6)*INDEX($BU$6:$BU$125,A110-Inputs!$B$7),0)</f>
        <v>0</v>
      </c>
      <c r="CA110" s="0" t="n">
        <f aca="false">CA109+(1-Inputs!$B$6)*BU110-BZ110</f>
        <v>-1.06979314296041E-010</v>
      </c>
      <c r="CB110" s="0" t="n">
        <f aca="false">BY110+CA110</f>
        <v>-1.06979314296041E-010</v>
      </c>
      <c r="CC110" s="0" t="n">
        <f aca="false">BV110+BW110+BX110+BZ110</f>
        <v>0</v>
      </c>
      <c r="CD110" s="0" t="n">
        <f aca="false">CD109+BU110-BZ110</f>
        <v>10913893.1228094</v>
      </c>
    </row>
    <row r="111" customFormat="false" ht="15" hidden="false" customHeight="false" outlineLevel="0" collapsed="false">
      <c r="A111" s="0" t="n">
        <f aca="false">ROW()-5</f>
        <v>106</v>
      </c>
      <c r="B111" s="0" t="n">
        <f aca="false">Inputs!$D$58-(A111-1)</f>
        <v>-69</v>
      </c>
      <c r="C111" s="0" t="n">
        <f aca="false">IF(B111&lt;=0,0,IF(A111=1,Inputs!$B$58,H110))</f>
        <v>0</v>
      </c>
      <c r="D111" s="0" t="n">
        <f aca="false">C111*Inputs!$B$9</f>
        <v>0</v>
      </c>
      <c r="E111" s="0" t="n">
        <f aca="false">(C111-D111)*Inputs!$C$58/12</f>
        <v>0</v>
      </c>
      <c r="F111" s="0" t="n">
        <f aca="false">IF(B111&lt;=0,0,IF(B111=1,C111-D111,MIN((C111-D111)*(Inputs!$C$58/12)/(1-(1+Inputs!$C$58/12)^(-B111))-E111,C111-D111)))</f>
        <v>0</v>
      </c>
      <c r="G111" s="0" t="n">
        <f aca="false">(C111-D111-F111)*Inputs!$B$10</f>
        <v>0</v>
      </c>
      <c r="H111" s="0" t="n">
        <f aca="false">C111-D111-F111-G111</f>
        <v>0</v>
      </c>
      <c r="I111" s="0" t="n">
        <f aca="false">Inputs!$D$59-(A111-1)</f>
        <v>-57</v>
      </c>
      <c r="J111" s="0" t="n">
        <f aca="false">IF(I111&lt;=0,0,IF(A111=1,Inputs!$B$59,O110))</f>
        <v>0</v>
      </c>
      <c r="K111" s="0" t="n">
        <f aca="false">J111*Inputs!$B$9</f>
        <v>0</v>
      </c>
      <c r="L111" s="0" t="n">
        <f aca="false">(J111-K111)*Inputs!$C$59/12</f>
        <v>0</v>
      </c>
      <c r="M111" s="0" t="n">
        <f aca="false">IF(I111&lt;=0,0,IF(I111=1,J111-K111,MIN((J111-K111)*(Inputs!$C$59/12)/(1-(1+Inputs!$C$59/12)^(-I111))-L111,J111-K111)))</f>
        <v>0</v>
      </c>
      <c r="N111" s="0" t="n">
        <f aca="false">(J111-K111-M111)*Inputs!$B$10</f>
        <v>0</v>
      </c>
      <c r="O111" s="0" t="n">
        <f aca="false">J111-K111-M111-N111</f>
        <v>0</v>
      </c>
      <c r="P111" s="0" t="n">
        <f aca="false">Inputs!$D$60-(A111-1)</f>
        <v>-57</v>
      </c>
      <c r="Q111" s="0" t="n">
        <f aca="false">IF(P111&lt;=0,0,IF(A111=1,Inputs!$B$60,V110))</f>
        <v>0</v>
      </c>
      <c r="R111" s="0" t="n">
        <f aca="false">Q111*Inputs!$B$9</f>
        <v>0</v>
      </c>
      <c r="S111" s="0" t="n">
        <f aca="false">(Q111-R111)*Inputs!$C$60/12</f>
        <v>0</v>
      </c>
      <c r="T111" s="0" t="n">
        <f aca="false">IF(P111&lt;=0,0,IF(P111=1,Q111-R111,MIN((Q111-R111)*(Inputs!$C$60/12)/(1-(1+Inputs!$C$60/12)^(-P111))-S111,Q111-R111)))</f>
        <v>0</v>
      </c>
      <c r="U111" s="0" t="n">
        <f aca="false">(Q111-R111-T111)*Inputs!$B$10</f>
        <v>0</v>
      </c>
      <c r="V111" s="0" t="n">
        <f aca="false">Q111-R111-T111-U111</f>
        <v>0</v>
      </c>
      <c r="W111" s="0" t="n">
        <f aca="false">Inputs!$D$61-(A111-1)</f>
        <v>-45</v>
      </c>
      <c r="X111" s="0" t="n">
        <f aca="false">IF(W111&lt;=0,0,IF(A111=1,Inputs!$B$61,AC110))</f>
        <v>0</v>
      </c>
      <c r="Y111" s="0" t="n">
        <f aca="false">X111*Inputs!$B$9</f>
        <v>0</v>
      </c>
      <c r="Z111" s="0" t="n">
        <f aca="false">(X111-Y111)*Inputs!$C$61/12</f>
        <v>0</v>
      </c>
      <c r="AA111" s="0" t="n">
        <f aca="false">IF(W111&lt;=0,0,IF(W111=1,X111-Y111,MIN((X111-Y111)*(Inputs!$C$61/12)/(1-(1+Inputs!$C$61/12)^(-W111))-Z111,X111-Y111)))</f>
        <v>0</v>
      </c>
      <c r="AB111" s="0" t="n">
        <f aca="false">(X111-Y111-AA111)*Inputs!$B$10</f>
        <v>0</v>
      </c>
      <c r="AC111" s="0" t="n">
        <f aca="false">X111-Y111-AA111-AB111</f>
        <v>0</v>
      </c>
      <c r="AD111" s="0" t="n">
        <f aca="false">Inputs!$D$62-(A111-1)</f>
        <v>-45</v>
      </c>
      <c r="AE111" s="0" t="n">
        <f aca="false">IF(AD111&lt;=0,0,IF(A111=1,Inputs!$B$62,AJ110))</f>
        <v>0</v>
      </c>
      <c r="AF111" s="0" t="n">
        <f aca="false">AE111*Inputs!$B$9</f>
        <v>0</v>
      </c>
      <c r="AG111" s="0" t="n">
        <f aca="false">(AE111-AF111)*Inputs!$C$62/12</f>
        <v>0</v>
      </c>
      <c r="AH111" s="0" t="n">
        <f aca="false">IF(AD111&lt;=0,0,IF(AD111=1,AE111-AF111,MIN((AE111-AF111)*(Inputs!$C$62/12)/(1-(1+Inputs!$C$62/12)^(-AD111))-AG111,AE111-AF111)))</f>
        <v>0</v>
      </c>
      <c r="AI111" s="0" t="n">
        <f aca="false">(AE111-AF111-AH111)*Inputs!$B$10</f>
        <v>0</v>
      </c>
      <c r="AJ111" s="0" t="n">
        <f aca="false">AE111-AF111-AH111-AI111</f>
        <v>0</v>
      </c>
      <c r="AK111" s="0" t="n">
        <f aca="false">Inputs!$D$63-(A111-1)</f>
        <v>-45</v>
      </c>
      <c r="AL111" s="0" t="n">
        <f aca="false">IF(AK111&lt;=0,0,IF(A111=1,Inputs!$B$63,AQ110))</f>
        <v>0</v>
      </c>
      <c r="AM111" s="0" t="n">
        <f aca="false">AL111*Inputs!$B$9</f>
        <v>0</v>
      </c>
      <c r="AN111" s="0" t="n">
        <f aca="false">(AL111-AM111)*Inputs!$C$63/12</f>
        <v>0</v>
      </c>
      <c r="AO111" s="0" t="n">
        <f aca="false">IF(AK111&lt;=0,0,IF(AK111=1,AL111-AM111,MIN((AL111-AM111)*(Inputs!$C$63/12)/(1-(1+Inputs!$C$63/12)^(-AK111))-AN111,AL111-AM111)))</f>
        <v>0</v>
      </c>
      <c r="AP111" s="0" t="n">
        <f aca="false">(AL111-AM111-AO111)*Inputs!$B$10</f>
        <v>0</v>
      </c>
      <c r="AQ111" s="0" t="n">
        <f aca="false">AL111-AM111-AO111-AP111</f>
        <v>0</v>
      </c>
      <c r="AR111" s="0" t="n">
        <f aca="false">Inputs!$D$64-(A111-1)</f>
        <v>-33</v>
      </c>
      <c r="AS111" s="0" t="n">
        <f aca="false">IF(AR111&lt;=0,0,IF(A111=1,Inputs!$B$64,AX110))</f>
        <v>0</v>
      </c>
      <c r="AT111" s="0" t="n">
        <f aca="false">AS111*Inputs!$B$9</f>
        <v>0</v>
      </c>
      <c r="AU111" s="0" t="n">
        <f aca="false">(AS111-AT111)*Inputs!$C$64/12</f>
        <v>0</v>
      </c>
      <c r="AV111" s="0" t="n">
        <f aca="false">IF(AR111&lt;=0,0,IF(AR111=1,AS111-AT111,MIN((AS111-AT111)*(Inputs!$C$64/12)/(1-(1+Inputs!$C$64/12)^(-AR111))-AU111,AS111-AT111)))</f>
        <v>0</v>
      </c>
      <c r="AW111" s="0" t="n">
        <f aca="false">(AS111-AT111-AV111)*Inputs!$B$10</f>
        <v>0</v>
      </c>
      <c r="AX111" s="0" t="n">
        <f aca="false">AS111-AT111-AV111-AW111</f>
        <v>0</v>
      </c>
      <c r="AY111" s="0" t="n">
        <f aca="false">Inputs!$D$65-(A111-1)</f>
        <v>-33</v>
      </c>
      <c r="AZ111" s="0" t="n">
        <f aca="false">IF(AY111&lt;=0,0,IF(A111=1,Inputs!$B$65,BE110))</f>
        <v>0</v>
      </c>
      <c r="BA111" s="0" t="n">
        <f aca="false">AZ111*Inputs!$B$9</f>
        <v>0</v>
      </c>
      <c r="BB111" s="0" t="n">
        <f aca="false">(AZ111-BA111)*Inputs!$C$65/12</f>
        <v>0</v>
      </c>
      <c r="BC111" s="0" t="n">
        <f aca="false">IF(AY111&lt;=0,0,IF(AY111=1,AZ111-BA111,MIN((AZ111-BA111)*(Inputs!$C$65/12)/(1-(1+Inputs!$C$65/12)^(-AY111))-BB111,AZ111-BA111)))</f>
        <v>0</v>
      </c>
      <c r="BD111" s="0" t="n">
        <f aca="false">(AZ111-BA111-BC111)*Inputs!$B$10</f>
        <v>0</v>
      </c>
      <c r="BE111" s="0" t="n">
        <f aca="false">AZ111-BA111-BC111-BD111</f>
        <v>0</v>
      </c>
      <c r="BF111" s="0" t="n">
        <f aca="false">Inputs!$D$66-(A111-1)</f>
        <v>-21</v>
      </c>
      <c r="BG111" s="0" t="n">
        <f aca="false">IF(BF111&lt;=0,0,IF(A111=1,Inputs!$B$66,BL110))</f>
        <v>0</v>
      </c>
      <c r="BH111" s="0" t="n">
        <f aca="false">BG111*Inputs!$B$9</f>
        <v>0</v>
      </c>
      <c r="BI111" s="0" t="n">
        <f aca="false">(BG111-BH111)*Inputs!$C$66/12</f>
        <v>0</v>
      </c>
      <c r="BJ111" s="0" t="n">
        <f aca="false">IF(BF111&lt;=0,0,IF(BF111=1,BG111-BH111,MIN((BG111-BH111)*(Inputs!$C$66/12)/(1-(1+Inputs!$C$66/12)^(-BF111))-BI111,BG111-BH111)))</f>
        <v>0</v>
      </c>
      <c r="BK111" s="0" t="n">
        <f aca="false">(BG111-BH111-BJ111)*Inputs!$B$10</f>
        <v>0</v>
      </c>
      <c r="BL111" s="0" t="n">
        <f aca="false">BG111-BH111-BJ111-BK111</f>
        <v>0</v>
      </c>
      <c r="BM111" s="0" t="n">
        <f aca="false">Inputs!$D$67-(A111-1)</f>
        <v>-21</v>
      </c>
      <c r="BN111" s="0" t="n">
        <f aca="false">IF(BM111&lt;=0,0,IF(A111=1,Inputs!$B$67,BS110))</f>
        <v>0</v>
      </c>
      <c r="BO111" s="0" t="n">
        <f aca="false">BN111*Inputs!$B$9</f>
        <v>0</v>
      </c>
      <c r="BP111" s="0" t="n">
        <f aca="false">(BN111-BO111)*Inputs!$C$67/12</f>
        <v>0</v>
      </c>
      <c r="BQ111" s="0" t="n">
        <f aca="false">IF(BM111&lt;=0,0,IF(BM111=1,BN111-BO111,MIN((BN111-BO111)*(Inputs!$C$67/12)/(1-(1+Inputs!$C$67/12)^(-BM111))-BP111,BN111-BO111)))</f>
        <v>0</v>
      </c>
      <c r="BR111" s="0" t="n">
        <f aca="false">(BN111-BO111-BQ111)*Inputs!$B$10</f>
        <v>0</v>
      </c>
      <c r="BS111" s="0" t="n">
        <f aca="false">BN111-BO111-BQ111-BR111</f>
        <v>0</v>
      </c>
      <c r="BT111" s="0" t="n">
        <f aca="false">C111+J111+Q111+X111+AE111+AL111+AS111+AZ111+BG111+BN111</f>
        <v>0</v>
      </c>
      <c r="BU111" s="0" t="n">
        <f aca="false">D111+K111+R111+Y111+AF111+AM111+AT111+BA111+BH111+BO111</f>
        <v>0</v>
      </c>
      <c r="BV111" s="0" t="n">
        <f aca="false">E111+L111+S111+Z111+AG111+AN111+AU111+BB111+BI111+BP111</f>
        <v>0</v>
      </c>
      <c r="BW111" s="0" t="n">
        <f aca="false">F111+M111+T111+AA111+AH111+AO111+AV111+BC111+BJ111+BQ111</f>
        <v>0</v>
      </c>
      <c r="BX111" s="0" t="n">
        <f aca="false">G111+N111+U111+AB111+AI111+AP111+AW111+BD111+BK111+BR111</f>
        <v>0</v>
      </c>
      <c r="BY111" s="0" t="n">
        <f aca="false">H111+O111+V111+AC111+AJ111+AQ111+AX111+BE111+BL111+BS111</f>
        <v>0</v>
      </c>
      <c r="BZ111" s="0" t="n">
        <f aca="false">IF(A111&gt;Inputs!$B$7,(1-Inputs!$B$6)*INDEX($BU$6:$BU$125,A111-Inputs!$B$7),0)</f>
        <v>0</v>
      </c>
      <c r="CA111" s="0" t="n">
        <f aca="false">CA110+(1-Inputs!$B$6)*BU111-BZ111</f>
        <v>-1.06979314296041E-010</v>
      </c>
      <c r="CB111" s="0" t="n">
        <f aca="false">BY111+CA111</f>
        <v>-1.06979314296041E-010</v>
      </c>
      <c r="CC111" s="0" t="n">
        <f aca="false">BV111+BW111+BX111+BZ111</f>
        <v>0</v>
      </c>
      <c r="CD111" s="0" t="n">
        <f aca="false">CD110+BU111-BZ111</f>
        <v>10913893.1228094</v>
      </c>
    </row>
    <row r="112" customFormat="false" ht="15" hidden="false" customHeight="false" outlineLevel="0" collapsed="false">
      <c r="A112" s="0" t="n">
        <f aca="false">ROW()-5</f>
        <v>107</v>
      </c>
      <c r="B112" s="0" t="n">
        <f aca="false">Inputs!$D$58-(A112-1)</f>
        <v>-70</v>
      </c>
      <c r="C112" s="0" t="n">
        <f aca="false">IF(B112&lt;=0,0,IF(A112=1,Inputs!$B$58,H111))</f>
        <v>0</v>
      </c>
      <c r="D112" s="0" t="n">
        <f aca="false">C112*Inputs!$B$9</f>
        <v>0</v>
      </c>
      <c r="E112" s="0" t="n">
        <f aca="false">(C112-D112)*Inputs!$C$58/12</f>
        <v>0</v>
      </c>
      <c r="F112" s="0" t="n">
        <f aca="false">IF(B112&lt;=0,0,IF(B112=1,C112-D112,MIN((C112-D112)*(Inputs!$C$58/12)/(1-(1+Inputs!$C$58/12)^(-B112))-E112,C112-D112)))</f>
        <v>0</v>
      </c>
      <c r="G112" s="0" t="n">
        <f aca="false">(C112-D112-F112)*Inputs!$B$10</f>
        <v>0</v>
      </c>
      <c r="H112" s="0" t="n">
        <f aca="false">C112-D112-F112-G112</f>
        <v>0</v>
      </c>
      <c r="I112" s="0" t="n">
        <f aca="false">Inputs!$D$59-(A112-1)</f>
        <v>-58</v>
      </c>
      <c r="J112" s="0" t="n">
        <f aca="false">IF(I112&lt;=0,0,IF(A112=1,Inputs!$B$59,O111))</f>
        <v>0</v>
      </c>
      <c r="K112" s="0" t="n">
        <f aca="false">J112*Inputs!$B$9</f>
        <v>0</v>
      </c>
      <c r="L112" s="0" t="n">
        <f aca="false">(J112-K112)*Inputs!$C$59/12</f>
        <v>0</v>
      </c>
      <c r="M112" s="0" t="n">
        <f aca="false">IF(I112&lt;=0,0,IF(I112=1,J112-K112,MIN((J112-K112)*(Inputs!$C$59/12)/(1-(1+Inputs!$C$59/12)^(-I112))-L112,J112-K112)))</f>
        <v>0</v>
      </c>
      <c r="N112" s="0" t="n">
        <f aca="false">(J112-K112-M112)*Inputs!$B$10</f>
        <v>0</v>
      </c>
      <c r="O112" s="0" t="n">
        <f aca="false">J112-K112-M112-N112</f>
        <v>0</v>
      </c>
      <c r="P112" s="0" t="n">
        <f aca="false">Inputs!$D$60-(A112-1)</f>
        <v>-58</v>
      </c>
      <c r="Q112" s="0" t="n">
        <f aca="false">IF(P112&lt;=0,0,IF(A112=1,Inputs!$B$60,V111))</f>
        <v>0</v>
      </c>
      <c r="R112" s="0" t="n">
        <f aca="false">Q112*Inputs!$B$9</f>
        <v>0</v>
      </c>
      <c r="S112" s="0" t="n">
        <f aca="false">(Q112-R112)*Inputs!$C$60/12</f>
        <v>0</v>
      </c>
      <c r="T112" s="0" t="n">
        <f aca="false">IF(P112&lt;=0,0,IF(P112=1,Q112-R112,MIN((Q112-R112)*(Inputs!$C$60/12)/(1-(1+Inputs!$C$60/12)^(-P112))-S112,Q112-R112)))</f>
        <v>0</v>
      </c>
      <c r="U112" s="0" t="n">
        <f aca="false">(Q112-R112-T112)*Inputs!$B$10</f>
        <v>0</v>
      </c>
      <c r="V112" s="0" t="n">
        <f aca="false">Q112-R112-T112-U112</f>
        <v>0</v>
      </c>
      <c r="W112" s="0" t="n">
        <f aca="false">Inputs!$D$61-(A112-1)</f>
        <v>-46</v>
      </c>
      <c r="X112" s="0" t="n">
        <f aca="false">IF(W112&lt;=0,0,IF(A112=1,Inputs!$B$61,AC111))</f>
        <v>0</v>
      </c>
      <c r="Y112" s="0" t="n">
        <f aca="false">X112*Inputs!$B$9</f>
        <v>0</v>
      </c>
      <c r="Z112" s="0" t="n">
        <f aca="false">(X112-Y112)*Inputs!$C$61/12</f>
        <v>0</v>
      </c>
      <c r="AA112" s="0" t="n">
        <f aca="false">IF(W112&lt;=0,0,IF(W112=1,X112-Y112,MIN((X112-Y112)*(Inputs!$C$61/12)/(1-(1+Inputs!$C$61/12)^(-W112))-Z112,X112-Y112)))</f>
        <v>0</v>
      </c>
      <c r="AB112" s="0" t="n">
        <f aca="false">(X112-Y112-AA112)*Inputs!$B$10</f>
        <v>0</v>
      </c>
      <c r="AC112" s="0" t="n">
        <f aca="false">X112-Y112-AA112-AB112</f>
        <v>0</v>
      </c>
      <c r="AD112" s="0" t="n">
        <f aca="false">Inputs!$D$62-(A112-1)</f>
        <v>-46</v>
      </c>
      <c r="AE112" s="0" t="n">
        <f aca="false">IF(AD112&lt;=0,0,IF(A112=1,Inputs!$B$62,AJ111))</f>
        <v>0</v>
      </c>
      <c r="AF112" s="0" t="n">
        <f aca="false">AE112*Inputs!$B$9</f>
        <v>0</v>
      </c>
      <c r="AG112" s="0" t="n">
        <f aca="false">(AE112-AF112)*Inputs!$C$62/12</f>
        <v>0</v>
      </c>
      <c r="AH112" s="0" t="n">
        <f aca="false">IF(AD112&lt;=0,0,IF(AD112=1,AE112-AF112,MIN((AE112-AF112)*(Inputs!$C$62/12)/(1-(1+Inputs!$C$62/12)^(-AD112))-AG112,AE112-AF112)))</f>
        <v>0</v>
      </c>
      <c r="AI112" s="0" t="n">
        <f aca="false">(AE112-AF112-AH112)*Inputs!$B$10</f>
        <v>0</v>
      </c>
      <c r="AJ112" s="0" t="n">
        <f aca="false">AE112-AF112-AH112-AI112</f>
        <v>0</v>
      </c>
      <c r="AK112" s="0" t="n">
        <f aca="false">Inputs!$D$63-(A112-1)</f>
        <v>-46</v>
      </c>
      <c r="AL112" s="0" t="n">
        <f aca="false">IF(AK112&lt;=0,0,IF(A112=1,Inputs!$B$63,AQ111))</f>
        <v>0</v>
      </c>
      <c r="AM112" s="0" t="n">
        <f aca="false">AL112*Inputs!$B$9</f>
        <v>0</v>
      </c>
      <c r="AN112" s="0" t="n">
        <f aca="false">(AL112-AM112)*Inputs!$C$63/12</f>
        <v>0</v>
      </c>
      <c r="AO112" s="0" t="n">
        <f aca="false">IF(AK112&lt;=0,0,IF(AK112=1,AL112-AM112,MIN((AL112-AM112)*(Inputs!$C$63/12)/(1-(1+Inputs!$C$63/12)^(-AK112))-AN112,AL112-AM112)))</f>
        <v>0</v>
      </c>
      <c r="AP112" s="0" t="n">
        <f aca="false">(AL112-AM112-AO112)*Inputs!$B$10</f>
        <v>0</v>
      </c>
      <c r="AQ112" s="0" t="n">
        <f aca="false">AL112-AM112-AO112-AP112</f>
        <v>0</v>
      </c>
      <c r="AR112" s="0" t="n">
        <f aca="false">Inputs!$D$64-(A112-1)</f>
        <v>-34</v>
      </c>
      <c r="AS112" s="0" t="n">
        <f aca="false">IF(AR112&lt;=0,0,IF(A112=1,Inputs!$B$64,AX111))</f>
        <v>0</v>
      </c>
      <c r="AT112" s="0" t="n">
        <f aca="false">AS112*Inputs!$B$9</f>
        <v>0</v>
      </c>
      <c r="AU112" s="0" t="n">
        <f aca="false">(AS112-AT112)*Inputs!$C$64/12</f>
        <v>0</v>
      </c>
      <c r="AV112" s="0" t="n">
        <f aca="false">IF(AR112&lt;=0,0,IF(AR112=1,AS112-AT112,MIN((AS112-AT112)*(Inputs!$C$64/12)/(1-(1+Inputs!$C$64/12)^(-AR112))-AU112,AS112-AT112)))</f>
        <v>0</v>
      </c>
      <c r="AW112" s="0" t="n">
        <f aca="false">(AS112-AT112-AV112)*Inputs!$B$10</f>
        <v>0</v>
      </c>
      <c r="AX112" s="0" t="n">
        <f aca="false">AS112-AT112-AV112-AW112</f>
        <v>0</v>
      </c>
      <c r="AY112" s="0" t="n">
        <f aca="false">Inputs!$D$65-(A112-1)</f>
        <v>-34</v>
      </c>
      <c r="AZ112" s="0" t="n">
        <f aca="false">IF(AY112&lt;=0,0,IF(A112=1,Inputs!$B$65,BE111))</f>
        <v>0</v>
      </c>
      <c r="BA112" s="0" t="n">
        <f aca="false">AZ112*Inputs!$B$9</f>
        <v>0</v>
      </c>
      <c r="BB112" s="0" t="n">
        <f aca="false">(AZ112-BA112)*Inputs!$C$65/12</f>
        <v>0</v>
      </c>
      <c r="BC112" s="0" t="n">
        <f aca="false">IF(AY112&lt;=0,0,IF(AY112=1,AZ112-BA112,MIN((AZ112-BA112)*(Inputs!$C$65/12)/(1-(1+Inputs!$C$65/12)^(-AY112))-BB112,AZ112-BA112)))</f>
        <v>0</v>
      </c>
      <c r="BD112" s="0" t="n">
        <f aca="false">(AZ112-BA112-BC112)*Inputs!$B$10</f>
        <v>0</v>
      </c>
      <c r="BE112" s="0" t="n">
        <f aca="false">AZ112-BA112-BC112-BD112</f>
        <v>0</v>
      </c>
      <c r="BF112" s="0" t="n">
        <f aca="false">Inputs!$D$66-(A112-1)</f>
        <v>-22</v>
      </c>
      <c r="BG112" s="0" t="n">
        <f aca="false">IF(BF112&lt;=0,0,IF(A112=1,Inputs!$B$66,BL111))</f>
        <v>0</v>
      </c>
      <c r="BH112" s="0" t="n">
        <f aca="false">BG112*Inputs!$B$9</f>
        <v>0</v>
      </c>
      <c r="BI112" s="0" t="n">
        <f aca="false">(BG112-BH112)*Inputs!$C$66/12</f>
        <v>0</v>
      </c>
      <c r="BJ112" s="0" t="n">
        <f aca="false">IF(BF112&lt;=0,0,IF(BF112=1,BG112-BH112,MIN((BG112-BH112)*(Inputs!$C$66/12)/(1-(1+Inputs!$C$66/12)^(-BF112))-BI112,BG112-BH112)))</f>
        <v>0</v>
      </c>
      <c r="BK112" s="0" t="n">
        <f aca="false">(BG112-BH112-BJ112)*Inputs!$B$10</f>
        <v>0</v>
      </c>
      <c r="BL112" s="0" t="n">
        <f aca="false">BG112-BH112-BJ112-BK112</f>
        <v>0</v>
      </c>
      <c r="BM112" s="0" t="n">
        <f aca="false">Inputs!$D$67-(A112-1)</f>
        <v>-22</v>
      </c>
      <c r="BN112" s="0" t="n">
        <f aca="false">IF(BM112&lt;=0,0,IF(A112=1,Inputs!$B$67,BS111))</f>
        <v>0</v>
      </c>
      <c r="BO112" s="0" t="n">
        <f aca="false">BN112*Inputs!$B$9</f>
        <v>0</v>
      </c>
      <c r="BP112" s="0" t="n">
        <f aca="false">(BN112-BO112)*Inputs!$C$67/12</f>
        <v>0</v>
      </c>
      <c r="BQ112" s="0" t="n">
        <f aca="false">IF(BM112&lt;=0,0,IF(BM112=1,BN112-BO112,MIN((BN112-BO112)*(Inputs!$C$67/12)/(1-(1+Inputs!$C$67/12)^(-BM112))-BP112,BN112-BO112)))</f>
        <v>0</v>
      </c>
      <c r="BR112" s="0" t="n">
        <f aca="false">(BN112-BO112-BQ112)*Inputs!$B$10</f>
        <v>0</v>
      </c>
      <c r="BS112" s="0" t="n">
        <f aca="false">BN112-BO112-BQ112-BR112</f>
        <v>0</v>
      </c>
      <c r="BT112" s="0" t="n">
        <f aca="false">C112+J112+Q112+X112+AE112+AL112+AS112+AZ112+BG112+BN112</f>
        <v>0</v>
      </c>
      <c r="BU112" s="0" t="n">
        <f aca="false">D112+K112+R112+Y112+AF112+AM112+AT112+BA112+BH112+BO112</f>
        <v>0</v>
      </c>
      <c r="BV112" s="0" t="n">
        <f aca="false">E112+L112+S112+Z112+AG112+AN112+AU112+BB112+BI112+BP112</f>
        <v>0</v>
      </c>
      <c r="BW112" s="0" t="n">
        <f aca="false">F112+M112+T112+AA112+AH112+AO112+AV112+BC112+BJ112+BQ112</f>
        <v>0</v>
      </c>
      <c r="BX112" s="0" t="n">
        <f aca="false">G112+N112+U112+AB112+AI112+AP112+AW112+BD112+BK112+BR112</f>
        <v>0</v>
      </c>
      <c r="BY112" s="0" t="n">
        <f aca="false">H112+O112+V112+AC112+AJ112+AQ112+AX112+BE112+BL112+BS112</f>
        <v>0</v>
      </c>
      <c r="BZ112" s="0" t="n">
        <f aca="false">IF(A112&gt;Inputs!$B$7,(1-Inputs!$B$6)*INDEX($BU$6:$BU$125,A112-Inputs!$B$7),0)</f>
        <v>0</v>
      </c>
      <c r="CA112" s="0" t="n">
        <f aca="false">CA111+(1-Inputs!$B$6)*BU112-BZ112</f>
        <v>-1.06979314296041E-010</v>
      </c>
      <c r="CB112" s="0" t="n">
        <f aca="false">BY112+CA112</f>
        <v>-1.06979314296041E-010</v>
      </c>
      <c r="CC112" s="0" t="n">
        <f aca="false">BV112+BW112+BX112+BZ112</f>
        <v>0</v>
      </c>
      <c r="CD112" s="0" t="n">
        <f aca="false">CD111+BU112-BZ112</f>
        <v>10913893.1228094</v>
      </c>
    </row>
    <row r="113" customFormat="false" ht="15" hidden="false" customHeight="false" outlineLevel="0" collapsed="false">
      <c r="A113" s="0" t="n">
        <f aca="false">ROW()-5</f>
        <v>108</v>
      </c>
      <c r="B113" s="0" t="n">
        <f aca="false">Inputs!$D$58-(A113-1)</f>
        <v>-71</v>
      </c>
      <c r="C113" s="0" t="n">
        <f aca="false">IF(B113&lt;=0,0,IF(A113=1,Inputs!$B$58,H112))</f>
        <v>0</v>
      </c>
      <c r="D113" s="0" t="n">
        <f aca="false">C113*Inputs!$B$9</f>
        <v>0</v>
      </c>
      <c r="E113" s="0" t="n">
        <f aca="false">(C113-D113)*Inputs!$C$58/12</f>
        <v>0</v>
      </c>
      <c r="F113" s="0" t="n">
        <f aca="false">IF(B113&lt;=0,0,IF(B113=1,C113-D113,MIN((C113-D113)*(Inputs!$C$58/12)/(1-(1+Inputs!$C$58/12)^(-B113))-E113,C113-D113)))</f>
        <v>0</v>
      </c>
      <c r="G113" s="0" t="n">
        <f aca="false">(C113-D113-F113)*Inputs!$B$10</f>
        <v>0</v>
      </c>
      <c r="H113" s="0" t="n">
        <f aca="false">C113-D113-F113-G113</f>
        <v>0</v>
      </c>
      <c r="I113" s="0" t="n">
        <f aca="false">Inputs!$D$59-(A113-1)</f>
        <v>-59</v>
      </c>
      <c r="J113" s="0" t="n">
        <f aca="false">IF(I113&lt;=0,0,IF(A113=1,Inputs!$B$59,O112))</f>
        <v>0</v>
      </c>
      <c r="K113" s="0" t="n">
        <f aca="false">J113*Inputs!$B$9</f>
        <v>0</v>
      </c>
      <c r="L113" s="0" t="n">
        <f aca="false">(J113-K113)*Inputs!$C$59/12</f>
        <v>0</v>
      </c>
      <c r="M113" s="0" t="n">
        <f aca="false">IF(I113&lt;=0,0,IF(I113=1,J113-K113,MIN((J113-K113)*(Inputs!$C$59/12)/(1-(1+Inputs!$C$59/12)^(-I113))-L113,J113-K113)))</f>
        <v>0</v>
      </c>
      <c r="N113" s="0" t="n">
        <f aca="false">(J113-K113-M113)*Inputs!$B$10</f>
        <v>0</v>
      </c>
      <c r="O113" s="0" t="n">
        <f aca="false">J113-K113-M113-N113</f>
        <v>0</v>
      </c>
      <c r="P113" s="0" t="n">
        <f aca="false">Inputs!$D$60-(A113-1)</f>
        <v>-59</v>
      </c>
      <c r="Q113" s="0" t="n">
        <f aca="false">IF(P113&lt;=0,0,IF(A113=1,Inputs!$B$60,V112))</f>
        <v>0</v>
      </c>
      <c r="R113" s="0" t="n">
        <f aca="false">Q113*Inputs!$B$9</f>
        <v>0</v>
      </c>
      <c r="S113" s="0" t="n">
        <f aca="false">(Q113-R113)*Inputs!$C$60/12</f>
        <v>0</v>
      </c>
      <c r="T113" s="0" t="n">
        <f aca="false">IF(P113&lt;=0,0,IF(P113=1,Q113-R113,MIN((Q113-R113)*(Inputs!$C$60/12)/(1-(1+Inputs!$C$60/12)^(-P113))-S113,Q113-R113)))</f>
        <v>0</v>
      </c>
      <c r="U113" s="0" t="n">
        <f aca="false">(Q113-R113-T113)*Inputs!$B$10</f>
        <v>0</v>
      </c>
      <c r="V113" s="0" t="n">
        <f aca="false">Q113-R113-T113-U113</f>
        <v>0</v>
      </c>
      <c r="W113" s="0" t="n">
        <f aca="false">Inputs!$D$61-(A113-1)</f>
        <v>-47</v>
      </c>
      <c r="X113" s="0" t="n">
        <f aca="false">IF(W113&lt;=0,0,IF(A113=1,Inputs!$B$61,AC112))</f>
        <v>0</v>
      </c>
      <c r="Y113" s="0" t="n">
        <f aca="false">X113*Inputs!$B$9</f>
        <v>0</v>
      </c>
      <c r="Z113" s="0" t="n">
        <f aca="false">(X113-Y113)*Inputs!$C$61/12</f>
        <v>0</v>
      </c>
      <c r="AA113" s="0" t="n">
        <f aca="false">IF(W113&lt;=0,0,IF(W113=1,X113-Y113,MIN((X113-Y113)*(Inputs!$C$61/12)/(1-(1+Inputs!$C$61/12)^(-W113))-Z113,X113-Y113)))</f>
        <v>0</v>
      </c>
      <c r="AB113" s="0" t="n">
        <f aca="false">(X113-Y113-AA113)*Inputs!$B$10</f>
        <v>0</v>
      </c>
      <c r="AC113" s="0" t="n">
        <f aca="false">X113-Y113-AA113-AB113</f>
        <v>0</v>
      </c>
      <c r="AD113" s="0" t="n">
        <f aca="false">Inputs!$D$62-(A113-1)</f>
        <v>-47</v>
      </c>
      <c r="AE113" s="0" t="n">
        <f aca="false">IF(AD113&lt;=0,0,IF(A113=1,Inputs!$B$62,AJ112))</f>
        <v>0</v>
      </c>
      <c r="AF113" s="0" t="n">
        <f aca="false">AE113*Inputs!$B$9</f>
        <v>0</v>
      </c>
      <c r="AG113" s="0" t="n">
        <f aca="false">(AE113-AF113)*Inputs!$C$62/12</f>
        <v>0</v>
      </c>
      <c r="AH113" s="0" t="n">
        <f aca="false">IF(AD113&lt;=0,0,IF(AD113=1,AE113-AF113,MIN((AE113-AF113)*(Inputs!$C$62/12)/(1-(1+Inputs!$C$62/12)^(-AD113))-AG113,AE113-AF113)))</f>
        <v>0</v>
      </c>
      <c r="AI113" s="0" t="n">
        <f aca="false">(AE113-AF113-AH113)*Inputs!$B$10</f>
        <v>0</v>
      </c>
      <c r="AJ113" s="0" t="n">
        <f aca="false">AE113-AF113-AH113-AI113</f>
        <v>0</v>
      </c>
      <c r="AK113" s="0" t="n">
        <f aca="false">Inputs!$D$63-(A113-1)</f>
        <v>-47</v>
      </c>
      <c r="AL113" s="0" t="n">
        <f aca="false">IF(AK113&lt;=0,0,IF(A113=1,Inputs!$B$63,AQ112))</f>
        <v>0</v>
      </c>
      <c r="AM113" s="0" t="n">
        <f aca="false">AL113*Inputs!$B$9</f>
        <v>0</v>
      </c>
      <c r="AN113" s="0" t="n">
        <f aca="false">(AL113-AM113)*Inputs!$C$63/12</f>
        <v>0</v>
      </c>
      <c r="AO113" s="0" t="n">
        <f aca="false">IF(AK113&lt;=0,0,IF(AK113=1,AL113-AM113,MIN((AL113-AM113)*(Inputs!$C$63/12)/(1-(1+Inputs!$C$63/12)^(-AK113))-AN113,AL113-AM113)))</f>
        <v>0</v>
      </c>
      <c r="AP113" s="0" t="n">
        <f aca="false">(AL113-AM113-AO113)*Inputs!$B$10</f>
        <v>0</v>
      </c>
      <c r="AQ113" s="0" t="n">
        <f aca="false">AL113-AM113-AO113-AP113</f>
        <v>0</v>
      </c>
      <c r="AR113" s="0" t="n">
        <f aca="false">Inputs!$D$64-(A113-1)</f>
        <v>-35</v>
      </c>
      <c r="AS113" s="0" t="n">
        <f aca="false">IF(AR113&lt;=0,0,IF(A113=1,Inputs!$B$64,AX112))</f>
        <v>0</v>
      </c>
      <c r="AT113" s="0" t="n">
        <f aca="false">AS113*Inputs!$B$9</f>
        <v>0</v>
      </c>
      <c r="AU113" s="0" t="n">
        <f aca="false">(AS113-AT113)*Inputs!$C$64/12</f>
        <v>0</v>
      </c>
      <c r="AV113" s="0" t="n">
        <f aca="false">IF(AR113&lt;=0,0,IF(AR113=1,AS113-AT113,MIN((AS113-AT113)*(Inputs!$C$64/12)/(1-(1+Inputs!$C$64/12)^(-AR113))-AU113,AS113-AT113)))</f>
        <v>0</v>
      </c>
      <c r="AW113" s="0" t="n">
        <f aca="false">(AS113-AT113-AV113)*Inputs!$B$10</f>
        <v>0</v>
      </c>
      <c r="AX113" s="0" t="n">
        <f aca="false">AS113-AT113-AV113-AW113</f>
        <v>0</v>
      </c>
      <c r="AY113" s="0" t="n">
        <f aca="false">Inputs!$D$65-(A113-1)</f>
        <v>-35</v>
      </c>
      <c r="AZ113" s="0" t="n">
        <f aca="false">IF(AY113&lt;=0,0,IF(A113=1,Inputs!$B$65,BE112))</f>
        <v>0</v>
      </c>
      <c r="BA113" s="0" t="n">
        <f aca="false">AZ113*Inputs!$B$9</f>
        <v>0</v>
      </c>
      <c r="BB113" s="0" t="n">
        <f aca="false">(AZ113-BA113)*Inputs!$C$65/12</f>
        <v>0</v>
      </c>
      <c r="BC113" s="0" t="n">
        <f aca="false">IF(AY113&lt;=0,0,IF(AY113=1,AZ113-BA113,MIN((AZ113-BA113)*(Inputs!$C$65/12)/(1-(1+Inputs!$C$65/12)^(-AY113))-BB113,AZ113-BA113)))</f>
        <v>0</v>
      </c>
      <c r="BD113" s="0" t="n">
        <f aca="false">(AZ113-BA113-BC113)*Inputs!$B$10</f>
        <v>0</v>
      </c>
      <c r="BE113" s="0" t="n">
        <f aca="false">AZ113-BA113-BC113-BD113</f>
        <v>0</v>
      </c>
      <c r="BF113" s="0" t="n">
        <f aca="false">Inputs!$D$66-(A113-1)</f>
        <v>-23</v>
      </c>
      <c r="BG113" s="0" t="n">
        <f aca="false">IF(BF113&lt;=0,0,IF(A113=1,Inputs!$B$66,BL112))</f>
        <v>0</v>
      </c>
      <c r="BH113" s="0" t="n">
        <f aca="false">BG113*Inputs!$B$9</f>
        <v>0</v>
      </c>
      <c r="BI113" s="0" t="n">
        <f aca="false">(BG113-BH113)*Inputs!$C$66/12</f>
        <v>0</v>
      </c>
      <c r="BJ113" s="0" t="n">
        <f aca="false">IF(BF113&lt;=0,0,IF(BF113=1,BG113-BH113,MIN((BG113-BH113)*(Inputs!$C$66/12)/(1-(1+Inputs!$C$66/12)^(-BF113))-BI113,BG113-BH113)))</f>
        <v>0</v>
      </c>
      <c r="BK113" s="0" t="n">
        <f aca="false">(BG113-BH113-BJ113)*Inputs!$B$10</f>
        <v>0</v>
      </c>
      <c r="BL113" s="0" t="n">
        <f aca="false">BG113-BH113-BJ113-BK113</f>
        <v>0</v>
      </c>
      <c r="BM113" s="0" t="n">
        <f aca="false">Inputs!$D$67-(A113-1)</f>
        <v>-23</v>
      </c>
      <c r="BN113" s="0" t="n">
        <f aca="false">IF(BM113&lt;=0,0,IF(A113=1,Inputs!$B$67,BS112))</f>
        <v>0</v>
      </c>
      <c r="BO113" s="0" t="n">
        <f aca="false">BN113*Inputs!$B$9</f>
        <v>0</v>
      </c>
      <c r="BP113" s="0" t="n">
        <f aca="false">(BN113-BO113)*Inputs!$C$67/12</f>
        <v>0</v>
      </c>
      <c r="BQ113" s="0" t="n">
        <f aca="false">IF(BM113&lt;=0,0,IF(BM113=1,BN113-BO113,MIN((BN113-BO113)*(Inputs!$C$67/12)/(1-(1+Inputs!$C$67/12)^(-BM113))-BP113,BN113-BO113)))</f>
        <v>0</v>
      </c>
      <c r="BR113" s="0" t="n">
        <f aca="false">(BN113-BO113-BQ113)*Inputs!$B$10</f>
        <v>0</v>
      </c>
      <c r="BS113" s="0" t="n">
        <f aca="false">BN113-BO113-BQ113-BR113</f>
        <v>0</v>
      </c>
      <c r="BT113" s="0" t="n">
        <f aca="false">C113+J113+Q113+X113+AE113+AL113+AS113+AZ113+BG113+BN113</f>
        <v>0</v>
      </c>
      <c r="BU113" s="0" t="n">
        <f aca="false">D113+K113+R113+Y113+AF113+AM113+AT113+BA113+BH113+BO113</f>
        <v>0</v>
      </c>
      <c r="BV113" s="0" t="n">
        <f aca="false">E113+L113+S113+Z113+AG113+AN113+AU113+BB113+BI113+BP113</f>
        <v>0</v>
      </c>
      <c r="BW113" s="0" t="n">
        <f aca="false">F113+M113+T113+AA113+AH113+AO113+AV113+BC113+BJ113+BQ113</f>
        <v>0</v>
      </c>
      <c r="BX113" s="0" t="n">
        <f aca="false">G113+N113+U113+AB113+AI113+AP113+AW113+BD113+BK113+BR113</f>
        <v>0</v>
      </c>
      <c r="BY113" s="0" t="n">
        <f aca="false">H113+O113+V113+AC113+AJ113+AQ113+AX113+BE113+BL113+BS113</f>
        <v>0</v>
      </c>
      <c r="BZ113" s="0" t="n">
        <f aca="false">IF(A113&gt;Inputs!$B$7,(1-Inputs!$B$6)*INDEX($BU$6:$BU$125,A113-Inputs!$B$7),0)</f>
        <v>0</v>
      </c>
      <c r="CA113" s="0" t="n">
        <f aca="false">CA112+(1-Inputs!$B$6)*BU113-BZ113</f>
        <v>-1.06979314296041E-010</v>
      </c>
      <c r="CB113" s="0" t="n">
        <f aca="false">BY113+CA113</f>
        <v>-1.06979314296041E-010</v>
      </c>
      <c r="CC113" s="0" t="n">
        <f aca="false">BV113+BW113+BX113+BZ113</f>
        <v>0</v>
      </c>
      <c r="CD113" s="0" t="n">
        <f aca="false">CD112+BU113-BZ113</f>
        <v>10913893.1228094</v>
      </c>
    </row>
    <row r="114" customFormat="false" ht="15" hidden="false" customHeight="false" outlineLevel="0" collapsed="false">
      <c r="A114" s="0" t="n">
        <f aca="false">ROW()-5</f>
        <v>109</v>
      </c>
      <c r="B114" s="0" t="n">
        <f aca="false">Inputs!$D$58-(A114-1)</f>
        <v>-72</v>
      </c>
      <c r="C114" s="0" t="n">
        <f aca="false">IF(B114&lt;=0,0,IF(A114=1,Inputs!$B$58,H113))</f>
        <v>0</v>
      </c>
      <c r="D114" s="0" t="n">
        <f aca="false">C114*Inputs!$B$9</f>
        <v>0</v>
      </c>
      <c r="E114" s="0" t="n">
        <f aca="false">(C114-D114)*Inputs!$C$58/12</f>
        <v>0</v>
      </c>
      <c r="F114" s="0" t="n">
        <f aca="false">IF(B114&lt;=0,0,IF(B114=1,C114-D114,MIN((C114-D114)*(Inputs!$C$58/12)/(1-(1+Inputs!$C$58/12)^(-B114))-E114,C114-D114)))</f>
        <v>0</v>
      </c>
      <c r="G114" s="0" t="n">
        <f aca="false">(C114-D114-F114)*Inputs!$B$10</f>
        <v>0</v>
      </c>
      <c r="H114" s="0" t="n">
        <f aca="false">C114-D114-F114-G114</f>
        <v>0</v>
      </c>
      <c r="I114" s="0" t="n">
        <f aca="false">Inputs!$D$59-(A114-1)</f>
        <v>-60</v>
      </c>
      <c r="J114" s="0" t="n">
        <f aca="false">IF(I114&lt;=0,0,IF(A114=1,Inputs!$B$59,O113))</f>
        <v>0</v>
      </c>
      <c r="K114" s="0" t="n">
        <f aca="false">J114*Inputs!$B$9</f>
        <v>0</v>
      </c>
      <c r="L114" s="0" t="n">
        <f aca="false">(J114-K114)*Inputs!$C$59/12</f>
        <v>0</v>
      </c>
      <c r="M114" s="0" t="n">
        <f aca="false">IF(I114&lt;=0,0,IF(I114=1,J114-K114,MIN((J114-K114)*(Inputs!$C$59/12)/(1-(1+Inputs!$C$59/12)^(-I114))-L114,J114-K114)))</f>
        <v>0</v>
      </c>
      <c r="N114" s="0" t="n">
        <f aca="false">(J114-K114-M114)*Inputs!$B$10</f>
        <v>0</v>
      </c>
      <c r="O114" s="0" t="n">
        <f aca="false">J114-K114-M114-N114</f>
        <v>0</v>
      </c>
      <c r="P114" s="0" t="n">
        <f aca="false">Inputs!$D$60-(A114-1)</f>
        <v>-60</v>
      </c>
      <c r="Q114" s="0" t="n">
        <f aca="false">IF(P114&lt;=0,0,IF(A114=1,Inputs!$B$60,V113))</f>
        <v>0</v>
      </c>
      <c r="R114" s="0" t="n">
        <f aca="false">Q114*Inputs!$B$9</f>
        <v>0</v>
      </c>
      <c r="S114" s="0" t="n">
        <f aca="false">(Q114-R114)*Inputs!$C$60/12</f>
        <v>0</v>
      </c>
      <c r="T114" s="0" t="n">
        <f aca="false">IF(P114&lt;=0,0,IF(P114=1,Q114-R114,MIN((Q114-R114)*(Inputs!$C$60/12)/(1-(1+Inputs!$C$60/12)^(-P114))-S114,Q114-R114)))</f>
        <v>0</v>
      </c>
      <c r="U114" s="0" t="n">
        <f aca="false">(Q114-R114-T114)*Inputs!$B$10</f>
        <v>0</v>
      </c>
      <c r="V114" s="0" t="n">
        <f aca="false">Q114-R114-T114-U114</f>
        <v>0</v>
      </c>
      <c r="W114" s="0" t="n">
        <f aca="false">Inputs!$D$61-(A114-1)</f>
        <v>-48</v>
      </c>
      <c r="X114" s="0" t="n">
        <f aca="false">IF(W114&lt;=0,0,IF(A114=1,Inputs!$B$61,AC113))</f>
        <v>0</v>
      </c>
      <c r="Y114" s="0" t="n">
        <f aca="false">X114*Inputs!$B$9</f>
        <v>0</v>
      </c>
      <c r="Z114" s="0" t="n">
        <f aca="false">(X114-Y114)*Inputs!$C$61/12</f>
        <v>0</v>
      </c>
      <c r="AA114" s="0" t="n">
        <f aca="false">IF(W114&lt;=0,0,IF(W114=1,X114-Y114,MIN((X114-Y114)*(Inputs!$C$61/12)/(1-(1+Inputs!$C$61/12)^(-W114))-Z114,X114-Y114)))</f>
        <v>0</v>
      </c>
      <c r="AB114" s="0" t="n">
        <f aca="false">(X114-Y114-AA114)*Inputs!$B$10</f>
        <v>0</v>
      </c>
      <c r="AC114" s="0" t="n">
        <f aca="false">X114-Y114-AA114-AB114</f>
        <v>0</v>
      </c>
      <c r="AD114" s="0" t="n">
        <f aca="false">Inputs!$D$62-(A114-1)</f>
        <v>-48</v>
      </c>
      <c r="AE114" s="0" t="n">
        <f aca="false">IF(AD114&lt;=0,0,IF(A114=1,Inputs!$B$62,AJ113))</f>
        <v>0</v>
      </c>
      <c r="AF114" s="0" t="n">
        <f aca="false">AE114*Inputs!$B$9</f>
        <v>0</v>
      </c>
      <c r="AG114" s="0" t="n">
        <f aca="false">(AE114-AF114)*Inputs!$C$62/12</f>
        <v>0</v>
      </c>
      <c r="AH114" s="0" t="n">
        <f aca="false">IF(AD114&lt;=0,0,IF(AD114=1,AE114-AF114,MIN((AE114-AF114)*(Inputs!$C$62/12)/(1-(1+Inputs!$C$62/12)^(-AD114))-AG114,AE114-AF114)))</f>
        <v>0</v>
      </c>
      <c r="AI114" s="0" t="n">
        <f aca="false">(AE114-AF114-AH114)*Inputs!$B$10</f>
        <v>0</v>
      </c>
      <c r="AJ114" s="0" t="n">
        <f aca="false">AE114-AF114-AH114-AI114</f>
        <v>0</v>
      </c>
      <c r="AK114" s="0" t="n">
        <f aca="false">Inputs!$D$63-(A114-1)</f>
        <v>-48</v>
      </c>
      <c r="AL114" s="0" t="n">
        <f aca="false">IF(AK114&lt;=0,0,IF(A114=1,Inputs!$B$63,AQ113))</f>
        <v>0</v>
      </c>
      <c r="AM114" s="0" t="n">
        <f aca="false">AL114*Inputs!$B$9</f>
        <v>0</v>
      </c>
      <c r="AN114" s="0" t="n">
        <f aca="false">(AL114-AM114)*Inputs!$C$63/12</f>
        <v>0</v>
      </c>
      <c r="AO114" s="0" t="n">
        <f aca="false">IF(AK114&lt;=0,0,IF(AK114=1,AL114-AM114,MIN((AL114-AM114)*(Inputs!$C$63/12)/(1-(1+Inputs!$C$63/12)^(-AK114))-AN114,AL114-AM114)))</f>
        <v>0</v>
      </c>
      <c r="AP114" s="0" t="n">
        <f aca="false">(AL114-AM114-AO114)*Inputs!$B$10</f>
        <v>0</v>
      </c>
      <c r="AQ114" s="0" t="n">
        <f aca="false">AL114-AM114-AO114-AP114</f>
        <v>0</v>
      </c>
      <c r="AR114" s="0" t="n">
        <f aca="false">Inputs!$D$64-(A114-1)</f>
        <v>-36</v>
      </c>
      <c r="AS114" s="0" t="n">
        <f aca="false">IF(AR114&lt;=0,0,IF(A114=1,Inputs!$B$64,AX113))</f>
        <v>0</v>
      </c>
      <c r="AT114" s="0" t="n">
        <f aca="false">AS114*Inputs!$B$9</f>
        <v>0</v>
      </c>
      <c r="AU114" s="0" t="n">
        <f aca="false">(AS114-AT114)*Inputs!$C$64/12</f>
        <v>0</v>
      </c>
      <c r="AV114" s="0" t="n">
        <f aca="false">IF(AR114&lt;=0,0,IF(AR114=1,AS114-AT114,MIN((AS114-AT114)*(Inputs!$C$64/12)/(1-(1+Inputs!$C$64/12)^(-AR114))-AU114,AS114-AT114)))</f>
        <v>0</v>
      </c>
      <c r="AW114" s="0" t="n">
        <f aca="false">(AS114-AT114-AV114)*Inputs!$B$10</f>
        <v>0</v>
      </c>
      <c r="AX114" s="0" t="n">
        <f aca="false">AS114-AT114-AV114-AW114</f>
        <v>0</v>
      </c>
      <c r="AY114" s="0" t="n">
        <f aca="false">Inputs!$D$65-(A114-1)</f>
        <v>-36</v>
      </c>
      <c r="AZ114" s="0" t="n">
        <f aca="false">IF(AY114&lt;=0,0,IF(A114=1,Inputs!$B$65,BE113))</f>
        <v>0</v>
      </c>
      <c r="BA114" s="0" t="n">
        <f aca="false">AZ114*Inputs!$B$9</f>
        <v>0</v>
      </c>
      <c r="BB114" s="0" t="n">
        <f aca="false">(AZ114-BA114)*Inputs!$C$65/12</f>
        <v>0</v>
      </c>
      <c r="BC114" s="0" t="n">
        <f aca="false">IF(AY114&lt;=0,0,IF(AY114=1,AZ114-BA114,MIN((AZ114-BA114)*(Inputs!$C$65/12)/(1-(1+Inputs!$C$65/12)^(-AY114))-BB114,AZ114-BA114)))</f>
        <v>0</v>
      </c>
      <c r="BD114" s="0" t="n">
        <f aca="false">(AZ114-BA114-BC114)*Inputs!$B$10</f>
        <v>0</v>
      </c>
      <c r="BE114" s="0" t="n">
        <f aca="false">AZ114-BA114-BC114-BD114</f>
        <v>0</v>
      </c>
      <c r="BF114" s="0" t="n">
        <f aca="false">Inputs!$D$66-(A114-1)</f>
        <v>-24</v>
      </c>
      <c r="BG114" s="0" t="n">
        <f aca="false">IF(BF114&lt;=0,0,IF(A114=1,Inputs!$B$66,BL113))</f>
        <v>0</v>
      </c>
      <c r="BH114" s="0" t="n">
        <f aca="false">BG114*Inputs!$B$9</f>
        <v>0</v>
      </c>
      <c r="BI114" s="0" t="n">
        <f aca="false">(BG114-BH114)*Inputs!$C$66/12</f>
        <v>0</v>
      </c>
      <c r="BJ114" s="0" t="n">
        <f aca="false">IF(BF114&lt;=0,0,IF(BF114=1,BG114-BH114,MIN((BG114-BH114)*(Inputs!$C$66/12)/(1-(1+Inputs!$C$66/12)^(-BF114))-BI114,BG114-BH114)))</f>
        <v>0</v>
      </c>
      <c r="BK114" s="0" t="n">
        <f aca="false">(BG114-BH114-BJ114)*Inputs!$B$10</f>
        <v>0</v>
      </c>
      <c r="BL114" s="0" t="n">
        <f aca="false">BG114-BH114-BJ114-BK114</f>
        <v>0</v>
      </c>
      <c r="BM114" s="0" t="n">
        <f aca="false">Inputs!$D$67-(A114-1)</f>
        <v>-24</v>
      </c>
      <c r="BN114" s="0" t="n">
        <f aca="false">IF(BM114&lt;=0,0,IF(A114=1,Inputs!$B$67,BS113))</f>
        <v>0</v>
      </c>
      <c r="BO114" s="0" t="n">
        <f aca="false">BN114*Inputs!$B$9</f>
        <v>0</v>
      </c>
      <c r="BP114" s="0" t="n">
        <f aca="false">(BN114-BO114)*Inputs!$C$67/12</f>
        <v>0</v>
      </c>
      <c r="BQ114" s="0" t="n">
        <f aca="false">IF(BM114&lt;=0,0,IF(BM114=1,BN114-BO114,MIN((BN114-BO114)*(Inputs!$C$67/12)/(1-(1+Inputs!$C$67/12)^(-BM114))-BP114,BN114-BO114)))</f>
        <v>0</v>
      </c>
      <c r="BR114" s="0" t="n">
        <f aca="false">(BN114-BO114-BQ114)*Inputs!$B$10</f>
        <v>0</v>
      </c>
      <c r="BS114" s="0" t="n">
        <f aca="false">BN114-BO114-BQ114-BR114</f>
        <v>0</v>
      </c>
      <c r="BT114" s="0" t="n">
        <f aca="false">C114+J114+Q114+X114+AE114+AL114+AS114+AZ114+BG114+BN114</f>
        <v>0</v>
      </c>
      <c r="BU114" s="0" t="n">
        <f aca="false">D114+K114+R114+Y114+AF114+AM114+AT114+BA114+BH114+BO114</f>
        <v>0</v>
      </c>
      <c r="BV114" s="0" t="n">
        <f aca="false">E114+L114+S114+Z114+AG114+AN114+AU114+BB114+BI114+BP114</f>
        <v>0</v>
      </c>
      <c r="BW114" s="0" t="n">
        <f aca="false">F114+M114+T114+AA114+AH114+AO114+AV114+BC114+BJ114+BQ114</f>
        <v>0</v>
      </c>
      <c r="BX114" s="0" t="n">
        <f aca="false">G114+N114+U114+AB114+AI114+AP114+AW114+BD114+BK114+BR114</f>
        <v>0</v>
      </c>
      <c r="BY114" s="0" t="n">
        <f aca="false">H114+O114+V114+AC114+AJ114+AQ114+AX114+BE114+BL114+BS114</f>
        <v>0</v>
      </c>
      <c r="BZ114" s="0" t="n">
        <f aca="false">IF(A114&gt;Inputs!$B$7,(1-Inputs!$B$6)*INDEX($BU$6:$BU$125,A114-Inputs!$B$7),0)</f>
        <v>0</v>
      </c>
      <c r="CA114" s="0" t="n">
        <f aca="false">CA113+(1-Inputs!$B$6)*BU114-BZ114</f>
        <v>-1.06979314296041E-010</v>
      </c>
      <c r="CB114" s="0" t="n">
        <f aca="false">BY114+CA114</f>
        <v>-1.06979314296041E-010</v>
      </c>
      <c r="CC114" s="0" t="n">
        <f aca="false">BV114+BW114+BX114+BZ114</f>
        <v>0</v>
      </c>
      <c r="CD114" s="0" t="n">
        <f aca="false">CD113+BU114-BZ114</f>
        <v>10913893.1228094</v>
      </c>
    </row>
    <row r="115" customFormat="false" ht="15" hidden="false" customHeight="false" outlineLevel="0" collapsed="false">
      <c r="A115" s="0" t="n">
        <f aca="false">ROW()-5</f>
        <v>110</v>
      </c>
      <c r="B115" s="0" t="n">
        <f aca="false">Inputs!$D$58-(A115-1)</f>
        <v>-73</v>
      </c>
      <c r="C115" s="0" t="n">
        <f aca="false">IF(B115&lt;=0,0,IF(A115=1,Inputs!$B$58,H114))</f>
        <v>0</v>
      </c>
      <c r="D115" s="0" t="n">
        <f aca="false">C115*Inputs!$B$9</f>
        <v>0</v>
      </c>
      <c r="E115" s="0" t="n">
        <f aca="false">(C115-D115)*Inputs!$C$58/12</f>
        <v>0</v>
      </c>
      <c r="F115" s="0" t="n">
        <f aca="false">IF(B115&lt;=0,0,IF(B115=1,C115-D115,MIN((C115-D115)*(Inputs!$C$58/12)/(1-(1+Inputs!$C$58/12)^(-B115))-E115,C115-D115)))</f>
        <v>0</v>
      </c>
      <c r="G115" s="0" t="n">
        <f aca="false">(C115-D115-F115)*Inputs!$B$10</f>
        <v>0</v>
      </c>
      <c r="H115" s="0" t="n">
        <f aca="false">C115-D115-F115-G115</f>
        <v>0</v>
      </c>
      <c r="I115" s="0" t="n">
        <f aca="false">Inputs!$D$59-(A115-1)</f>
        <v>-61</v>
      </c>
      <c r="J115" s="0" t="n">
        <f aca="false">IF(I115&lt;=0,0,IF(A115=1,Inputs!$B$59,O114))</f>
        <v>0</v>
      </c>
      <c r="K115" s="0" t="n">
        <f aca="false">J115*Inputs!$B$9</f>
        <v>0</v>
      </c>
      <c r="L115" s="0" t="n">
        <f aca="false">(J115-K115)*Inputs!$C$59/12</f>
        <v>0</v>
      </c>
      <c r="M115" s="0" t="n">
        <f aca="false">IF(I115&lt;=0,0,IF(I115=1,J115-K115,MIN((J115-K115)*(Inputs!$C$59/12)/(1-(1+Inputs!$C$59/12)^(-I115))-L115,J115-K115)))</f>
        <v>0</v>
      </c>
      <c r="N115" s="0" t="n">
        <f aca="false">(J115-K115-M115)*Inputs!$B$10</f>
        <v>0</v>
      </c>
      <c r="O115" s="0" t="n">
        <f aca="false">J115-K115-M115-N115</f>
        <v>0</v>
      </c>
      <c r="P115" s="0" t="n">
        <f aca="false">Inputs!$D$60-(A115-1)</f>
        <v>-61</v>
      </c>
      <c r="Q115" s="0" t="n">
        <f aca="false">IF(P115&lt;=0,0,IF(A115=1,Inputs!$B$60,V114))</f>
        <v>0</v>
      </c>
      <c r="R115" s="0" t="n">
        <f aca="false">Q115*Inputs!$B$9</f>
        <v>0</v>
      </c>
      <c r="S115" s="0" t="n">
        <f aca="false">(Q115-R115)*Inputs!$C$60/12</f>
        <v>0</v>
      </c>
      <c r="T115" s="0" t="n">
        <f aca="false">IF(P115&lt;=0,0,IF(P115=1,Q115-R115,MIN((Q115-R115)*(Inputs!$C$60/12)/(1-(1+Inputs!$C$60/12)^(-P115))-S115,Q115-R115)))</f>
        <v>0</v>
      </c>
      <c r="U115" s="0" t="n">
        <f aca="false">(Q115-R115-T115)*Inputs!$B$10</f>
        <v>0</v>
      </c>
      <c r="V115" s="0" t="n">
        <f aca="false">Q115-R115-T115-U115</f>
        <v>0</v>
      </c>
      <c r="W115" s="0" t="n">
        <f aca="false">Inputs!$D$61-(A115-1)</f>
        <v>-49</v>
      </c>
      <c r="X115" s="0" t="n">
        <f aca="false">IF(W115&lt;=0,0,IF(A115=1,Inputs!$B$61,AC114))</f>
        <v>0</v>
      </c>
      <c r="Y115" s="0" t="n">
        <f aca="false">X115*Inputs!$B$9</f>
        <v>0</v>
      </c>
      <c r="Z115" s="0" t="n">
        <f aca="false">(X115-Y115)*Inputs!$C$61/12</f>
        <v>0</v>
      </c>
      <c r="AA115" s="0" t="n">
        <f aca="false">IF(W115&lt;=0,0,IF(W115=1,X115-Y115,MIN((X115-Y115)*(Inputs!$C$61/12)/(1-(1+Inputs!$C$61/12)^(-W115))-Z115,X115-Y115)))</f>
        <v>0</v>
      </c>
      <c r="AB115" s="0" t="n">
        <f aca="false">(X115-Y115-AA115)*Inputs!$B$10</f>
        <v>0</v>
      </c>
      <c r="AC115" s="0" t="n">
        <f aca="false">X115-Y115-AA115-AB115</f>
        <v>0</v>
      </c>
      <c r="AD115" s="0" t="n">
        <f aca="false">Inputs!$D$62-(A115-1)</f>
        <v>-49</v>
      </c>
      <c r="AE115" s="0" t="n">
        <f aca="false">IF(AD115&lt;=0,0,IF(A115=1,Inputs!$B$62,AJ114))</f>
        <v>0</v>
      </c>
      <c r="AF115" s="0" t="n">
        <f aca="false">AE115*Inputs!$B$9</f>
        <v>0</v>
      </c>
      <c r="AG115" s="0" t="n">
        <f aca="false">(AE115-AF115)*Inputs!$C$62/12</f>
        <v>0</v>
      </c>
      <c r="AH115" s="0" t="n">
        <f aca="false">IF(AD115&lt;=0,0,IF(AD115=1,AE115-AF115,MIN((AE115-AF115)*(Inputs!$C$62/12)/(1-(1+Inputs!$C$62/12)^(-AD115))-AG115,AE115-AF115)))</f>
        <v>0</v>
      </c>
      <c r="AI115" s="0" t="n">
        <f aca="false">(AE115-AF115-AH115)*Inputs!$B$10</f>
        <v>0</v>
      </c>
      <c r="AJ115" s="0" t="n">
        <f aca="false">AE115-AF115-AH115-AI115</f>
        <v>0</v>
      </c>
      <c r="AK115" s="0" t="n">
        <f aca="false">Inputs!$D$63-(A115-1)</f>
        <v>-49</v>
      </c>
      <c r="AL115" s="0" t="n">
        <f aca="false">IF(AK115&lt;=0,0,IF(A115=1,Inputs!$B$63,AQ114))</f>
        <v>0</v>
      </c>
      <c r="AM115" s="0" t="n">
        <f aca="false">AL115*Inputs!$B$9</f>
        <v>0</v>
      </c>
      <c r="AN115" s="0" t="n">
        <f aca="false">(AL115-AM115)*Inputs!$C$63/12</f>
        <v>0</v>
      </c>
      <c r="AO115" s="0" t="n">
        <f aca="false">IF(AK115&lt;=0,0,IF(AK115=1,AL115-AM115,MIN((AL115-AM115)*(Inputs!$C$63/12)/(1-(1+Inputs!$C$63/12)^(-AK115))-AN115,AL115-AM115)))</f>
        <v>0</v>
      </c>
      <c r="AP115" s="0" t="n">
        <f aca="false">(AL115-AM115-AO115)*Inputs!$B$10</f>
        <v>0</v>
      </c>
      <c r="AQ115" s="0" t="n">
        <f aca="false">AL115-AM115-AO115-AP115</f>
        <v>0</v>
      </c>
      <c r="AR115" s="0" t="n">
        <f aca="false">Inputs!$D$64-(A115-1)</f>
        <v>-37</v>
      </c>
      <c r="AS115" s="0" t="n">
        <f aca="false">IF(AR115&lt;=0,0,IF(A115=1,Inputs!$B$64,AX114))</f>
        <v>0</v>
      </c>
      <c r="AT115" s="0" t="n">
        <f aca="false">AS115*Inputs!$B$9</f>
        <v>0</v>
      </c>
      <c r="AU115" s="0" t="n">
        <f aca="false">(AS115-AT115)*Inputs!$C$64/12</f>
        <v>0</v>
      </c>
      <c r="AV115" s="0" t="n">
        <f aca="false">IF(AR115&lt;=0,0,IF(AR115=1,AS115-AT115,MIN((AS115-AT115)*(Inputs!$C$64/12)/(1-(1+Inputs!$C$64/12)^(-AR115))-AU115,AS115-AT115)))</f>
        <v>0</v>
      </c>
      <c r="AW115" s="0" t="n">
        <f aca="false">(AS115-AT115-AV115)*Inputs!$B$10</f>
        <v>0</v>
      </c>
      <c r="AX115" s="0" t="n">
        <f aca="false">AS115-AT115-AV115-AW115</f>
        <v>0</v>
      </c>
      <c r="AY115" s="0" t="n">
        <f aca="false">Inputs!$D$65-(A115-1)</f>
        <v>-37</v>
      </c>
      <c r="AZ115" s="0" t="n">
        <f aca="false">IF(AY115&lt;=0,0,IF(A115=1,Inputs!$B$65,BE114))</f>
        <v>0</v>
      </c>
      <c r="BA115" s="0" t="n">
        <f aca="false">AZ115*Inputs!$B$9</f>
        <v>0</v>
      </c>
      <c r="BB115" s="0" t="n">
        <f aca="false">(AZ115-BA115)*Inputs!$C$65/12</f>
        <v>0</v>
      </c>
      <c r="BC115" s="0" t="n">
        <f aca="false">IF(AY115&lt;=0,0,IF(AY115=1,AZ115-BA115,MIN((AZ115-BA115)*(Inputs!$C$65/12)/(1-(1+Inputs!$C$65/12)^(-AY115))-BB115,AZ115-BA115)))</f>
        <v>0</v>
      </c>
      <c r="BD115" s="0" t="n">
        <f aca="false">(AZ115-BA115-BC115)*Inputs!$B$10</f>
        <v>0</v>
      </c>
      <c r="BE115" s="0" t="n">
        <f aca="false">AZ115-BA115-BC115-BD115</f>
        <v>0</v>
      </c>
      <c r="BF115" s="0" t="n">
        <f aca="false">Inputs!$D$66-(A115-1)</f>
        <v>-25</v>
      </c>
      <c r="BG115" s="0" t="n">
        <f aca="false">IF(BF115&lt;=0,0,IF(A115=1,Inputs!$B$66,BL114))</f>
        <v>0</v>
      </c>
      <c r="BH115" s="0" t="n">
        <f aca="false">BG115*Inputs!$B$9</f>
        <v>0</v>
      </c>
      <c r="BI115" s="0" t="n">
        <f aca="false">(BG115-BH115)*Inputs!$C$66/12</f>
        <v>0</v>
      </c>
      <c r="BJ115" s="0" t="n">
        <f aca="false">IF(BF115&lt;=0,0,IF(BF115=1,BG115-BH115,MIN((BG115-BH115)*(Inputs!$C$66/12)/(1-(1+Inputs!$C$66/12)^(-BF115))-BI115,BG115-BH115)))</f>
        <v>0</v>
      </c>
      <c r="BK115" s="0" t="n">
        <f aca="false">(BG115-BH115-BJ115)*Inputs!$B$10</f>
        <v>0</v>
      </c>
      <c r="BL115" s="0" t="n">
        <f aca="false">BG115-BH115-BJ115-BK115</f>
        <v>0</v>
      </c>
      <c r="BM115" s="0" t="n">
        <f aca="false">Inputs!$D$67-(A115-1)</f>
        <v>-25</v>
      </c>
      <c r="BN115" s="0" t="n">
        <f aca="false">IF(BM115&lt;=0,0,IF(A115=1,Inputs!$B$67,BS114))</f>
        <v>0</v>
      </c>
      <c r="BO115" s="0" t="n">
        <f aca="false">BN115*Inputs!$B$9</f>
        <v>0</v>
      </c>
      <c r="BP115" s="0" t="n">
        <f aca="false">(BN115-BO115)*Inputs!$C$67/12</f>
        <v>0</v>
      </c>
      <c r="BQ115" s="0" t="n">
        <f aca="false">IF(BM115&lt;=0,0,IF(BM115=1,BN115-BO115,MIN((BN115-BO115)*(Inputs!$C$67/12)/(1-(1+Inputs!$C$67/12)^(-BM115))-BP115,BN115-BO115)))</f>
        <v>0</v>
      </c>
      <c r="BR115" s="0" t="n">
        <f aca="false">(BN115-BO115-BQ115)*Inputs!$B$10</f>
        <v>0</v>
      </c>
      <c r="BS115" s="0" t="n">
        <f aca="false">BN115-BO115-BQ115-BR115</f>
        <v>0</v>
      </c>
      <c r="BT115" s="0" t="n">
        <f aca="false">C115+J115+Q115+X115+AE115+AL115+AS115+AZ115+BG115+BN115</f>
        <v>0</v>
      </c>
      <c r="BU115" s="0" t="n">
        <f aca="false">D115+K115+R115+Y115+AF115+AM115+AT115+BA115+BH115+BO115</f>
        <v>0</v>
      </c>
      <c r="BV115" s="0" t="n">
        <f aca="false">E115+L115+S115+Z115+AG115+AN115+AU115+BB115+BI115+BP115</f>
        <v>0</v>
      </c>
      <c r="BW115" s="0" t="n">
        <f aca="false">F115+M115+T115+AA115+AH115+AO115+AV115+BC115+BJ115+BQ115</f>
        <v>0</v>
      </c>
      <c r="BX115" s="0" t="n">
        <f aca="false">G115+N115+U115+AB115+AI115+AP115+AW115+BD115+BK115+BR115</f>
        <v>0</v>
      </c>
      <c r="BY115" s="0" t="n">
        <f aca="false">H115+O115+V115+AC115+AJ115+AQ115+AX115+BE115+BL115+BS115</f>
        <v>0</v>
      </c>
      <c r="BZ115" s="0" t="n">
        <f aca="false">IF(A115&gt;Inputs!$B$7,(1-Inputs!$B$6)*INDEX($BU$6:$BU$125,A115-Inputs!$B$7),0)</f>
        <v>0</v>
      </c>
      <c r="CA115" s="0" t="n">
        <f aca="false">CA114+(1-Inputs!$B$6)*BU115-BZ115</f>
        <v>-1.06979314296041E-010</v>
      </c>
      <c r="CB115" s="0" t="n">
        <f aca="false">BY115+CA115</f>
        <v>-1.06979314296041E-010</v>
      </c>
      <c r="CC115" s="0" t="n">
        <f aca="false">BV115+BW115+BX115+BZ115</f>
        <v>0</v>
      </c>
      <c r="CD115" s="0" t="n">
        <f aca="false">CD114+BU115-BZ115</f>
        <v>10913893.1228094</v>
      </c>
    </row>
    <row r="116" customFormat="false" ht="15" hidden="false" customHeight="false" outlineLevel="0" collapsed="false">
      <c r="A116" s="0" t="n">
        <f aca="false">ROW()-5</f>
        <v>111</v>
      </c>
      <c r="B116" s="0" t="n">
        <f aca="false">Inputs!$D$58-(A116-1)</f>
        <v>-74</v>
      </c>
      <c r="C116" s="0" t="n">
        <f aca="false">IF(B116&lt;=0,0,IF(A116=1,Inputs!$B$58,H115))</f>
        <v>0</v>
      </c>
      <c r="D116" s="0" t="n">
        <f aca="false">C116*Inputs!$B$9</f>
        <v>0</v>
      </c>
      <c r="E116" s="0" t="n">
        <f aca="false">(C116-D116)*Inputs!$C$58/12</f>
        <v>0</v>
      </c>
      <c r="F116" s="0" t="n">
        <f aca="false">IF(B116&lt;=0,0,IF(B116=1,C116-D116,MIN((C116-D116)*(Inputs!$C$58/12)/(1-(1+Inputs!$C$58/12)^(-B116))-E116,C116-D116)))</f>
        <v>0</v>
      </c>
      <c r="G116" s="0" t="n">
        <f aca="false">(C116-D116-F116)*Inputs!$B$10</f>
        <v>0</v>
      </c>
      <c r="H116" s="0" t="n">
        <f aca="false">C116-D116-F116-G116</f>
        <v>0</v>
      </c>
      <c r="I116" s="0" t="n">
        <f aca="false">Inputs!$D$59-(A116-1)</f>
        <v>-62</v>
      </c>
      <c r="J116" s="0" t="n">
        <f aca="false">IF(I116&lt;=0,0,IF(A116=1,Inputs!$B$59,O115))</f>
        <v>0</v>
      </c>
      <c r="K116" s="0" t="n">
        <f aca="false">J116*Inputs!$B$9</f>
        <v>0</v>
      </c>
      <c r="L116" s="0" t="n">
        <f aca="false">(J116-K116)*Inputs!$C$59/12</f>
        <v>0</v>
      </c>
      <c r="M116" s="0" t="n">
        <f aca="false">IF(I116&lt;=0,0,IF(I116=1,J116-K116,MIN((J116-K116)*(Inputs!$C$59/12)/(1-(1+Inputs!$C$59/12)^(-I116))-L116,J116-K116)))</f>
        <v>0</v>
      </c>
      <c r="N116" s="0" t="n">
        <f aca="false">(J116-K116-M116)*Inputs!$B$10</f>
        <v>0</v>
      </c>
      <c r="O116" s="0" t="n">
        <f aca="false">J116-K116-M116-N116</f>
        <v>0</v>
      </c>
      <c r="P116" s="0" t="n">
        <f aca="false">Inputs!$D$60-(A116-1)</f>
        <v>-62</v>
      </c>
      <c r="Q116" s="0" t="n">
        <f aca="false">IF(P116&lt;=0,0,IF(A116=1,Inputs!$B$60,V115))</f>
        <v>0</v>
      </c>
      <c r="R116" s="0" t="n">
        <f aca="false">Q116*Inputs!$B$9</f>
        <v>0</v>
      </c>
      <c r="S116" s="0" t="n">
        <f aca="false">(Q116-R116)*Inputs!$C$60/12</f>
        <v>0</v>
      </c>
      <c r="T116" s="0" t="n">
        <f aca="false">IF(P116&lt;=0,0,IF(P116=1,Q116-R116,MIN((Q116-R116)*(Inputs!$C$60/12)/(1-(1+Inputs!$C$60/12)^(-P116))-S116,Q116-R116)))</f>
        <v>0</v>
      </c>
      <c r="U116" s="0" t="n">
        <f aca="false">(Q116-R116-T116)*Inputs!$B$10</f>
        <v>0</v>
      </c>
      <c r="V116" s="0" t="n">
        <f aca="false">Q116-R116-T116-U116</f>
        <v>0</v>
      </c>
      <c r="W116" s="0" t="n">
        <f aca="false">Inputs!$D$61-(A116-1)</f>
        <v>-50</v>
      </c>
      <c r="X116" s="0" t="n">
        <f aca="false">IF(W116&lt;=0,0,IF(A116=1,Inputs!$B$61,AC115))</f>
        <v>0</v>
      </c>
      <c r="Y116" s="0" t="n">
        <f aca="false">X116*Inputs!$B$9</f>
        <v>0</v>
      </c>
      <c r="Z116" s="0" t="n">
        <f aca="false">(X116-Y116)*Inputs!$C$61/12</f>
        <v>0</v>
      </c>
      <c r="AA116" s="0" t="n">
        <f aca="false">IF(W116&lt;=0,0,IF(W116=1,X116-Y116,MIN((X116-Y116)*(Inputs!$C$61/12)/(1-(1+Inputs!$C$61/12)^(-W116))-Z116,X116-Y116)))</f>
        <v>0</v>
      </c>
      <c r="AB116" s="0" t="n">
        <f aca="false">(X116-Y116-AA116)*Inputs!$B$10</f>
        <v>0</v>
      </c>
      <c r="AC116" s="0" t="n">
        <f aca="false">X116-Y116-AA116-AB116</f>
        <v>0</v>
      </c>
      <c r="AD116" s="0" t="n">
        <f aca="false">Inputs!$D$62-(A116-1)</f>
        <v>-50</v>
      </c>
      <c r="AE116" s="0" t="n">
        <f aca="false">IF(AD116&lt;=0,0,IF(A116=1,Inputs!$B$62,AJ115))</f>
        <v>0</v>
      </c>
      <c r="AF116" s="0" t="n">
        <f aca="false">AE116*Inputs!$B$9</f>
        <v>0</v>
      </c>
      <c r="AG116" s="0" t="n">
        <f aca="false">(AE116-AF116)*Inputs!$C$62/12</f>
        <v>0</v>
      </c>
      <c r="AH116" s="0" t="n">
        <f aca="false">IF(AD116&lt;=0,0,IF(AD116=1,AE116-AF116,MIN((AE116-AF116)*(Inputs!$C$62/12)/(1-(1+Inputs!$C$62/12)^(-AD116))-AG116,AE116-AF116)))</f>
        <v>0</v>
      </c>
      <c r="AI116" s="0" t="n">
        <f aca="false">(AE116-AF116-AH116)*Inputs!$B$10</f>
        <v>0</v>
      </c>
      <c r="AJ116" s="0" t="n">
        <f aca="false">AE116-AF116-AH116-AI116</f>
        <v>0</v>
      </c>
      <c r="AK116" s="0" t="n">
        <f aca="false">Inputs!$D$63-(A116-1)</f>
        <v>-50</v>
      </c>
      <c r="AL116" s="0" t="n">
        <f aca="false">IF(AK116&lt;=0,0,IF(A116=1,Inputs!$B$63,AQ115))</f>
        <v>0</v>
      </c>
      <c r="AM116" s="0" t="n">
        <f aca="false">AL116*Inputs!$B$9</f>
        <v>0</v>
      </c>
      <c r="AN116" s="0" t="n">
        <f aca="false">(AL116-AM116)*Inputs!$C$63/12</f>
        <v>0</v>
      </c>
      <c r="AO116" s="0" t="n">
        <f aca="false">IF(AK116&lt;=0,0,IF(AK116=1,AL116-AM116,MIN((AL116-AM116)*(Inputs!$C$63/12)/(1-(1+Inputs!$C$63/12)^(-AK116))-AN116,AL116-AM116)))</f>
        <v>0</v>
      </c>
      <c r="AP116" s="0" t="n">
        <f aca="false">(AL116-AM116-AO116)*Inputs!$B$10</f>
        <v>0</v>
      </c>
      <c r="AQ116" s="0" t="n">
        <f aca="false">AL116-AM116-AO116-AP116</f>
        <v>0</v>
      </c>
      <c r="AR116" s="0" t="n">
        <f aca="false">Inputs!$D$64-(A116-1)</f>
        <v>-38</v>
      </c>
      <c r="AS116" s="0" t="n">
        <f aca="false">IF(AR116&lt;=0,0,IF(A116=1,Inputs!$B$64,AX115))</f>
        <v>0</v>
      </c>
      <c r="AT116" s="0" t="n">
        <f aca="false">AS116*Inputs!$B$9</f>
        <v>0</v>
      </c>
      <c r="AU116" s="0" t="n">
        <f aca="false">(AS116-AT116)*Inputs!$C$64/12</f>
        <v>0</v>
      </c>
      <c r="AV116" s="0" t="n">
        <f aca="false">IF(AR116&lt;=0,0,IF(AR116=1,AS116-AT116,MIN((AS116-AT116)*(Inputs!$C$64/12)/(1-(1+Inputs!$C$64/12)^(-AR116))-AU116,AS116-AT116)))</f>
        <v>0</v>
      </c>
      <c r="AW116" s="0" t="n">
        <f aca="false">(AS116-AT116-AV116)*Inputs!$B$10</f>
        <v>0</v>
      </c>
      <c r="AX116" s="0" t="n">
        <f aca="false">AS116-AT116-AV116-AW116</f>
        <v>0</v>
      </c>
      <c r="AY116" s="0" t="n">
        <f aca="false">Inputs!$D$65-(A116-1)</f>
        <v>-38</v>
      </c>
      <c r="AZ116" s="0" t="n">
        <f aca="false">IF(AY116&lt;=0,0,IF(A116=1,Inputs!$B$65,BE115))</f>
        <v>0</v>
      </c>
      <c r="BA116" s="0" t="n">
        <f aca="false">AZ116*Inputs!$B$9</f>
        <v>0</v>
      </c>
      <c r="BB116" s="0" t="n">
        <f aca="false">(AZ116-BA116)*Inputs!$C$65/12</f>
        <v>0</v>
      </c>
      <c r="BC116" s="0" t="n">
        <f aca="false">IF(AY116&lt;=0,0,IF(AY116=1,AZ116-BA116,MIN((AZ116-BA116)*(Inputs!$C$65/12)/(1-(1+Inputs!$C$65/12)^(-AY116))-BB116,AZ116-BA116)))</f>
        <v>0</v>
      </c>
      <c r="BD116" s="0" t="n">
        <f aca="false">(AZ116-BA116-BC116)*Inputs!$B$10</f>
        <v>0</v>
      </c>
      <c r="BE116" s="0" t="n">
        <f aca="false">AZ116-BA116-BC116-BD116</f>
        <v>0</v>
      </c>
      <c r="BF116" s="0" t="n">
        <f aca="false">Inputs!$D$66-(A116-1)</f>
        <v>-26</v>
      </c>
      <c r="BG116" s="0" t="n">
        <f aca="false">IF(BF116&lt;=0,0,IF(A116=1,Inputs!$B$66,BL115))</f>
        <v>0</v>
      </c>
      <c r="BH116" s="0" t="n">
        <f aca="false">BG116*Inputs!$B$9</f>
        <v>0</v>
      </c>
      <c r="BI116" s="0" t="n">
        <f aca="false">(BG116-BH116)*Inputs!$C$66/12</f>
        <v>0</v>
      </c>
      <c r="BJ116" s="0" t="n">
        <f aca="false">IF(BF116&lt;=0,0,IF(BF116=1,BG116-BH116,MIN((BG116-BH116)*(Inputs!$C$66/12)/(1-(1+Inputs!$C$66/12)^(-BF116))-BI116,BG116-BH116)))</f>
        <v>0</v>
      </c>
      <c r="BK116" s="0" t="n">
        <f aca="false">(BG116-BH116-BJ116)*Inputs!$B$10</f>
        <v>0</v>
      </c>
      <c r="BL116" s="0" t="n">
        <f aca="false">BG116-BH116-BJ116-BK116</f>
        <v>0</v>
      </c>
      <c r="BM116" s="0" t="n">
        <f aca="false">Inputs!$D$67-(A116-1)</f>
        <v>-26</v>
      </c>
      <c r="BN116" s="0" t="n">
        <f aca="false">IF(BM116&lt;=0,0,IF(A116=1,Inputs!$B$67,BS115))</f>
        <v>0</v>
      </c>
      <c r="BO116" s="0" t="n">
        <f aca="false">BN116*Inputs!$B$9</f>
        <v>0</v>
      </c>
      <c r="BP116" s="0" t="n">
        <f aca="false">(BN116-BO116)*Inputs!$C$67/12</f>
        <v>0</v>
      </c>
      <c r="BQ116" s="0" t="n">
        <f aca="false">IF(BM116&lt;=0,0,IF(BM116=1,BN116-BO116,MIN((BN116-BO116)*(Inputs!$C$67/12)/(1-(1+Inputs!$C$67/12)^(-BM116))-BP116,BN116-BO116)))</f>
        <v>0</v>
      </c>
      <c r="BR116" s="0" t="n">
        <f aca="false">(BN116-BO116-BQ116)*Inputs!$B$10</f>
        <v>0</v>
      </c>
      <c r="BS116" s="0" t="n">
        <f aca="false">BN116-BO116-BQ116-BR116</f>
        <v>0</v>
      </c>
      <c r="BT116" s="0" t="n">
        <f aca="false">C116+J116+Q116+X116+AE116+AL116+AS116+AZ116+BG116+BN116</f>
        <v>0</v>
      </c>
      <c r="BU116" s="0" t="n">
        <f aca="false">D116+K116+R116+Y116+AF116+AM116+AT116+BA116+BH116+BO116</f>
        <v>0</v>
      </c>
      <c r="BV116" s="0" t="n">
        <f aca="false">E116+L116+S116+Z116+AG116+AN116+AU116+BB116+BI116+BP116</f>
        <v>0</v>
      </c>
      <c r="BW116" s="0" t="n">
        <f aca="false">F116+M116+T116+AA116+AH116+AO116+AV116+BC116+BJ116+BQ116</f>
        <v>0</v>
      </c>
      <c r="BX116" s="0" t="n">
        <f aca="false">G116+N116+U116+AB116+AI116+AP116+AW116+BD116+BK116+BR116</f>
        <v>0</v>
      </c>
      <c r="BY116" s="0" t="n">
        <f aca="false">H116+O116+V116+AC116+AJ116+AQ116+AX116+BE116+BL116+BS116</f>
        <v>0</v>
      </c>
      <c r="BZ116" s="0" t="n">
        <f aca="false">IF(A116&gt;Inputs!$B$7,(1-Inputs!$B$6)*INDEX($BU$6:$BU$125,A116-Inputs!$B$7),0)</f>
        <v>0</v>
      </c>
      <c r="CA116" s="0" t="n">
        <f aca="false">CA115+(1-Inputs!$B$6)*BU116-BZ116</f>
        <v>-1.06979314296041E-010</v>
      </c>
      <c r="CB116" s="0" t="n">
        <f aca="false">BY116+CA116</f>
        <v>-1.06979314296041E-010</v>
      </c>
      <c r="CC116" s="0" t="n">
        <f aca="false">BV116+BW116+BX116+BZ116</f>
        <v>0</v>
      </c>
      <c r="CD116" s="0" t="n">
        <f aca="false">CD115+BU116-BZ116</f>
        <v>10913893.1228094</v>
      </c>
    </row>
    <row r="117" customFormat="false" ht="15" hidden="false" customHeight="false" outlineLevel="0" collapsed="false">
      <c r="A117" s="0" t="n">
        <f aca="false">ROW()-5</f>
        <v>112</v>
      </c>
      <c r="B117" s="0" t="n">
        <f aca="false">Inputs!$D$58-(A117-1)</f>
        <v>-75</v>
      </c>
      <c r="C117" s="0" t="n">
        <f aca="false">IF(B117&lt;=0,0,IF(A117=1,Inputs!$B$58,H116))</f>
        <v>0</v>
      </c>
      <c r="D117" s="0" t="n">
        <f aca="false">C117*Inputs!$B$9</f>
        <v>0</v>
      </c>
      <c r="E117" s="0" t="n">
        <f aca="false">(C117-D117)*Inputs!$C$58/12</f>
        <v>0</v>
      </c>
      <c r="F117" s="0" t="n">
        <f aca="false">IF(B117&lt;=0,0,IF(B117=1,C117-D117,MIN((C117-D117)*(Inputs!$C$58/12)/(1-(1+Inputs!$C$58/12)^(-B117))-E117,C117-D117)))</f>
        <v>0</v>
      </c>
      <c r="G117" s="0" t="n">
        <f aca="false">(C117-D117-F117)*Inputs!$B$10</f>
        <v>0</v>
      </c>
      <c r="H117" s="0" t="n">
        <f aca="false">C117-D117-F117-G117</f>
        <v>0</v>
      </c>
      <c r="I117" s="0" t="n">
        <f aca="false">Inputs!$D$59-(A117-1)</f>
        <v>-63</v>
      </c>
      <c r="J117" s="0" t="n">
        <f aca="false">IF(I117&lt;=0,0,IF(A117=1,Inputs!$B$59,O116))</f>
        <v>0</v>
      </c>
      <c r="K117" s="0" t="n">
        <f aca="false">J117*Inputs!$B$9</f>
        <v>0</v>
      </c>
      <c r="L117" s="0" t="n">
        <f aca="false">(J117-K117)*Inputs!$C$59/12</f>
        <v>0</v>
      </c>
      <c r="M117" s="0" t="n">
        <f aca="false">IF(I117&lt;=0,0,IF(I117=1,J117-K117,MIN((J117-K117)*(Inputs!$C$59/12)/(1-(1+Inputs!$C$59/12)^(-I117))-L117,J117-K117)))</f>
        <v>0</v>
      </c>
      <c r="N117" s="0" t="n">
        <f aca="false">(J117-K117-M117)*Inputs!$B$10</f>
        <v>0</v>
      </c>
      <c r="O117" s="0" t="n">
        <f aca="false">J117-K117-M117-N117</f>
        <v>0</v>
      </c>
      <c r="P117" s="0" t="n">
        <f aca="false">Inputs!$D$60-(A117-1)</f>
        <v>-63</v>
      </c>
      <c r="Q117" s="0" t="n">
        <f aca="false">IF(P117&lt;=0,0,IF(A117=1,Inputs!$B$60,V116))</f>
        <v>0</v>
      </c>
      <c r="R117" s="0" t="n">
        <f aca="false">Q117*Inputs!$B$9</f>
        <v>0</v>
      </c>
      <c r="S117" s="0" t="n">
        <f aca="false">(Q117-R117)*Inputs!$C$60/12</f>
        <v>0</v>
      </c>
      <c r="T117" s="0" t="n">
        <f aca="false">IF(P117&lt;=0,0,IF(P117=1,Q117-R117,MIN((Q117-R117)*(Inputs!$C$60/12)/(1-(1+Inputs!$C$60/12)^(-P117))-S117,Q117-R117)))</f>
        <v>0</v>
      </c>
      <c r="U117" s="0" t="n">
        <f aca="false">(Q117-R117-T117)*Inputs!$B$10</f>
        <v>0</v>
      </c>
      <c r="V117" s="0" t="n">
        <f aca="false">Q117-R117-T117-U117</f>
        <v>0</v>
      </c>
      <c r="W117" s="0" t="n">
        <f aca="false">Inputs!$D$61-(A117-1)</f>
        <v>-51</v>
      </c>
      <c r="X117" s="0" t="n">
        <f aca="false">IF(W117&lt;=0,0,IF(A117=1,Inputs!$B$61,AC116))</f>
        <v>0</v>
      </c>
      <c r="Y117" s="0" t="n">
        <f aca="false">X117*Inputs!$B$9</f>
        <v>0</v>
      </c>
      <c r="Z117" s="0" t="n">
        <f aca="false">(X117-Y117)*Inputs!$C$61/12</f>
        <v>0</v>
      </c>
      <c r="AA117" s="0" t="n">
        <f aca="false">IF(W117&lt;=0,0,IF(W117=1,X117-Y117,MIN((X117-Y117)*(Inputs!$C$61/12)/(1-(1+Inputs!$C$61/12)^(-W117))-Z117,X117-Y117)))</f>
        <v>0</v>
      </c>
      <c r="AB117" s="0" t="n">
        <f aca="false">(X117-Y117-AA117)*Inputs!$B$10</f>
        <v>0</v>
      </c>
      <c r="AC117" s="0" t="n">
        <f aca="false">X117-Y117-AA117-AB117</f>
        <v>0</v>
      </c>
      <c r="AD117" s="0" t="n">
        <f aca="false">Inputs!$D$62-(A117-1)</f>
        <v>-51</v>
      </c>
      <c r="AE117" s="0" t="n">
        <f aca="false">IF(AD117&lt;=0,0,IF(A117=1,Inputs!$B$62,AJ116))</f>
        <v>0</v>
      </c>
      <c r="AF117" s="0" t="n">
        <f aca="false">AE117*Inputs!$B$9</f>
        <v>0</v>
      </c>
      <c r="AG117" s="0" t="n">
        <f aca="false">(AE117-AF117)*Inputs!$C$62/12</f>
        <v>0</v>
      </c>
      <c r="AH117" s="0" t="n">
        <f aca="false">IF(AD117&lt;=0,0,IF(AD117=1,AE117-AF117,MIN((AE117-AF117)*(Inputs!$C$62/12)/(1-(1+Inputs!$C$62/12)^(-AD117))-AG117,AE117-AF117)))</f>
        <v>0</v>
      </c>
      <c r="AI117" s="0" t="n">
        <f aca="false">(AE117-AF117-AH117)*Inputs!$B$10</f>
        <v>0</v>
      </c>
      <c r="AJ117" s="0" t="n">
        <f aca="false">AE117-AF117-AH117-AI117</f>
        <v>0</v>
      </c>
      <c r="AK117" s="0" t="n">
        <f aca="false">Inputs!$D$63-(A117-1)</f>
        <v>-51</v>
      </c>
      <c r="AL117" s="0" t="n">
        <f aca="false">IF(AK117&lt;=0,0,IF(A117=1,Inputs!$B$63,AQ116))</f>
        <v>0</v>
      </c>
      <c r="AM117" s="0" t="n">
        <f aca="false">AL117*Inputs!$B$9</f>
        <v>0</v>
      </c>
      <c r="AN117" s="0" t="n">
        <f aca="false">(AL117-AM117)*Inputs!$C$63/12</f>
        <v>0</v>
      </c>
      <c r="AO117" s="0" t="n">
        <f aca="false">IF(AK117&lt;=0,0,IF(AK117=1,AL117-AM117,MIN((AL117-AM117)*(Inputs!$C$63/12)/(1-(1+Inputs!$C$63/12)^(-AK117))-AN117,AL117-AM117)))</f>
        <v>0</v>
      </c>
      <c r="AP117" s="0" t="n">
        <f aca="false">(AL117-AM117-AO117)*Inputs!$B$10</f>
        <v>0</v>
      </c>
      <c r="AQ117" s="0" t="n">
        <f aca="false">AL117-AM117-AO117-AP117</f>
        <v>0</v>
      </c>
      <c r="AR117" s="0" t="n">
        <f aca="false">Inputs!$D$64-(A117-1)</f>
        <v>-39</v>
      </c>
      <c r="AS117" s="0" t="n">
        <f aca="false">IF(AR117&lt;=0,0,IF(A117=1,Inputs!$B$64,AX116))</f>
        <v>0</v>
      </c>
      <c r="AT117" s="0" t="n">
        <f aca="false">AS117*Inputs!$B$9</f>
        <v>0</v>
      </c>
      <c r="AU117" s="0" t="n">
        <f aca="false">(AS117-AT117)*Inputs!$C$64/12</f>
        <v>0</v>
      </c>
      <c r="AV117" s="0" t="n">
        <f aca="false">IF(AR117&lt;=0,0,IF(AR117=1,AS117-AT117,MIN((AS117-AT117)*(Inputs!$C$64/12)/(1-(1+Inputs!$C$64/12)^(-AR117))-AU117,AS117-AT117)))</f>
        <v>0</v>
      </c>
      <c r="AW117" s="0" t="n">
        <f aca="false">(AS117-AT117-AV117)*Inputs!$B$10</f>
        <v>0</v>
      </c>
      <c r="AX117" s="0" t="n">
        <f aca="false">AS117-AT117-AV117-AW117</f>
        <v>0</v>
      </c>
      <c r="AY117" s="0" t="n">
        <f aca="false">Inputs!$D$65-(A117-1)</f>
        <v>-39</v>
      </c>
      <c r="AZ117" s="0" t="n">
        <f aca="false">IF(AY117&lt;=0,0,IF(A117=1,Inputs!$B$65,BE116))</f>
        <v>0</v>
      </c>
      <c r="BA117" s="0" t="n">
        <f aca="false">AZ117*Inputs!$B$9</f>
        <v>0</v>
      </c>
      <c r="BB117" s="0" t="n">
        <f aca="false">(AZ117-BA117)*Inputs!$C$65/12</f>
        <v>0</v>
      </c>
      <c r="BC117" s="0" t="n">
        <f aca="false">IF(AY117&lt;=0,0,IF(AY117=1,AZ117-BA117,MIN((AZ117-BA117)*(Inputs!$C$65/12)/(1-(1+Inputs!$C$65/12)^(-AY117))-BB117,AZ117-BA117)))</f>
        <v>0</v>
      </c>
      <c r="BD117" s="0" t="n">
        <f aca="false">(AZ117-BA117-BC117)*Inputs!$B$10</f>
        <v>0</v>
      </c>
      <c r="BE117" s="0" t="n">
        <f aca="false">AZ117-BA117-BC117-BD117</f>
        <v>0</v>
      </c>
      <c r="BF117" s="0" t="n">
        <f aca="false">Inputs!$D$66-(A117-1)</f>
        <v>-27</v>
      </c>
      <c r="BG117" s="0" t="n">
        <f aca="false">IF(BF117&lt;=0,0,IF(A117=1,Inputs!$B$66,BL116))</f>
        <v>0</v>
      </c>
      <c r="BH117" s="0" t="n">
        <f aca="false">BG117*Inputs!$B$9</f>
        <v>0</v>
      </c>
      <c r="BI117" s="0" t="n">
        <f aca="false">(BG117-BH117)*Inputs!$C$66/12</f>
        <v>0</v>
      </c>
      <c r="BJ117" s="0" t="n">
        <f aca="false">IF(BF117&lt;=0,0,IF(BF117=1,BG117-BH117,MIN((BG117-BH117)*(Inputs!$C$66/12)/(1-(1+Inputs!$C$66/12)^(-BF117))-BI117,BG117-BH117)))</f>
        <v>0</v>
      </c>
      <c r="BK117" s="0" t="n">
        <f aca="false">(BG117-BH117-BJ117)*Inputs!$B$10</f>
        <v>0</v>
      </c>
      <c r="BL117" s="0" t="n">
        <f aca="false">BG117-BH117-BJ117-BK117</f>
        <v>0</v>
      </c>
      <c r="BM117" s="0" t="n">
        <f aca="false">Inputs!$D$67-(A117-1)</f>
        <v>-27</v>
      </c>
      <c r="BN117" s="0" t="n">
        <f aca="false">IF(BM117&lt;=0,0,IF(A117=1,Inputs!$B$67,BS116))</f>
        <v>0</v>
      </c>
      <c r="BO117" s="0" t="n">
        <f aca="false">BN117*Inputs!$B$9</f>
        <v>0</v>
      </c>
      <c r="BP117" s="0" t="n">
        <f aca="false">(BN117-BO117)*Inputs!$C$67/12</f>
        <v>0</v>
      </c>
      <c r="BQ117" s="0" t="n">
        <f aca="false">IF(BM117&lt;=0,0,IF(BM117=1,BN117-BO117,MIN((BN117-BO117)*(Inputs!$C$67/12)/(1-(1+Inputs!$C$67/12)^(-BM117))-BP117,BN117-BO117)))</f>
        <v>0</v>
      </c>
      <c r="BR117" s="0" t="n">
        <f aca="false">(BN117-BO117-BQ117)*Inputs!$B$10</f>
        <v>0</v>
      </c>
      <c r="BS117" s="0" t="n">
        <f aca="false">BN117-BO117-BQ117-BR117</f>
        <v>0</v>
      </c>
      <c r="BT117" s="0" t="n">
        <f aca="false">C117+J117+Q117+X117+AE117+AL117+AS117+AZ117+BG117+BN117</f>
        <v>0</v>
      </c>
      <c r="BU117" s="0" t="n">
        <f aca="false">D117+K117+R117+Y117+AF117+AM117+AT117+BA117+BH117+BO117</f>
        <v>0</v>
      </c>
      <c r="BV117" s="0" t="n">
        <f aca="false">E117+L117+S117+Z117+AG117+AN117+AU117+BB117+BI117+BP117</f>
        <v>0</v>
      </c>
      <c r="BW117" s="0" t="n">
        <f aca="false">F117+M117+T117+AA117+AH117+AO117+AV117+BC117+BJ117+BQ117</f>
        <v>0</v>
      </c>
      <c r="BX117" s="0" t="n">
        <f aca="false">G117+N117+U117+AB117+AI117+AP117+AW117+BD117+BK117+BR117</f>
        <v>0</v>
      </c>
      <c r="BY117" s="0" t="n">
        <f aca="false">H117+O117+V117+AC117+AJ117+AQ117+AX117+BE117+BL117+BS117</f>
        <v>0</v>
      </c>
      <c r="BZ117" s="0" t="n">
        <f aca="false">IF(A117&gt;Inputs!$B$7,(1-Inputs!$B$6)*INDEX($BU$6:$BU$125,A117-Inputs!$B$7),0)</f>
        <v>0</v>
      </c>
      <c r="CA117" s="0" t="n">
        <f aca="false">CA116+(1-Inputs!$B$6)*BU117-BZ117</f>
        <v>-1.06979314296041E-010</v>
      </c>
      <c r="CB117" s="0" t="n">
        <f aca="false">BY117+CA117</f>
        <v>-1.06979314296041E-010</v>
      </c>
      <c r="CC117" s="0" t="n">
        <f aca="false">BV117+BW117+BX117+BZ117</f>
        <v>0</v>
      </c>
      <c r="CD117" s="0" t="n">
        <f aca="false">CD116+BU117-BZ117</f>
        <v>10913893.1228094</v>
      </c>
    </row>
    <row r="118" customFormat="false" ht="15" hidden="false" customHeight="false" outlineLevel="0" collapsed="false">
      <c r="A118" s="0" t="n">
        <f aca="false">ROW()-5</f>
        <v>113</v>
      </c>
      <c r="B118" s="0" t="n">
        <f aca="false">Inputs!$D$58-(A118-1)</f>
        <v>-76</v>
      </c>
      <c r="C118" s="0" t="n">
        <f aca="false">IF(B118&lt;=0,0,IF(A118=1,Inputs!$B$58,H117))</f>
        <v>0</v>
      </c>
      <c r="D118" s="0" t="n">
        <f aca="false">C118*Inputs!$B$9</f>
        <v>0</v>
      </c>
      <c r="E118" s="0" t="n">
        <f aca="false">(C118-D118)*Inputs!$C$58/12</f>
        <v>0</v>
      </c>
      <c r="F118" s="0" t="n">
        <f aca="false">IF(B118&lt;=0,0,IF(B118=1,C118-D118,MIN((C118-D118)*(Inputs!$C$58/12)/(1-(1+Inputs!$C$58/12)^(-B118))-E118,C118-D118)))</f>
        <v>0</v>
      </c>
      <c r="G118" s="0" t="n">
        <f aca="false">(C118-D118-F118)*Inputs!$B$10</f>
        <v>0</v>
      </c>
      <c r="H118" s="0" t="n">
        <f aca="false">C118-D118-F118-G118</f>
        <v>0</v>
      </c>
      <c r="I118" s="0" t="n">
        <f aca="false">Inputs!$D$59-(A118-1)</f>
        <v>-64</v>
      </c>
      <c r="J118" s="0" t="n">
        <f aca="false">IF(I118&lt;=0,0,IF(A118=1,Inputs!$B$59,O117))</f>
        <v>0</v>
      </c>
      <c r="K118" s="0" t="n">
        <f aca="false">J118*Inputs!$B$9</f>
        <v>0</v>
      </c>
      <c r="L118" s="0" t="n">
        <f aca="false">(J118-K118)*Inputs!$C$59/12</f>
        <v>0</v>
      </c>
      <c r="M118" s="0" t="n">
        <f aca="false">IF(I118&lt;=0,0,IF(I118=1,J118-K118,MIN((J118-K118)*(Inputs!$C$59/12)/(1-(1+Inputs!$C$59/12)^(-I118))-L118,J118-K118)))</f>
        <v>0</v>
      </c>
      <c r="N118" s="0" t="n">
        <f aca="false">(J118-K118-M118)*Inputs!$B$10</f>
        <v>0</v>
      </c>
      <c r="O118" s="0" t="n">
        <f aca="false">J118-K118-M118-N118</f>
        <v>0</v>
      </c>
      <c r="P118" s="0" t="n">
        <f aca="false">Inputs!$D$60-(A118-1)</f>
        <v>-64</v>
      </c>
      <c r="Q118" s="0" t="n">
        <f aca="false">IF(P118&lt;=0,0,IF(A118=1,Inputs!$B$60,V117))</f>
        <v>0</v>
      </c>
      <c r="R118" s="0" t="n">
        <f aca="false">Q118*Inputs!$B$9</f>
        <v>0</v>
      </c>
      <c r="S118" s="0" t="n">
        <f aca="false">(Q118-R118)*Inputs!$C$60/12</f>
        <v>0</v>
      </c>
      <c r="T118" s="0" t="n">
        <f aca="false">IF(P118&lt;=0,0,IF(P118=1,Q118-R118,MIN((Q118-R118)*(Inputs!$C$60/12)/(1-(1+Inputs!$C$60/12)^(-P118))-S118,Q118-R118)))</f>
        <v>0</v>
      </c>
      <c r="U118" s="0" t="n">
        <f aca="false">(Q118-R118-T118)*Inputs!$B$10</f>
        <v>0</v>
      </c>
      <c r="V118" s="0" t="n">
        <f aca="false">Q118-R118-T118-U118</f>
        <v>0</v>
      </c>
      <c r="W118" s="0" t="n">
        <f aca="false">Inputs!$D$61-(A118-1)</f>
        <v>-52</v>
      </c>
      <c r="X118" s="0" t="n">
        <f aca="false">IF(W118&lt;=0,0,IF(A118=1,Inputs!$B$61,AC117))</f>
        <v>0</v>
      </c>
      <c r="Y118" s="0" t="n">
        <f aca="false">X118*Inputs!$B$9</f>
        <v>0</v>
      </c>
      <c r="Z118" s="0" t="n">
        <f aca="false">(X118-Y118)*Inputs!$C$61/12</f>
        <v>0</v>
      </c>
      <c r="AA118" s="0" t="n">
        <f aca="false">IF(W118&lt;=0,0,IF(W118=1,X118-Y118,MIN((X118-Y118)*(Inputs!$C$61/12)/(1-(1+Inputs!$C$61/12)^(-W118))-Z118,X118-Y118)))</f>
        <v>0</v>
      </c>
      <c r="AB118" s="0" t="n">
        <f aca="false">(X118-Y118-AA118)*Inputs!$B$10</f>
        <v>0</v>
      </c>
      <c r="AC118" s="0" t="n">
        <f aca="false">X118-Y118-AA118-AB118</f>
        <v>0</v>
      </c>
      <c r="AD118" s="0" t="n">
        <f aca="false">Inputs!$D$62-(A118-1)</f>
        <v>-52</v>
      </c>
      <c r="AE118" s="0" t="n">
        <f aca="false">IF(AD118&lt;=0,0,IF(A118=1,Inputs!$B$62,AJ117))</f>
        <v>0</v>
      </c>
      <c r="AF118" s="0" t="n">
        <f aca="false">AE118*Inputs!$B$9</f>
        <v>0</v>
      </c>
      <c r="AG118" s="0" t="n">
        <f aca="false">(AE118-AF118)*Inputs!$C$62/12</f>
        <v>0</v>
      </c>
      <c r="AH118" s="0" t="n">
        <f aca="false">IF(AD118&lt;=0,0,IF(AD118=1,AE118-AF118,MIN((AE118-AF118)*(Inputs!$C$62/12)/(1-(1+Inputs!$C$62/12)^(-AD118))-AG118,AE118-AF118)))</f>
        <v>0</v>
      </c>
      <c r="AI118" s="0" t="n">
        <f aca="false">(AE118-AF118-AH118)*Inputs!$B$10</f>
        <v>0</v>
      </c>
      <c r="AJ118" s="0" t="n">
        <f aca="false">AE118-AF118-AH118-AI118</f>
        <v>0</v>
      </c>
      <c r="AK118" s="0" t="n">
        <f aca="false">Inputs!$D$63-(A118-1)</f>
        <v>-52</v>
      </c>
      <c r="AL118" s="0" t="n">
        <f aca="false">IF(AK118&lt;=0,0,IF(A118=1,Inputs!$B$63,AQ117))</f>
        <v>0</v>
      </c>
      <c r="AM118" s="0" t="n">
        <f aca="false">AL118*Inputs!$B$9</f>
        <v>0</v>
      </c>
      <c r="AN118" s="0" t="n">
        <f aca="false">(AL118-AM118)*Inputs!$C$63/12</f>
        <v>0</v>
      </c>
      <c r="AO118" s="0" t="n">
        <f aca="false">IF(AK118&lt;=0,0,IF(AK118=1,AL118-AM118,MIN((AL118-AM118)*(Inputs!$C$63/12)/(1-(1+Inputs!$C$63/12)^(-AK118))-AN118,AL118-AM118)))</f>
        <v>0</v>
      </c>
      <c r="AP118" s="0" t="n">
        <f aca="false">(AL118-AM118-AO118)*Inputs!$B$10</f>
        <v>0</v>
      </c>
      <c r="AQ118" s="0" t="n">
        <f aca="false">AL118-AM118-AO118-AP118</f>
        <v>0</v>
      </c>
      <c r="AR118" s="0" t="n">
        <f aca="false">Inputs!$D$64-(A118-1)</f>
        <v>-40</v>
      </c>
      <c r="AS118" s="0" t="n">
        <f aca="false">IF(AR118&lt;=0,0,IF(A118=1,Inputs!$B$64,AX117))</f>
        <v>0</v>
      </c>
      <c r="AT118" s="0" t="n">
        <f aca="false">AS118*Inputs!$B$9</f>
        <v>0</v>
      </c>
      <c r="AU118" s="0" t="n">
        <f aca="false">(AS118-AT118)*Inputs!$C$64/12</f>
        <v>0</v>
      </c>
      <c r="AV118" s="0" t="n">
        <f aca="false">IF(AR118&lt;=0,0,IF(AR118=1,AS118-AT118,MIN((AS118-AT118)*(Inputs!$C$64/12)/(1-(1+Inputs!$C$64/12)^(-AR118))-AU118,AS118-AT118)))</f>
        <v>0</v>
      </c>
      <c r="AW118" s="0" t="n">
        <f aca="false">(AS118-AT118-AV118)*Inputs!$B$10</f>
        <v>0</v>
      </c>
      <c r="AX118" s="0" t="n">
        <f aca="false">AS118-AT118-AV118-AW118</f>
        <v>0</v>
      </c>
      <c r="AY118" s="0" t="n">
        <f aca="false">Inputs!$D$65-(A118-1)</f>
        <v>-40</v>
      </c>
      <c r="AZ118" s="0" t="n">
        <f aca="false">IF(AY118&lt;=0,0,IF(A118=1,Inputs!$B$65,BE117))</f>
        <v>0</v>
      </c>
      <c r="BA118" s="0" t="n">
        <f aca="false">AZ118*Inputs!$B$9</f>
        <v>0</v>
      </c>
      <c r="BB118" s="0" t="n">
        <f aca="false">(AZ118-BA118)*Inputs!$C$65/12</f>
        <v>0</v>
      </c>
      <c r="BC118" s="0" t="n">
        <f aca="false">IF(AY118&lt;=0,0,IF(AY118=1,AZ118-BA118,MIN((AZ118-BA118)*(Inputs!$C$65/12)/(1-(1+Inputs!$C$65/12)^(-AY118))-BB118,AZ118-BA118)))</f>
        <v>0</v>
      </c>
      <c r="BD118" s="0" t="n">
        <f aca="false">(AZ118-BA118-BC118)*Inputs!$B$10</f>
        <v>0</v>
      </c>
      <c r="BE118" s="0" t="n">
        <f aca="false">AZ118-BA118-BC118-BD118</f>
        <v>0</v>
      </c>
      <c r="BF118" s="0" t="n">
        <f aca="false">Inputs!$D$66-(A118-1)</f>
        <v>-28</v>
      </c>
      <c r="BG118" s="0" t="n">
        <f aca="false">IF(BF118&lt;=0,0,IF(A118=1,Inputs!$B$66,BL117))</f>
        <v>0</v>
      </c>
      <c r="BH118" s="0" t="n">
        <f aca="false">BG118*Inputs!$B$9</f>
        <v>0</v>
      </c>
      <c r="BI118" s="0" t="n">
        <f aca="false">(BG118-BH118)*Inputs!$C$66/12</f>
        <v>0</v>
      </c>
      <c r="BJ118" s="0" t="n">
        <f aca="false">IF(BF118&lt;=0,0,IF(BF118=1,BG118-BH118,MIN((BG118-BH118)*(Inputs!$C$66/12)/(1-(1+Inputs!$C$66/12)^(-BF118))-BI118,BG118-BH118)))</f>
        <v>0</v>
      </c>
      <c r="BK118" s="0" t="n">
        <f aca="false">(BG118-BH118-BJ118)*Inputs!$B$10</f>
        <v>0</v>
      </c>
      <c r="BL118" s="0" t="n">
        <f aca="false">BG118-BH118-BJ118-BK118</f>
        <v>0</v>
      </c>
      <c r="BM118" s="0" t="n">
        <f aca="false">Inputs!$D$67-(A118-1)</f>
        <v>-28</v>
      </c>
      <c r="BN118" s="0" t="n">
        <f aca="false">IF(BM118&lt;=0,0,IF(A118=1,Inputs!$B$67,BS117))</f>
        <v>0</v>
      </c>
      <c r="BO118" s="0" t="n">
        <f aca="false">BN118*Inputs!$B$9</f>
        <v>0</v>
      </c>
      <c r="BP118" s="0" t="n">
        <f aca="false">(BN118-BO118)*Inputs!$C$67/12</f>
        <v>0</v>
      </c>
      <c r="BQ118" s="0" t="n">
        <f aca="false">IF(BM118&lt;=0,0,IF(BM118=1,BN118-BO118,MIN((BN118-BO118)*(Inputs!$C$67/12)/(1-(1+Inputs!$C$67/12)^(-BM118))-BP118,BN118-BO118)))</f>
        <v>0</v>
      </c>
      <c r="BR118" s="0" t="n">
        <f aca="false">(BN118-BO118-BQ118)*Inputs!$B$10</f>
        <v>0</v>
      </c>
      <c r="BS118" s="0" t="n">
        <f aca="false">BN118-BO118-BQ118-BR118</f>
        <v>0</v>
      </c>
      <c r="BT118" s="0" t="n">
        <f aca="false">C118+J118+Q118+X118+AE118+AL118+AS118+AZ118+BG118+BN118</f>
        <v>0</v>
      </c>
      <c r="BU118" s="0" t="n">
        <f aca="false">D118+K118+R118+Y118+AF118+AM118+AT118+BA118+BH118+BO118</f>
        <v>0</v>
      </c>
      <c r="BV118" s="0" t="n">
        <f aca="false">E118+L118+S118+Z118+AG118+AN118+AU118+BB118+BI118+BP118</f>
        <v>0</v>
      </c>
      <c r="BW118" s="0" t="n">
        <f aca="false">F118+M118+T118+AA118+AH118+AO118+AV118+BC118+BJ118+BQ118</f>
        <v>0</v>
      </c>
      <c r="BX118" s="0" t="n">
        <f aca="false">G118+N118+U118+AB118+AI118+AP118+AW118+BD118+BK118+BR118</f>
        <v>0</v>
      </c>
      <c r="BY118" s="0" t="n">
        <f aca="false">H118+O118+V118+AC118+AJ118+AQ118+AX118+BE118+BL118+BS118</f>
        <v>0</v>
      </c>
      <c r="BZ118" s="0" t="n">
        <f aca="false">IF(A118&gt;Inputs!$B$7,(1-Inputs!$B$6)*INDEX($BU$6:$BU$125,A118-Inputs!$B$7),0)</f>
        <v>0</v>
      </c>
      <c r="CA118" s="0" t="n">
        <f aca="false">CA117+(1-Inputs!$B$6)*BU118-BZ118</f>
        <v>-1.06979314296041E-010</v>
      </c>
      <c r="CB118" s="0" t="n">
        <f aca="false">BY118+CA118</f>
        <v>-1.06979314296041E-010</v>
      </c>
      <c r="CC118" s="0" t="n">
        <f aca="false">BV118+BW118+BX118+BZ118</f>
        <v>0</v>
      </c>
      <c r="CD118" s="0" t="n">
        <f aca="false">CD117+BU118-BZ118</f>
        <v>10913893.1228094</v>
      </c>
    </row>
    <row r="119" customFormat="false" ht="15" hidden="false" customHeight="false" outlineLevel="0" collapsed="false">
      <c r="A119" s="0" t="n">
        <f aca="false">ROW()-5</f>
        <v>114</v>
      </c>
      <c r="B119" s="0" t="n">
        <f aca="false">Inputs!$D$58-(A119-1)</f>
        <v>-77</v>
      </c>
      <c r="C119" s="0" t="n">
        <f aca="false">IF(B119&lt;=0,0,IF(A119=1,Inputs!$B$58,H118))</f>
        <v>0</v>
      </c>
      <c r="D119" s="0" t="n">
        <f aca="false">C119*Inputs!$B$9</f>
        <v>0</v>
      </c>
      <c r="E119" s="0" t="n">
        <f aca="false">(C119-D119)*Inputs!$C$58/12</f>
        <v>0</v>
      </c>
      <c r="F119" s="0" t="n">
        <f aca="false">IF(B119&lt;=0,0,IF(B119=1,C119-D119,MIN((C119-D119)*(Inputs!$C$58/12)/(1-(1+Inputs!$C$58/12)^(-B119))-E119,C119-D119)))</f>
        <v>0</v>
      </c>
      <c r="G119" s="0" t="n">
        <f aca="false">(C119-D119-F119)*Inputs!$B$10</f>
        <v>0</v>
      </c>
      <c r="H119" s="0" t="n">
        <f aca="false">C119-D119-F119-G119</f>
        <v>0</v>
      </c>
      <c r="I119" s="0" t="n">
        <f aca="false">Inputs!$D$59-(A119-1)</f>
        <v>-65</v>
      </c>
      <c r="J119" s="0" t="n">
        <f aca="false">IF(I119&lt;=0,0,IF(A119=1,Inputs!$B$59,O118))</f>
        <v>0</v>
      </c>
      <c r="K119" s="0" t="n">
        <f aca="false">J119*Inputs!$B$9</f>
        <v>0</v>
      </c>
      <c r="L119" s="0" t="n">
        <f aca="false">(J119-K119)*Inputs!$C$59/12</f>
        <v>0</v>
      </c>
      <c r="M119" s="0" t="n">
        <f aca="false">IF(I119&lt;=0,0,IF(I119=1,J119-K119,MIN((J119-K119)*(Inputs!$C$59/12)/(1-(1+Inputs!$C$59/12)^(-I119))-L119,J119-K119)))</f>
        <v>0</v>
      </c>
      <c r="N119" s="0" t="n">
        <f aca="false">(J119-K119-M119)*Inputs!$B$10</f>
        <v>0</v>
      </c>
      <c r="O119" s="0" t="n">
        <f aca="false">J119-K119-M119-N119</f>
        <v>0</v>
      </c>
      <c r="P119" s="0" t="n">
        <f aca="false">Inputs!$D$60-(A119-1)</f>
        <v>-65</v>
      </c>
      <c r="Q119" s="0" t="n">
        <f aca="false">IF(P119&lt;=0,0,IF(A119=1,Inputs!$B$60,V118))</f>
        <v>0</v>
      </c>
      <c r="R119" s="0" t="n">
        <f aca="false">Q119*Inputs!$B$9</f>
        <v>0</v>
      </c>
      <c r="S119" s="0" t="n">
        <f aca="false">(Q119-R119)*Inputs!$C$60/12</f>
        <v>0</v>
      </c>
      <c r="T119" s="0" t="n">
        <f aca="false">IF(P119&lt;=0,0,IF(P119=1,Q119-R119,MIN((Q119-R119)*(Inputs!$C$60/12)/(1-(1+Inputs!$C$60/12)^(-P119))-S119,Q119-R119)))</f>
        <v>0</v>
      </c>
      <c r="U119" s="0" t="n">
        <f aca="false">(Q119-R119-T119)*Inputs!$B$10</f>
        <v>0</v>
      </c>
      <c r="V119" s="0" t="n">
        <f aca="false">Q119-R119-T119-U119</f>
        <v>0</v>
      </c>
      <c r="W119" s="0" t="n">
        <f aca="false">Inputs!$D$61-(A119-1)</f>
        <v>-53</v>
      </c>
      <c r="X119" s="0" t="n">
        <f aca="false">IF(W119&lt;=0,0,IF(A119=1,Inputs!$B$61,AC118))</f>
        <v>0</v>
      </c>
      <c r="Y119" s="0" t="n">
        <f aca="false">X119*Inputs!$B$9</f>
        <v>0</v>
      </c>
      <c r="Z119" s="0" t="n">
        <f aca="false">(X119-Y119)*Inputs!$C$61/12</f>
        <v>0</v>
      </c>
      <c r="AA119" s="0" t="n">
        <f aca="false">IF(W119&lt;=0,0,IF(W119=1,X119-Y119,MIN((X119-Y119)*(Inputs!$C$61/12)/(1-(1+Inputs!$C$61/12)^(-W119))-Z119,X119-Y119)))</f>
        <v>0</v>
      </c>
      <c r="AB119" s="0" t="n">
        <f aca="false">(X119-Y119-AA119)*Inputs!$B$10</f>
        <v>0</v>
      </c>
      <c r="AC119" s="0" t="n">
        <f aca="false">X119-Y119-AA119-AB119</f>
        <v>0</v>
      </c>
      <c r="AD119" s="0" t="n">
        <f aca="false">Inputs!$D$62-(A119-1)</f>
        <v>-53</v>
      </c>
      <c r="AE119" s="0" t="n">
        <f aca="false">IF(AD119&lt;=0,0,IF(A119=1,Inputs!$B$62,AJ118))</f>
        <v>0</v>
      </c>
      <c r="AF119" s="0" t="n">
        <f aca="false">AE119*Inputs!$B$9</f>
        <v>0</v>
      </c>
      <c r="AG119" s="0" t="n">
        <f aca="false">(AE119-AF119)*Inputs!$C$62/12</f>
        <v>0</v>
      </c>
      <c r="AH119" s="0" t="n">
        <f aca="false">IF(AD119&lt;=0,0,IF(AD119=1,AE119-AF119,MIN((AE119-AF119)*(Inputs!$C$62/12)/(1-(1+Inputs!$C$62/12)^(-AD119))-AG119,AE119-AF119)))</f>
        <v>0</v>
      </c>
      <c r="AI119" s="0" t="n">
        <f aca="false">(AE119-AF119-AH119)*Inputs!$B$10</f>
        <v>0</v>
      </c>
      <c r="AJ119" s="0" t="n">
        <f aca="false">AE119-AF119-AH119-AI119</f>
        <v>0</v>
      </c>
      <c r="AK119" s="0" t="n">
        <f aca="false">Inputs!$D$63-(A119-1)</f>
        <v>-53</v>
      </c>
      <c r="AL119" s="0" t="n">
        <f aca="false">IF(AK119&lt;=0,0,IF(A119=1,Inputs!$B$63,AQ118))</f>
        <v>0</v>
      </c>
      <c r="AM119" s="0" t="n">
        <f aca="false">AL119*Inputs!$B$9</f>
        <v>0</v>
      </c>
      <c r="AN119" s="0" t="n">
        <f aca="false">(AL119-AM119)*Inputs!$C$63/12</f>
        <v>0</v>
      </c>
      <c r="AO119" s="0" t="n">
        <f aca="false">IF(AK119&lt;=0,0,IF(AK119=1,AL119-AM119,MIN((AL119-AM119)*(Inputs!$C$63/12)/(1-(1+Inputs!$C$63/12)^(-AK119))-AN119,AL119-AM119)))</f>
        <v>0</v>
      </c>
      <c r="AP119" s="0" t="n">
        <f aca="false">(AL119-AM119-AO119)*Inputs!$B$10</f>
        <v>0</v>
      </c>
      <c r="AQ119" s="0" t="n">
        <f aca="false">AL119-AM119-AO119-AP119</f>
        <v>0</v>
      </c>
      <c r="AR119" s="0" t="n">
        <f aca="false">Inputs!$D$64-(A119-1)</f>
        <v>-41</v>
      </c>
      <c r="AS119" s="0" t="n">
        <f aca="false">IF(AR119&lt;=0,0,IF(A119=1,Inputs!$B$64,AX118))</f>
        <v>0</v>
      </c>
      <c r="AT119" s="0" t="n">
        <f aca="false">AS119*Inputs!$B$9</f>
        <v>0</v>
      </c>
      <c r="AU119" s="0" t="n">
        <f aca="false">(AS119-AT119)*Inputs!$C$64/12</f>
        <v>0</v>
      </c>
      <c r="AV119" s="0" t="n">
        <f aca="false">IF(AR119&lt;=0,0,IF(AR119=1,AS119-AT119,MIN((AS119-AT119)*(Inputs!$C$64/12)/(1-(1+Inputs!$C$64/12)^(-AR119))-AU119,AS119-AT119)))</f>
        <v>0</v>
      </c>
      <c r="AW119" s="0" t="n">
        <f aca="false">(AS119-AT119-AV119)*Inputs!$B$10</f>
        <v>0</v>
      </c>
      <c r="AX119" s="0" t="n">
        <f aca="false">AS119-AT119-AV119-AW119</f>
        <v>0</v>
      </c>
      <c r="AY119" s="0" t="n">
        <f aca="false">Inputs!$D$65-(A119-1)</f>
        <v>-41</v>
      </c>
      <c r="AZ119" s="0" t="n">
        <f aca="false">IF(AY119&lt;=0,0,IF(A119=1,Inputs!$B$65,BE118))</f>
        <v>0</v>
      </c>
      <c r="BA119" s="0" t="n">
        <f aca="false">AZ119*Inputs!$B$9</f>
        <v>0</v>
      </c>
      <c r="BB119" s="0" t="n">
        <f aca="false">(AZ119-BA119)*Inputs!$C$65/12</f>
        <v>0</v>
      </c>
      <c r="BC119" s="0" t="n">
        <f aca="false">IF(AY119&lt;=0,0,IF(AY119=1,AZ119-BA119,MIN((AZ119-BA119)*(Inputs!$C$65/12)/(1-(1+Inputs!$C$65/12)^(-AY119))-BB119,AZ119-BA119)))</f>
        <v>0</v>
      </c>
      <c r="BD119" s="0" t="n">
        <f aca="false">(AZ119-BA119-BC119)*Inputs!$B$10</f>
        <v>0</v>
      </c>
      <c r="BE119" s="0" t="n">
        <f aca="false">AZ119-BA119-BC119-BD119</f>
        <v>0</v>
      </c>
      <c r="BF119" s="0" t="n">
        <f aca="false">Inputs!$D$66-(A119-1)</f>
        <v>-29</v>
      </c>
      <c r="BG119" s="0" t="n">
        <f aca="false">IF(BF119&lt;=0,0,IF(A119=1,Inputs!$B$66,BL118))</f>
        <v>0</v>
      </c>
      <c r="BH119" s="0" t="n">
        <f aca="false">BG119*Inputs!$B$9</f>
        <v>0</v>
      </c>
      <c r="BI119" s="0" t="n">
        <f aca="false">(BG119-BH119)*Inputs!$C$66/12</f>
        <v>0</v>
      </c>
      <c r="BJ119" s="0" t="n">
        <f aca="false">IF(BF119&lt;=0,0,IF(BF119=1,BG119-BH119,MIN((BG119-BH119)*(Inputs!$C$66/12)/(1-(1+Inputs!$C$66/12)^(-BF119))-BI119,BG119-BH119)))</f>
        <v>0</v>
      </c>
      <c r="BK119" s="0" t="n">
        <f aca="false">(BG119-BH119-BJ119)*Inputs!$B$10</f>
        <v>0</v>
      </c>
      <c r="BL119" s="0" t="n">
        <f aca="false">BG119-BH119-BJ119-BK119</f>
        <v>0</v>
      </c>
      <c r="BM119" s="0" t="n">
        <f aca="false">Inputs!$D$67-(A119-1)</f>
        <v>-29</v>
      </c>
      <c r="BN119" s="0" t="n">
        <f aca="false">IF(BM119&lt;=0,0,IF(A119=1,Inputs!$B$67,BS118))</f>
        <v>0</v>
      </c>
      <c r="BO119" s="0" t="n">
        <f aca="false">BN119*Inputs!$B$9</f>
        <v>0</v>
      </c>
      <c r="BP119" s="0" t="n">
        <f aca="false">(BN119-BO119)*Inputs!$C$67/12</f>
        <v>0</v>
      </c>
      <c r="BQ119" s="0" t="n">
        <f aca="false">IF(BM119&lt;=0,0,IF(BM119=1,BN119-BO119,MIN((BN119-BO119)*(Inputs!$C$67/12)/(1-(1+Inputs!$C$67/12)^(-BM119))-BP119,BN119-BO119)))</f>
        <v>0</v>
      </c>
      <c r="BR119" s="0" t="n">
        <f aca="false">(BN119-BO119-BQ119)*Inputs!$B$10</f>
        <v>0</v>
      </c>
      <c r="BS119" s="0" t="n">
        <f aca="false">BN119-BO119-BQ119-BR119</f>
        <v>0</v>
      </c>
      <c r="BT119" s="0" t="n">
        <f aca="false">C119+J119+Q119+X119+AE119+AL119+AS119+AZ119+BG119+BN119</f>
        <v>0</v>
      </c>
      <c r="BU119" s="0" t="n">
        <f aca="false">D119+K119+R119+Y119+AF119+AM119+AT119+BA119+BH119+BO119</f>
        <v>0</v>
      </c>
      <c r="BV119" s="0" t="n">
        <f aca="false">E119+L119+S119+Z119+AG119+AN119+AU119+BB119+BI119+BP119</f>
        <v>0</v>
      </c>
      <c r="BW119" s="0" t="n">
        <f aca="false">F119+M119+T119+AA119+AH119+AO119+AV119+BC119+BJ119+BQ119</f>
        <v>0</v>
      </c>
      <c r="BX119" s="0" t="n">
        <f aca="false">G119+N119+U119+AB119+AI119+AP119+AW119+BD119+BK119+BR119</f>
        <v>0</v>
      </c>
      <c r="BY119" s="0" t="n">
        <f aca="false">H119+O119+V119+AC119+AJ119+AQ119+AX119+BE119+BL119+BS119</f>
        <v>0</v>
      </c>
      <c r="BZ119" s="0" t="n">
        <f aca="false">IF(A119&gt;Inputs!$B$7,(1-Inputs!$B$6)*INDEX($BU$6:$BU$125,A119-Inputs!$B$7),0)</f>
        <v>0</v>
      </c>
      <c r="CA119" s="0" t="n">
        <f aca="false">CA118+(1-Inputs!$B$6)*BU119-BZ119</f>
        <v>-1.06979314296041E-010</v>
      </c>
      <c r="CB119" s="0" t="n">
        <f aca="false">BY119+CA119</f>
        <v>-1.06979314296041E-010</v>
      </c>
      <c r="CC119" s="0" t="n">
        <f aca="false">BV119+BW119+BX119+BZ119</f>
        <v>0</v>
      </c>
      <c r="CD119" s="0" t="n">
        <f aca="false">CD118+BU119-BZ119</f>
        <v>10913893.1228094</v>
      </c>
    </row>
    <row r="120" customFormat="false" ht="15" hidden="false" customHeight="false" outlineLevel="0" collapsed="false">
      <c r="A120" s="0" t="n">
        <f aca="false">ROW()-5</f>
        <v>115</v>
      </c>
      <c r="B120" s="0" t="n">
        <f aca="false">Inputs!$D$58-(A120-1)</f>
        <v>-78</v>
      </c>
      <c r="C120" s="0" t="n">
        <f aca="false">IF(B120&lt;=0,0,IF(A120=1,Inputs!$B$58,H119))</f>
        <v>0</v>
      </c>
      <c r="D120" s="0" t="n">
        <f aca="false">C120*Inputs!$B$9</f>
        <v>0</v>
      </c>
      <c r="E120" s="0" t="n">
        <f aca="false">(C120-D120)*Inputs!$C$58/12</f>
        <v>0</v>
      </c>
      <c r="F120" s="0" t="n">
        <f aca="false">IF(B120&lt;=0,0,IF(B120=1,C120-D120,MIN((C120-D120)*(Inputs!$C$58/12)/(1-(1+Inputs!$C$58/12)^(-B120))-E120,C120-D120)))</f>
        <v>0</v>
      </c>
      <c r="G120" s="0" t="n">
        <f aca="false">(C120-D120-F120)*Inputs!$B$10</f>
        <v>0</v>
      </c>
      <c r="H120" s="0" t="n">
        <f aca="false">C120-D120-F120-G120</f>
        <v>0</v>
      </c>
      <c r="I120" s="0" t="n">
        <f aca="false">Inputs!$D$59-(A120-1)</f>
        <v>-66</v>
      </c>
      <c r="J120" s="0" t="n">
        <f aca="false">IF(I120&lt;=0,0,IF(A120=1,Inputs!$B$59,O119))</f>
        <v>0</v>
      </c>
      <c r="K120" s="0" t="n">
        <f aca="false">J120*Inputs!$B$9</f>
        <v>0</v>
      </c>
      <c r="L120" s="0" t="n">
        <f aca="false">(J120-K120)*Inputs!$C$59/12</f>
        <v>0</v>
      </c>
      <c r="M120" s="0" t="n">
        <f aca="false">IF(I120&lt;=0,0,IF(I120=1,J120-K120,MIN((J120-K120)*(Inputs!$C$59/12)/(1-(1+Inputs!$C$59/12)^(-I120))-L120,J120-K120)))</f>
        <v>0</v>
      </c>
      <c r="N120" s="0" t="n">
        <f aca="false">(J120-K120-M120)*Inputs!$B$10</f>
        <v>0</v>
      </c>
      <c r="O120" s="0" t="n">
        <f aca="false">J120-K120-M120-N120</f>
        <v>0</v>
      </c>
      <c r="P120" s="0" t="n">
        <f aca="false">Inputs!$D$60-(A120-1)</f>
        <v>-66</v>
      </c>
      <c r="Q120" s="0" t="n">
        <f aca="false">IF(P120&lt;=0,0,IF(A120=1,Inputs!$B$60,V119))</f>
        <v>0</v>
      </c>
      <c r="R120" s="0" t="n">
        <f aca="false">Q120*Inputs!$B$9</f>
        <v>0</v>
      </c>
      <c r="S120" s="0" t="n">
        <f aca="false">(Q120-R120)*Inputs!$C$60/12</f>
        <v>0</v>
      </c>
      <c r="T120" s="0" t="n">
        <f aca="false">IF(P120&lt;=0,0,IF(P120=1,Q120-R120,MIN((Q120-R120)*(Inputs!$C$60/12)/(1-(1+Inputs!$C$60/12)^(-P120))-S120,Q120-R120)))</f>
        <v>0</v>
      </c>
      <c r="U120" s="0" t="n">
        <f aca="false">(Q120-R120-T120)*Inputs!$B$10</f>
        <v>0</v>
      </c>
      <c r="V120" s="0" t="n">
        <f aca="false">Q120-R120-T120-U120</f>
        <v>0</v>
      </c>
      <c r="W120" s="0" t="n">
        <f aca="false">Inputs!$D$61-(A120-1)</f>
        <v>-54</v>
      </c>
      <c r="X120" s="0" t="n">
        <f aca="false">IF(W120&lt;=0,0,IF(A120=1,Inputs!$B$61,AC119))</f>
        <v>0</v>
      </c>
      <c r="Y120" s="0" t="n">
        <f aca="false">X120*Inputs!$B$9</f>
        <v>0</v>
      </c>
      <c r="Z120" s="0" t="n">
        <f aca="false">(X120-Y120)*Inputs!$C$61/12</f>
        <v>0</v>
      </c>
      <c r="AA120" s="0" t="n">
        <f aca="false">IF(W120&lt;=0,0,IF(W120=1,X120-Y120,MIN((X120-Y120)*(Inputs!$C$61/12)/(1-(1+Inputs!$C$61/12)^(-W120))-Z120,X120-Y120)))</f>
        <v>0</v>
      </c>
      <c r="AB120" s="0" t="n">
        <f aca="false">(X120-Y120-AA120)*Inputs!$B$10</f>
        <v>0</v>
      </c>
      <c r="AC120" s="0" t="n">
        <f aca="false">X120-Y120-AA120-AB120</f>
        <v>0</v>
      </c>
      <c r="AD120" s="0" t="n">
        <f aca="false">Inputs!$D$62-(A120-1)</f>
        <v>-54</v>
      </c>
      <c r="AE120" s="0" t="n">
        <f aca="false">IF(AD120&lt;=0,0,IF(A120=1,Inputs!$B$62,AJ119))</f>
        <v>0</v>
      </c>
      <c r="AF120" s="0" t="n">
        <f aca="false">AE120*Inputs!$B$9</f>
        <v>0</v>
      </c>
      <c r="AG120" s="0" t="n">
        <f aca="false">(AE120-AF120)*Inputs!$C$62/12</f>
        <v>0</v>
      </c>
      <c r="AH120" s="0" t="n">
        <f aca="false">IF(AD120&lt;=0,0,IF(AD120=1,AE120-AF120,MIN((AE120-AF120)*(Inputs!$C$62/12)/(1-(1+Inputs!$C$62/12)^(-AD120))-AG120,AE120-AF120)))</f>
        <v>0</v>
      </c>
      <c r="AI120" s="0" t="n">
        <f aca="false">(AE120-AF120-AH120)*Inputs!$B$10</f>
        <v>0</v>
      </c>
      <c r="AJ120" s="0" t="n">
        <f aca="false">AE120-AF120-AH120-AI120</f>
        <v>0</v>
      </c>
      <c r="AK120" s="0" t="n">
        <f aca="false">Inputs!$D$63-(A120-1)</f>
        <v>-54</v>
      </c>
      <c r="AL120" s="0" t="n">
        <f aca="false">IF(AK120&lt;=0,0,IF(A120=1,Inputs!$B$63,AQ119))</f>
        <v>0</v>
      </c>
      <c r="AM120" s="0" t="n">
        <f aca="false">AL120*Inputs!$B$9</f>
        <v>0</v>
      </c>
      <c r="AN120" s="0" t="n">
        <f aca="false">(AL120-AM120)*Inputs!$C$63/12</f>
        <v>0</v>
      </c>
      <c r="AO120" s="0" t="n">
        <f aca="false">IF(AK120&lt;=0,0,IF(AK120=1,AL120-AM120,MIN((AL120-AM120)*(Inputs!$C$63/12)/(1-(1+Inputs!$C$63/12)^(-AK120))-AN120,AL120-AM120)))</f>
        <v>0</v>
      </c>
      <c r="AP120" s="0" t="n">
        <f aca="false">(AL120-AM120-AO120)*Inputs!$B$10</f>
        <v>0</v>
      </c>
      <c r="AQ120" s="0" t="n">
        <f aca="false">AL120-AM120-AO120-AP120</f>
        <v>0</v>
      </c>
      <c r="AR120" s="0" t="n">
        <f aca="false">Inputs!$D$64-(A120-1)</f>
        <v>-42</v>
      </c>
      <c r="AS120" s="0" t="n">
        <f aca="false">IF(AR120&lt;=0,0,IF(A120=1,Inputs!$B$64,AX119))</f>
        <v>0</v>
      </c>
      <c r="AT120" s="0" t="n">
        <f aca="false">AS120*Inputs!$B$9</f>
        <v>0</v>
      </c>
      <c r="AU120" s="0" t="n">
        <f aca="false">(AS120-AT120)*Inputs!$C$64/12</f>
        <v>0</v>
      </c>
      <c r="AV120" s="0" t="n">
        <f aca="false">IF(AR120&lt;=0,0,IF(AR120=1,AS120-AT120,MIN((AS120-AT120)*(Inputs!$C$64/12)/(1-(1+Inputs!$C$64/12)^(-AR120))-AU120,AS120-AT120)))</f>
        <v>0</v>
      </c>
      <c r="AW120" s="0" t="n">
        <f aca="false">(AS120-AT120-AV120)*Inputs!$B$10</f>
        <v>0</v>
      </c>
      <c r="AX120" s="0" t="n">
        <f aca="false">AS120-AT120-AV120-AW120</f>
        <v>0</v>
      </c>
      <c r="AY120" s="0" t="n">
        <f aca="false">Inputs!$D$65-(A120-1)</f>
        <v>-42</v>
      </c>
      <c r="AZ120" s="0" t="n">
        <f aca="false">IF(AY120&lt;=0,0,IF(A120=1,Inputs!$B$65,BE119))</f>
        <v>0</v>
      </c>
      <c r="BA120" s="0" t="n">
        <f aca="false">AZ120*Inputs!$B$9</f>
        <v>0</v>
      </c>
      <c r="BB120" s="0" t="n">
        <f aca="false">(AZ120-BA120)*Inputs!$C$65/12</f>
        <v>0</v>
      </c>
      <c r="BC120" s="0" t="n">
        <f aca="false">IF(AY120&lt;=0,0,IF(AY120=1,AZ120-BA120,MIN((AZ120-BA120)*(Inputs!$C$65/12)/(1-(1+Inputs!$C$65/12)^(-AY120))-BB120,AZ120-BA120)))</f>
        <v>0</v>
      </c>
      <c r="BD120" s="0" t="n">
        <f aca="false">(AZ120-BA120-BC120)*Inputs!$B$10</f>
        <v>0</v>
      </c>
      <c r="BE120" s="0" t="n">
        <f aca="false">AZ120-BA120-BC120-BD120</f>
        <v>0</v>
      </c>
      <c r="BF120" s="0" t="n">
        <f aca="false">Inputs!$D$66-(A120-1)</f>
        <v>-30</v>
      </c>
      <c r="BG120" s="0" t="n">
        <f aca="false">IF(BF120&lt;=0,0,IF(A120=1,Inputs!$B$66,BL119))</f>
        <v>0</v>
      </c>
      <c r="BH120" s="0" t="n">
        <f aca="false">BG120*Inputs!$B$9</f>
        <v>0</v>
      </c>
      <c r="BI120" s="0" t="n">
        <f aca="false">(BG120-BH120)*Inputs!$C$66/12</f>
        <v>0</v>
      </c>
      <c r="BJ120" s="0" t="n">
        <f aca="false">IF(BF120&lt;=0,0,IF(BF120=1,BG120-BH120,MIN((BG120-BH120)*(Inputs!$C$66/12)/(1-(1+Inputs!$C$66/12)^(-BF120))-BI120,BG120-BH120)))</f>
        <v>0</v>
      </c>
      <c r="BK120" s="0" t="n">
        <f aca="false">(BG120-BH120-BJ120)*Inputs!$B$10</f>
        <v>0</v>
      </c>
      <c r="BL120" s="0" t="n">
        <f aca="false">BG120-BH120-BJ120-BK120</f>
        <v>0</v>
      </c>
      <c r="BM120" s="0" t="n">
        <f aca="false">Inputs!$D$67-(A120-1)</f>
        <v>-30</v>
      </c>
      <c r="BN120" s="0" t="n">
        <f aca="false">IF(BM120&lt;=0,0,IF(A120=1,Inputs!$B$67,BS119))</f>
        <v>0</v>
      </c>
      <c r="BO120" s="0" t="n">
        <f aca="false">BN120*Inputs!$B$9</f>
        <v>0</v>
      </c>
      <c r="BP120" s="0" t="n">
        <f aca="false">(BN120-BO120)*Inputs!$C$67/12</f>
        <v>0</v>
      </c>
      <c r="BQ120" s="0" t="n">
        <f aca="false">IF(BM120&lt;=0,0,IF(BM120=1,BN120-BO120,MIN((BN120-BO120)*(Inputs!$C$67/12)/(1-(1+Inputs!$C$67/12)^(-BM120))-BP120,BN120-BO120)))</f>
        <v>0</v>
      </c>
      <c r="BR120" s="0" t="n">
        <f aca="false">(BN120-BO120-BQ120)*Inputs!$B$10</f>
        <v>0</v>
      </c>
      <c r="BS120" s="0" t="n">
        <f aca="false">BN120-BO120-BQ120-BR120</f>
        <v>0</v>
      </c>
      <c r="BT120" s="0" t="n">
        <f aca="false">C120+J120+Q120+X120+AE120+AL120+AS120+AZ120+BG120+BN120</f>
        <v>0</v>
      </c>
      <c r="BU120" s="0" t="n">
        <f aca="false">D120+K120+R120+Y120+AF120+AM120+AT120+BA120+BH120+BO120</f>
        <v>0</v>
      </c>
      <c r="BV120" s="0" t="n">
        <f aca="false">E120+L120+S120+Z120+AG120+AN120+AU120+BB120+BI120+BP120</f>
        <v>0</v>
      </c>
      <c r="BW120" s="0" t="n">
        <f aca="false">F120+M120+T120+AA120+AH120+AO120+AV120+BC120+BJ120+BQ120</f>
        <v>0</v>
      </c>
      <c r="BX120" s="0" t="n">
        <f aca="false">G120+N120+U120+AB120+AI120+AP120+AW120+BD120+BK120+BR120</f>
        <v>0</v>
      </c>
      <c r="BY120" s="0" t="n">
        <f aca="false">H120+O120+V120+AC120+AJ120+AQ120+AX120+BE120+BL120+BS120</f>
        <v>0</v>
      </c>
      <c r="BZ120" s="0" t="n">
        <f aca="false">IF(A120&gt;Inputs!$B$7,(1-Inputs!$B$6)*INDEX($BU$6:$BU$125,A120-Inputs!$B$7),0)</f>
        <v>0</v>
      </c>
      <c r="CA120" s="0" t="n">
        <f aca="false">CA119+(1-Inputs!$B$6)*BU120-BZ120</f>
        <v>-1.06979314296041E-010</v>
      </c>
      <c r="CB120" s="0" t="n">
        <f aca="false">BY120+CA120</f>
        <v>-1.06979314296041E-010</v>
      </c>
      <c r="CC120" s="0" t="n">
        <f aca="false">BV120+BW120+BX120+BZ120</f>
        <v>0</v>
      </c>
      <c r="CD120" s="0" t="n">
        <f aca="false">CD119+BU120-BZ120</f>
        <v>10913893.1228094</v>
      </c>
    </row>
    <row r="121" customFormat="false" ht="15" hidden="false" customHeight="false" outlineLevel="0" collapsed="false">
      <c r="A121" s="0" t="n">
        <f aca="false">ROW()-5</f>
        <v>116</v>
      </c>
      <c r="B121" s="0" t="n">
        <f aca="false">Inputs!$D$58-(A121-1)</f>
        <v>-79</v>
      </c>
      <c r="C121" s="0" t="n">
        <f aca="false">IF(B121&lt;=0,0,IF(A121=1,Inputs!$B$58,H120))</f>
        <v>0</v>
      </c>
      <c r="D121" s="0" t="n">
        <f aca="false">C121*Inputs!$B$9</f>
        <v>0</v>
      </c>
      <c r="E121" s="0" t="n">
        <f aca="false">(C121-D121)*Inputs!$C$58/12</f>
        <v>0</v>
      </c>
      <c r="F121" s="0" t="n">
        <f aca="false">IF(B121&lt;=0,0,IF(B121=1,C121-D121,MIN((C121-D121)*(Inputs!$C$58/12)/(1-(1+Inputs!$C$58/12)^(-B121))-E121,C121-D121)))</f>
        <v>0</v>
      </c>
      <c r="G121" s="0" t="n">
        <f aca="false">(C121-D121-F121)*Inputs!$B$10</f>
        <v>0</v>
      </c>
      <c r="H121" s="0" t="n">
        <f aca="false">C121-D121-F121-G121</f>
        <v>0</v>
      </c>
      <c r="I121" s="0" t="n">
        <f aca="false">Inputs!$D$59-(A121-1)</f>
        <v>-67</v>
      </c>
      <c r="J121" s="0" t="n">
        <f aca="false">IF(I121&lt;=0,0,IF(A121=1,Inputs!$B$59,O120))</f>
        <v>0</v>
      </c>
      <c r="K121" s="0" t="n">
        <f aca="false">J121*Inputs!$B$9</f>
        <v>0</v>
      </c>
      <c r="L121" s="0" t="n">
        <f aca="false">(J121-K121)*Inputs!$C$59/12</f>
        <v>0</v>
      </c>
      <c r="M121" s="0" t="n">
        <f aca="false">IF(I121&lt;=0,0,IF(I121=1,J121-K121,MIN((J121-K121)*(Inputs!$C$59/12)/(1-(1+Inputs!$C$59/12)^(-I121))-L121,J121-K121)))</f>
        <v>0</v>
      </c>
      <c r="N121" s="0" t="n">
        <f aca="false">(J121-K121-M121)*Inputs!$B$10</f>
        <v>0</v>
      </c>
      <c r="O121" s="0" t="n">
        <f aca="false">J121-K121-M121-N121</f>
        <v>0</v>
      </c>
      <c r="P121" s="0" t="n">
        <f aca="false">Inputs!$D$60-(A121-1)</f>
        <v>-67</v>
      </c>
      <c r="Q121" s="0" t="n">
        <f aca="false">IF(P121&lt;=0,0,IF(A121=1,Inputs!$B$60,V120))</f>
        <v>0</v>
      </c>
      <c r="R121" s="0" t="n">
        <f aca="false">Q121*Inputs!$B$9</f>
        <v>0</v>
      </c>
      <c r="S121" s="0" t="n">
        <f aca="false">(Q121-R121)*Inputs!$C$60/12</f>
        <v>0</v>
      </c>
      <c r="T121" s="0" t="n">
        <f aca="false">IF(P121&lt;=0,0,IF(P121=1,Q121-R121,MIN((Q121-R121)*(Inputs!$C$60/12)/(1-(1+Inputs!$C$60/12)^(-P121))-S121,Q121-R121)))</f>
        <v>0</v>
      </c>
      <c r="U121" s="0" t="n">
        <f aca="false">(Q121-R121-T121)*Inputs!$B$10</f>
        <v>0</v>
      </c>
      <c r="V121" s="0" t="n">
        <f aca="false">Q121-R121-T121-U121</f>
        <v>0</v>
      </c>
      <c r="W121" s="0" t="n">
        <f aca="false">Inputs!$D$61-(A121-1)</f>
        <v>-55</v>
      </c>
      <c r="X121" s="0" t="n">
        <f aca="false">IF(W121&lt;=0,0,IF(A121=1,Inputs!$B$61,AC120))</f>
        <v>0</v>
      </c>
      <c r="Y121" s="0" t="n">
        <f aca="false">X121*Inputs!$B$9</f>
        <v>0</v>
      </c>
      <c r="Z121" s="0" t="n">
        <f aca="false">(X121-Y121)*Inputs!$C$61/12</f>
        <v>0</v>
      </c>
      <c r="AA121" s="0" t="n">
        <f aca="false">IF(W121&lt;=0,0,IF(W121=1,X121-Y121,MIN((X121-Y121)*(Inputs!$C$61/12)/(1-(1+Inputs!$C$61/12)^(-W121))-Z121,X121-Y121)))</f>
        <v>0</v>
      </c>
      <c r="AB121" s="0" t="n">
        <f aca="false">(X121-Y121-AA121)*Inputs!$B$10</f>
        <v>0</v>
      </c>
      <c r="AC121" s="0" t="n">
        <f aca="false">X121-Y121-AA121-AB121</f>
        <v>0</v>
      </c>
      <c r="AD121" s="0" t="n">
        <f aca="false">Inputs!$D$62-(A121-1)</f>
        <v>-55</v>
      </c>
      <c r="AE121" s="0" t="n">
        <f aca="false">IF(AD121&lt;=0,0,IF(A121=1,Inputs!$B$62,AJ120))</f>
        <v>0</v>
      </c>
      <c r="AF121" s="0" t="n">
        <f aca="false">AE121*Inputs!$B$9</f>
        <v>0</v>
      </c>
      <c r="AG121" s="0" t="n">
        <f aca="false">(AE121-AF121)*Inputs!$C$62/12</f>
        <v>0</v>
      </c>
      <c r="AH121" s="0" t="n">
        <f aca="false">IF(AD121&lt;=0,0,IF(AD121=1,AE121-AF121,MIN((AE121-AF121)*(Inputs!$C$62/12)/(1-(1+Inputs!$C$62/12)^(-AD121))-AG121,AE121-AF121)))</f>
        <v>0</v>
      </c>
      <c r="AI121" s="0" t="n">
        <f aca="false">(AE121-AF121-AH121)*Inputs!$B$10</f>
        <v>0</v>
      </c>
      <c r="AJ121" s="0" t="n">
        <f aca="false">AE121-AF121-AH121-AI121</f>
        <v>0</v>
      </c>
      <c r="AK121" s="0" t="n">
        <f aca="false">Inputs!$D$63-(A121-1)</f>
        <v>-55</v>
      </c>
      <c r="AL121" s="0" t="n">
        <f aca="false">IF(AK121&lt;=0,0,IF(A121=1,Inputs!$B$63,AQ120))</f>
        <v>0</v>
      </c>
      <c r="AM121" s="0" t="n">
        <f aca="false">AL121*Inputs!$B$9</f>
        <v>0</v>
      </c>
      <c r="AN121" s="0" t="n">
        <f aca="false">(AL121-AM121)*Inputs!$C$63/12</f>
        <v>0</v>
      </c>
      <c r="AO121" s="0" t="n">
        <f aca="false">IF(AK121&lt;=0,0,IF(AK121=1,AL121-AM121,MIN((AL121-AM121)*(Inputs!$C$63/12)/(1-(1+Inputs!$C$63/12)^(-AK121))-AN121,AL121-AM121)))</f>
        <v>0</v>
      </c>
      <c r="AP121" s="0" t="n">
        <f aca="false">(AL121-AM121-AO121)*Inputs!$B$10</f>
        <v>0</v>
      </c>
      <c r="AQ121" s="0" t="n">
        <f aca="false">AL121-AM121-AO121-AP121</f>
        <v>0</v>
      </c>
      <c r="AR121" s="0" t="n">
        <f aca="false">Inputs!$D$64-(A121-1)</f>
        <v>-43</v>
      </c>
      <c r="AS121" s="0" t="n">
        <f aca="false">IF(AR121&lt;=0,0,IF(A121=1,Inputs!$B$64,AX120))</f>
        <v>0</v>
      </c>
      <c r="AT121" s="0" t="n">
        <f aca="false">AS121*Inputs!$B$9</f>
        <v>0</v>
      </c>
      <c r="AU121" s="0" t="n">
        <f aca="false">(AS121-AT121)*Inputs!$C$64/12</f>
        <v>0</v>
      </c>
      <c r="AV121" s="0" t="n">
        <f aca="false">IF(AR121&lt;=0,0,IF(AR121=1,AS121-AT121,MIN((AS121-AT121)*(Inputs!$C$64/12)/(1-(1+Inputs!$C$64/12)^(-AR121))-AU121,AS121-AT121)))</f>
        <v>0</v>
      </c>
      <c r="AW121" s="0" t="n">
        <f aca="false">(AS121-AT121-AV121)*Inputs!$B$10</f>
        <v>0</v>
      </c>
      <c r="AX121" s="0" t="n">
        <f aca="false">AS121-AT121-AV121-AW121</f>
        <v>0</v>
      </c>
      <c r="AY121" s="0" t="n">
        <f aca="false">Inputs!$D$65-(A121-1)</f>
        <v>-43</v>
      </c>
      <c r="AZ121" s="0" t="n">
        <f aca="false">IF(AY121&lt;=0,0,IF(A121=1,Inputs!$B$65,BE120))</f>
        <v>0</v>
      </c>
      <c r="BA121" s="0" t="n">
        <f aca="false">AZ121*Inputs!$B$9</f>
        <v>0</v>
      </c>
      <c r="BB121" s="0" t="n">
        <f aca="false">(AZ121-BA121)*Inputs!$C$65/12</f>
        <v>0</v>
      </c>
      <c r="BC121" s="0" t="n">
        <f aca="false">IF(AY121&lt;=0,0,IF(AY121=1,AZ121-BA121,MIN((AZ121-BA121)*(Inputs!$C$65/12)/(1-(1+Inputs!$C$65/12)^(-AY121))-BB121,AZ121-BA121)))</f>
        <v>0</v>
      </c>
      <c r="BD121" s="0" t="n">
        <f aca="false">(AZ121-BA121-BC121)*Inputs!$B$10</f>
        <v>0</v>
      </c>
      <c r="BE121" s="0" t="n">
        <f aca="false">AZ121-BA121-BC121-BD121</f>
        <v>0</v>
      </c>
      <c r="BF121" s="0" t="n">
        <f aca="false">Inputs!$D$66-(A121-1)</f>
        <v>-31</v>
      </c>
      <c r="BG121" s="0" t="n">
        <f aca="false">IF(BF121&lt;=0,0,IF(A121=1,Inputs!$B$66,BL120))</f>
        <v>0</v>
      </c>
      <c r="BH121" s="0" t="n">
        <f aca="false">BG121*Inputs!$B$9</f>
        <v>0</v>
      </c>
      <c r="BI121" s="0" t="n">
        <f aca="false">(BG121-BH121)*Inputs!$C$66/12</f>
        <v>0</v>
      </c>
      <c r="BJ121" s="0" t="n">
        <f aca="false">IF(BF121&lt;=0,0,IF(BF121=1,BG121-BH121,MIN((BG121-BH121)*(Inputs!$C$66/12)/(1-(1+Inputs!$C$66/12)^(-BF121))-BI121,BG121-BH121)))</f>
        <v>0</v>
      </c>
      <c r="BK121" s="0" t="n">
        <f aca="false">(BG121-BH121-BJ121)*Inputs!$B$10</f>
        <v>0</v>
      </c>
      <c r="BL121" s="0" t="n">
        <f aca="false">BG121-BH121-BJ121-BK121</f>
        <v>0</v>
      </c>
      <c r="BM121" s="0" t="n">
        <f aca="false">Inputs!$D$67-(A121-1)</f>
        <v>-31</v>
      </c>
      <c r="BN121" s="0" t="n">
        <f aca="false">IF(BM121&lt;=0,0,IF(A121=1,Inputs!$B$67,BS120))</f>
        <v>0</v>
      </c>
      <c r="BO121" s="0" t="n">
        <f aca="false">BN121*Inputs!$B$9</f>
        <v>0</v>
      </c>
      <c r="BP121" s="0" t="n">
        <f aca="false">(BN121-BO121)*Inputs!$C$67/12</f>
        <v>0</v>
      </c>
      <c r="BQ121" s="0" t="n">
        <f aca="false">IF(BM121&lt;=0,0,IF(BM121=1,BN121-BO121,MIN((BN121-BO121)*(Inputs!$C$67/12)/(1-(1+Inputs!$C$67/12)^(-BM121))-BP121,BN121-BO121)))</f>
        <v>0</v>
      </c>
      <c r="BR121" s="0" t="n">
        <f aca="false">(BN121-BO121-BQ121)*Inputs!$B$10</f>
        <v>0</v>
      </c>
      <c r="BS121" s="0" t="n">
        <f aca="false">BN121-BO121-BQ121-BR121</f>
        <v>0</v>
      </c>
      <c r="BT121" s="0" t="n">
        <f aca="false">C121+J121+Q121+X121+AE121+AL121+AS121+AZ121+BG121+BN121</f>
        <v>0</v>
      </c>
      <c r="BU121" s="0" t="n">
        <f aca="false">D121+K121+R121+Y121+AF121+AM121+AT121+BA121+BH121+BO121</f>
        <v>0</v>
      </c>
      <c r="BV121" s="0" t="n">
        <f aca="false">E121+L121+S121+Z121+AG121+AN121+AU121+BB121+BI121+BP121</f>
        <v>0</v>
      </c>
      <c r="BW121" s="0" t="n">
        <f aca="false">F121+M121+T121+AA121+AH121+AO121+AV121+BC121+BJ121+BQ121</f>
        <v>0</v>
      </c>
      <c r="BX121" s="0" t="n">
        <f aca="false">G121+N121+U121+AB121+AI121+AP121+AW121+BD121+BK121+BR121</f>
        <v>0</v>
      </c>
      <c r="BY121" s="0" t="n">
        <f aca="false">H121+O121+V121+AC121+AJ121+AQ121+AX121+BE121+BL121+BS121</f>
        <v>0</v>
      </c>
      <c r="BZ121" s="0" t="n">
        <f aca="false">IF(A121&gt;Inputs!$B$7,(1-Inputs!$B$6)*INDEX($BU$6:$BU$125,A121-Inputs!$B$7),0)</f>
        <v>0</v>
      </c>
      <c r="CA121" s="0" t="n">
        <f aca="false">CA120+(1-Inputs!$B$6)*BU121-BZ121</f>
        <v>-1.06979314296041E-010</v>
      </c>
      <c r="CB121" s="0" t="n">
        <f aca="false">BY121+CA121</f>
        <v>-1.06979314296041E-010</v>
      </c>
      <c r="CC121" s="0" t="n">
        <f aca="false">BV121+BW121+BX121+BZ121</f>
        <v>0</v>
      </c>
      <c r="CD121" s="0" t="n">
        <f aca="false">CD120+BU121-BZ121</f>
        <v>10913893.1228094</v>
      </c>
    </row>
    <row r="122" customFormat="false" ht="15" hidden="false" customHeight="false" outlineLevel="0" collapsed="false">
      <c r="A122" s="0" t="n">
        <f aca="false">ROW()-5</f>
        <v>117</v>
      </c>
      <c r="B122" s="0" t="n">
        <f aca="false">Inputs!$D$58-(A122-1)</f>
        <v>-80</v>
      </c>
      <c r="C122" s="0" t="n">
        <f aca="false">IF(B122&lt;=0,0,IF(A122=1,Inputs!$B$58,H121))</f>
        <v>0</v>
      </c>
      <c r="D122" s="0" t="n">
        <f aca="false">C122*Inputs!$B$9</f>
        <v>0</v>
      </c>
      <c r="E122" s="0" t="n">
        <f aca="false">(C122-D122)*Inputs!$C$58/12</f>
        <v>0</v>
      </c>
      <c r="F122" s="0" t="n">
        <f aca="false">IF(B122&lt;=0,0,IF(B122=1,C122-D122,MIN((C122-D122)*(Inputs!$C$58/12)/(1-(1+Inputs!$C$58/12)^(-B122))-E122,C122-D122)))</f>
        <v>0</v>
      </c>
      <c r="G122" s="0" t="n">
        <f aca="false">(C122-D122-F122)*Inputs!$B$10</f>
        <v>0</v>
      </c>
      <c r="H122" s="0" t="n">
        <f aca="false">C122-D122-F122-G122</f>
        <v>0</v>
      </c>
      <c r="I122" s="0" t="n">
        <f aca="false">Inputs!$D$59-(A122-1)</f>
        <v>-68</v>
      </c>
      <c r="J122" s="0" t="n">
        <f aca="false">IF(I122&lt;=0,0,IF(A122=1,Inputs!$B$59,O121))</f>
        <v>0</v>
      </c>
      <c r="K122" s="0" t="n">
        <f aca="false">J122*Inputs!$B$9</f>
        <v>0</v>
      </c>
      <c r="L122" s="0" t="n">
        <f aca="false">(J122-K122)*Inputs!$C$59/12</f>
        <v>0</v>
      </c>
      <c r="M122" s="0" t="n">
        <f aca="false">IF(I122&lt;=0,0,IF(I122=1,J122-K122,MIN((J122-K122)*(Inputs!$C$59/12)/(1-(1+Inputs!$C$59/12)^(-I122))-L122,J122-K122)))</f>
        <v>0</v>
      </c>
      <c r="N122" s="0" t="n">
        <f aca="false">(J122-K122-M122)*Inputs!$B$10</f>
        <v>0</v>
      </c>
      <c r="O122" s="0" t="n">
        <f aca="false">J122-K122-M122-N122</f>
        <v>0</v>
      </c>
      <c r="P122" s="0" t="n">
        <f aca="false">Inputs!$D$60-(A122-1)</f>
        <v>-68</v>
      </c>
      <c r="Q122" s="0" t="n">
        <f aca="false">IF(P122&lt;=0,0,IF(A122=1,Inputs!$B$60,V121))</f>
        <v>0</v>
      </c>
      <c r="R122" s="0" t="n">
        <f aca="false">Q122*Inputs!$B$9</f>
        <v>0</v>
      </c>
      <c r="S122" s="0" t="n">
        <f aca="false">(Q122-R122)*Inputs!$C$60/12</f>
        <v>0</v>
      </c>
      <c r="T122" s="0" t="n">
        <f aca="false">IF(P122&lt;=0,0,IF(P122=1,Q122-R122,MIN((Q122-R122)*(Inputs!$C$60/12)/(1-(1+Inputs!$C$60/12)^(-P122))-S122,Q122-R122)))</f>
        <v>0</v>
      </c>
      <c r="U122" s="0" t="n">
        <f aca="false">(Q122-R122-T122)*Inputs!$B$10</f>
        <v>0</v>
      </c>
      <c r="V122" s="0" t="n">
        <f aca="false">Q122-R122-T122-U122</f>
        <v>0</v>
      </c>
      <c r="W122" s="0" t="n">
        <f aca="false">Inputs!$D$61-(A122-1)</f>
        <v>-56</v>
      </c>
      <c r="X122" s="0" t="n">
        <f aca="false">IF(W122&lt;=0,0,IF(A122=1,Inputs!$B$61,AC121))</f>
        <v>0</v>
      </c>
      <c r="Y122" s="0" t="n">
        <f aca="false">X122*Inputs!$B$9</f>
        <v>0</v>
      </c>
      <c r="Z122" s="0" t="n">
        <f aca="false">(X122-Y122)*Inputs!$C$61/12</f>
        <v>0</v>
      </c>
      <c r="AA122" s="0" t="n">
        <f aca="false">IF(W122&lt;=0,0,IF(W122=1,X122-Y122,MIN((X122-Y122)*(Inputs!$C$61/12)/(1-(1+Inputs!$C$61/12)^(-W122))-Z122,X122-Y122)))</f>
        <v>0</v>
      </c>
      <c r="AB122" s="0" t="n">
        <f aca="false">(X122-Y122-AA122)*Inputs!$B$10</f>
        <v>0</v>
      </c>
      <c r="AC122" s="0" t="n">
        <f aca="false">X122-Y122-AA122-AB122</f>
        <v>0</v>
      </c>
      <c r="AD122" s="0" t="n">
        <f aca="false">Inputs!$D$62-(A122-1)</f>
        <v>-56</v>
      </c>
      <c r="AE122" s="0" t="n">
        <f aca="false">IF(AD122&lt;=0,0,IF(A122=1,Inputs!$B$62,AJ121))</f>
        <v>0</v>
      </c>
      <c r="AF122" s="0" t="n">
        <f aca="false">AE122*Inputs!$B$9</f>
        <v>0</v>
      </c>
      <c r="AG122" s="0" t="n">
        <f aca="false">(AE122-AF122)*Inputs!$C$62/12</f>
        <v>0</v>
      </c>
      <c r="AH122" s="0" t="n">
        <f aca="false">IF(AD122&lt;=0,0,IF(AD122=1,AE122-AF122,MIN((AE122-AF122)*(Inputs!$C$62/12)/(1-(1+Inputs!$C$62/12)^(-AD122))-AG122,AE122-AF122)))</f>
        <v>0</v>
      </c>
      <c r="AI122" s="0" t="n">
        <f aca="false">(AE122-AF122-AH122)*Inputs!$B$10</f>
        <v>0</v>
      </c>
      <c r="AJ122" s="0" t="n">
        <f aca="false">AE122-AF122-AH122-AI122</f>
        <v>0</v>
      </c>
      <c r="AK122" s="0" t="n">
        <f aca="false">Inputs!$D$63-(A122-1)</f>
        <v>-56</v>
      </c>
      <c r="AL122" s="0" t="n">
        <f aca="false">IF(AK122&lt;=0,0,IF(A122=1,Inputs!$B$63,AQ121))</f>
        <v>0</v>
      </c>
      <c r="AM122" s="0" t="n">
        <f aca="false">AL122*Inputs!$B$9</f>
        <v>0</v>
      </c>
      <c r="AN122" s="0" t="n">
        <f aca="false">(AL122-AM122)*Inputs!$C$63/12</f>
        <v>0</v>
      </c>
      <c r="AO122" s="0" t="n">
        <f aca="false">IF(AK122&lt;=0,0,IF(AK122=1,AL122-AM122,MIN((AL122-AM122)*(Inputs!$C$63/12)/(1-(1+Inputs!$C$63/12)^(-AK122))-AN122,AL122-AM122)))</f>
        <v>0</v>
      </c>
      <c r="AP122" s="0" t="n">
        <f aca="false">(AL122-AM122-AO122)*Inputs!$B$10</f>
        <v>0</v>
      </c>
      <c r="AQ122" s="0" t="n">
        <f aca="false">AL122-AM122-AO122-AP122</f>
        <v>0</v>
      </c>
      <c r="AR122" s="0" t="n">
        <f aca="false">Inputs!$D$64-(A122-1)</f>
        <v>-44</v>
      </c>
      <c r="AS122" s="0" t="n">
        <f aca="false">IF(AR122&lt;=0,0,IF(A122=1,Inputs!$B$64,AX121))</f>
        <v>0</v>
      </c>
      <c r="AT122" s="0" t="n">
        <f aca="false">AS122*Inputs!$B$9</f>
        <v>0</v>
      </c>
      <c r="AU122" s="0" t="n">
        <f aca="false">(AS122-AT122)*Inputs!$C$64/12</f>
        <v>0</v>
      </c>
      <c r="AV122" s="0" t="n">
        <f aca="false">IF(AR122&lt;=0,0,IF(AR122=1,AS122-AT122,MIN((AS122-AT122)*(Inputs!$C$64/12)/(1-(1+Inputs!$C$64/12)^(-AR122))-AU122,AS122-AT122)))</f>
        <v>0</v>
      </c>
      <c r="AW122" s="0" t="n">
        <f aca="false">(AS122-AT122-AV122)*Inputs!$B$10</f>
        <v>0</v>
      </c>
      <c r="AX122" s="0" t="n">
        <f aca="false">AS122-AT122-AV122-AW122</f>
        <v>0</v>
      </c>
      <c r="AY122" s="0" t="n">
        <f aca="false">Inputs!$D$65-(A122-1)</f>
        <v>-44</v>
      </c>
      <c r="AZ122" s="0" t="n">
        <f aca="false">IF(AY122&lt;=0,0,IF(A122=1,Inputs!$B$65,BE121))</f>
        <v>0</v>
      </c>
      <c r="BA122" s="0" t="n">
        <f aca="false">AZ122*Inputs!$B$9</f>
        <v>0</v>
      </c>
      <c r="BB122" s="0" t="n">
        <f aca="false">(AZ122-BA122)*Inputs!$C$65/12</f>
        <v>0</v>
      </c>
      <c r="BC122" s="0" t="n">
        <f aca="false">IF(AY122&lt;=0,0,IF(AY122=1,AZ122-BA122,MIN((AZ122-BA122)*(Inputs!$C$65/12)/(1-(1+Inputs!$C$65/12)^(-AY122))-BB122,AZ122-BA122)))</f>
        <v>0</v>
      </c>
      <c r="BD122" s="0" t="n">
        <f aca="false">(AZ122-BA122-BC122)*Inputs!$B$10</f>
        <v>0</v>
      </c>
      <c r="BE122" s="0" t="n">
        <f aca="false">AZ122-BA122-BC122-BD122</f>
        <v>0</v>
      </c>
      <c r="BF122" s="0" t="n">
        <f aca="false">Inputs!$D$66-(A122-1)</f>
        <v>-32</v>
      </c>
      <c r="BG122" s="0" t="n">
        <f aca="false">IF(BF122&lt;=0,0,IF(A122=1,Inputs!$B$66,BL121))</f>
        <v>0</v>
      </c>
      <c r="BH122" s="0" t="n">
        <f aca="false">BG122*Inputs!$B$9</f>
        <v>0</v>
      </c>
      <c r="BI122" s="0" t="n">
        <f aca="false">(BG122-BH122)*Inputs!$C$66/12</f>
        <v>0</v>
      </c>
      <c r="BJ122" s="0" t="n">
        <f aca="false">IF(BF122&lt;=0,0,IF(BF122=1,BG122-BH122,MIN((BG122-BH122)*(Inputs!$C$66/12)/(1-(1+Inputs!$C$66/12)^(-BF122))-BI122,BG122-BH122)))</f>
        <v>0</v>
      </c>
      <c r="BK122" s="0" t="n">
        <f aca="false">(BG122-BH122-BJ122)*Inputs!$B$10</f>
        <v>0</v>
      </c>
      <c r="BL122" s="0" t="n">
        <f aca="false">BG122-BH122-BJ122-BK122</f>
        <v>0</v>
      </c>
      <c r="BM122" s="0" t="n">
        <f aca="false">Inputs!$D$67-(A122-1)</f>
        <v>-32</v>
      </c>
      <c r="BN122" s="0" t="n">
        <f aca="false">IF(BM122&lt;=0,0,IF(A122=1,Inputs!$B$67,BS121))</f>
        <v>0</v>
      </c>
      <c r="BO122" s="0" t="n">
        <f aca="false">BN122*Inputs!$B$9</f>
        <v>0</v>
      </c>
      <c r="BP122" s="0" t="n">
        <f aca="false">(BN122-BO122)*Inputs!$C$67/12</f>
        <v>0</v>
      </c>
      <c r="BQ122" s="0" t="n">
        <f aca="false">IF(BM122&lt;=0,0,IF(BM122=1,BN122-BO122,MIN((BN122-BO122)*(Inputs!$C$67/12)/(1-(1+Inputs!$C$67/12)^(-BM122))-BP122,BN122-BO122)))</f>
        <v>0</v>
      </c>
      <c r="BR122" s="0" t="n">
        <f aca="false">(BN122-BO122-BQ122)*Inputs!$B$10</f>
        <v>0</v>
      </c>
      <c r="BS122" s="0" t="n">
        <f aca="false">BN122-BO122-BQ122-BR122</f>
        <v>0</v>
      </c>
      <c r="BT122" s="0" t="n">
        <f aca="false">C122+J122+Q122+X122+AE122+AL122+AS122+AZ122+BG122+BN122</f>
        <v>0</v>
      </c>
      <c r="BU122" s="0" t="n">
        <f aca="false">D122+K122+R122+Y122+AF122+AM122+AT122+BA122+BH122+BO122</f>
        <v>0</v>
      </c>
      <c r="BV122" s="0" t="n">
        <f aca="false">E122+L122+S122+Z122+AG122+AN122+AU122+BB122+BI122+BP122</f>
        <v>0</v>
      </c>
      <c r="BW122" s="0" t="n">
        <f aca="false">F122+M122+T122+AA122+AH122+AO122+AV122+BC122+BJ122+BQ122</f>
        <v>0</v>
      </c>
      <c r="BX122" s="0" t="n">
        <f aca="false">G122+N122+U122+AB122+AI122+AP122+AW122+BD122+BK122+BR122</f>
        <v>0</v>
      </c>
      <c r="BY122" s="0" t="n">
        <f aca="false">H122+O122+V122+AC122+AJ122+AQ122+AX122+BE122+BL122+BS122</f>
        <v>0</v>
      </c>
      <c r="BZ122" s="0" t="n">
        <f aca="false">IF(A122&gt;Inputs!$B$7,(1-Inputs!$B$6)*INDEX($BU$6:$BU$125,A122-Inputs!$B$7),0)</f>
        <v>0</v>
      </c>
      <c r="CA122" s="0" t="n">
        <f aca="false">CA121+(1-Inputs!$B$6)*BU122-BZ122</f>
        <v>-1.06979314296041E-010</v>
      </c>
      <c r="CB122" s="0" t="n">
        <f aca="false">BY122+CA122</f>
        <v>-1.06979314296041E-010</v>
      </c>
      <c r="CC122" s="0" t="n">
        <f aca="false">BV122+BW122+BX122+BZ122</f>
        <v>0</v>
      </c>
      <c r="CD122" s="0" t="n">
        <f aca="false">CD121+BU122-BZ122</f>
        <v>10913893.1228094</v>
      </c>
    </row>
    <row r="123" customFormat="false" ht="15" hidden="false" customHeight="false" outlineLevel="0" collapsed="false">
      <c r="A123" s="0" t="n">
        <f aca="false">ROW()-5</f>
        <v>118</v>
      </c>
      <c r="B123" s="0" t="n">
        <f aca="false">Inputs!$D$58-(A123-1)</f>
        <v>-81</v>
      </c>
      <c r="C123" s="0" t="n">
        <f aca="false">IF(B123&lt;=0,0,IF(A123=1,Inputs!$B$58,H122))</f>
        <v>0</v>
      </c>
      <c r="D123" s="0" t="n">
        <f aca="false">C123*Inputs!$B$9</f>
        <v>0</v>
      </c>
      <c r="E123" s="0" t="n">
        <f aca="false">(C123-D123)*Inputs!$C$58/12</f>
        <v>0</v>
      </c>
      <c r="F123" s="0" t="n">
        <f aca="false">IF(B123&lt;=0,0,IF(B123=1,C123-D123,MIN((C123-D123)*(Inputs!$C$58/12)/(1-(1+Inputs!$C$58/12)^(-B123))-E123,C123-D123)))</f>
        <v>0</v>
      </c>
      <c r="G123" s="0" t="n">
        <f aca="false">(C123-D123-F123)*Inputs!$B$10</f>
        <v>0</v>
      </c>
      <c r="H123" s="0" t="n">
        <f aca="false">C123-D123-F123-G123</f>
        <v>0</v>
      </c>
      <c r="I123" s="0" t="n">
        <f aca="false">Inputs!$D$59-(A123-1)</f>
        <v>-69</v>
      </c>
      <c r="J123" s="0" t="n">
        <f aca="false">IF(I123&lt;=0,0,IF(A123=1,Inputs!$B$59,O122))</f>
        <v>0</v>
      </c>
      <c r="K123" s="0" t="n">
        <f aca="false">J123*Inputs!$B$9</f>
        <v>0</v>
      </c>
      <c r="L123" s="0" t="n">
        <f aca="false">(J123-K123)*Inputs!$C$59/12</f>
        <v>0</v>
      </c>
      <c r="M123" s="0" t="n">
        <f aca="false">IF(I123&lt;=0,0,IF(I123=1,J123-K123,MIN((J123-K123)*(Inputs!$C$59/12)/(1-(1+Inputs!$C$59/12)^(-I123))-L123,J123-K123)))</f>
        <v>0</v>
      </c>
      <c r="N123" s="0" t="n">
        <f aca="false">(J123-K123-M123)*Inputs!$B$10</f>
        <v>0</v>
      </c>
      <c r="O123" s="0" t="n">
        <f aca="false">J123-K123-M123-N123</f>
        <v>0</v>
      </c>
      <c r="P123" s="0" t="n">
        <f aca="false">Inputs!$D$60-(A123-1)</f>
        <v>-69</v>
      </c>
      <c r="Q123" s="0" t="n">
        <f aca="false">IF(P123&lt;=0,0,IF(A123=1,Inputs!$B$60,V122))</f>
        <v>0</v>
      </c>
      <c r="R123" s="0" t="n">
        <f aca="false">Q123*Inputs!$B$9</f>
        <v>0</v>
      </c>
      <c r="S123" s="0" t="n">
        <f aca="false">(Q123-R123)*Inputs!$C$60/12</f>
        <v>0</v>
      </c>
      <c r="T123" s="0" t="n">
        <f aca="false">IF(P123&lt;=0,0,IF(P123=1,Q123-R123,MIN((Q123-R123)*(Inputs!$C$60/12)/(1-(1+Inputs!$C$60/12)^(-P123))-S123,Q123-R123)))</f>
        <v>0</v>
      </c>
      <c r="U123" s="0" t="n">
        <f aca="false">(Q123-R123-T123)*Inputs!$B$10</f>
        <v>0</v>
      </c>
      <c r="V123" s="0" t="n">
        <f aca="false">Q123-R123-T123-U123</f>
        <v>0</v>
      </c>
      <c r="W123" s="0" t="n">
        <f aca="false">Inputs!$D$61-(A123-1)</f>
        <v>-57</v>
      </c>
      <c r="X123" s="0" t="n">
        <f aca="false">IF(W123&lt;=0,0,IF(A123=1,Inputs!$B$61,AC122))</f>
        <v>0</v>
      </c>
      <c r="Y123" s="0" t="n">
        <f aca="false">X123*Inputs!$B$9</f>
        <v>0</v>
      </c>
      <c r="Z123" s="0" t="n">
        <f aca="false">(X123-Y123)*Inputs!$C$61/12</f>
        <v>0</v>
      </c>
      <c r="AA123" s="0" t="n">
        <f aca="false">IF(W123&lt;=0,0,IF(W123=1,X123-Y123,MIN((X123-Y123)*(Inputs!$C$61/12)/(1-(1+Inputs!$C$61/12)^(-W123))-Z123,X123-Y123)))</f>
        <v>0</v>
      </c>
      <c r="AB123" s="0" t="n">
        <f aca="false">(X123-Y123-AA123)*Inputs!$B$10</f>
        <v>0</v>
      </c>
      <c r="AC123" s="0" t="n">
        <f aca="false">X123-Y123-AA123-AB123</f>
        <v>0</v>
      </c>
      <c r="AD123" s="0" t="n">
        <f aca="false">Inputs!$D$62-(A123-1)</f>
        <v>-57</v>
      </c>
      <c r="AE123" s="0" t="n">
        <f aca="false">IF(AD123&lt;=0,0,IF(A123=1,Inputs!$B$62,AJ122))</f>
        <v>0</v>
      </c>
      <c r="AF123" s="0" t="n">
        <f aca="false">AE123*Inputs!$B$9</f>
        <v>0</v>
      </c>
      <c r="AG123" s="0" t="n">
        <f aca="false">(AE123-AF123)*Inputs!$C$62/12</f>
        <v>0</v>
      </c>
      <c r="AH123" s="0" t="n">
        <f aca="false">IF(AD123&lt;=0,0,IF(AD123=1,AE123-AF123,MIN((AE123-AF123)*(Inputs!$C$62/12)/(1-(1+Inputs!$C$62/12)^(-AD123))-AG123,AE123-AF123)))</f>
        <v>0</v>
      </c>
      <c r="AI123" s="0" t="n">
        <f aca="false">(AE123-AF123-AH123)*Inputs!$B$10</f>
        <v>0</v>
      </c>
      <c r="AJ123" s="0" t="n">
        <f aca="false">AE123-AF123-AH123-AI123</f>
        <v>0</v>
      </c>
      <c r="AK123" s="0" t="n">
        <f aca="false">Inputs!$D$63-(A123-1)</f>
        <v>-57</v>
      </c>
      <c r="AL123" s="0" t="n">
        <f aca="false">IF(AK123&lt;=0,0,IF(A123=1,Inputs!$B$63,AQ122))</f>
        <v>0</v>
      </c>
      <c r="AM123" s="0" t="n">
        <f aca="false">AL123*Inputs!$B$9</f>
        <v>0</v>
      </c>
      <c r="AN123" s="0" t="n">
        <f aca="false">(AL123-AM123)*Inputs!$C$63/12</f>
        <v>0</v>
      </c>
      <c r="AO123" s="0" t="n">
        <f aca="false">IF(AK123&lt;=0,0,IF(AK123=1,AL123-AM123,MIN((AL123-AM123)*(Inputs!$C$63/12)/(1-(1+Inputs!$C$63/12)^(-AK123))-AN123,AL123-AM123)))</f>
        <v>0</v>
      </c>
      <c r="AP123" s="0" t="n">
        <f aca="false">(AL123-AM123-AO123)*Inputs!$B$10</f>
        <v>0</v>
      </c>
      <c r="AQ123" s="0" t="n">
        <f aca="false">AL123-AM123-AO123-AP123</f>
        <v>0</v>
      </c>
      <c r="AR123" s="0" t="n">
        <f aca="false">Inputs!$D$64-(A123-1)</f>
        <v>-45</v>
      </c>
      <c r="AS123" s="0" t="n">
        <f aca="false">IF(AR123&lt;=0,0,IF(A123=1,Inputs!$B$64,AX122))</f>
        <v>0</v>
      </c>
      <c r="AT123" s="0" t="n">
        <f aca="false">AS123*Inputs!$B$9</f>
        <v>0</v>
      </c>
      <c r="AU123" s="0" t="n">
        <f aca="false">(AS123-AT123)*Inputs!$C$64/12</f>
        <v>0</v>
      </c>
      <c r="AV123" s="0" t="n">
        <f aca="false">IF(AR123&lt;=0,0,IF(AR123=1,AS123-AT123,MIN((AS123-AT123)*(Inputs!$C$64/12)/(1-(1+Inputs!$C$64/12)^(-AR123))-AU123,AS123-AT123)))</f>
        <v>0</v>
      </c>
      <c r="AW123" s="0" t="n">
        <f aca="false">(AS123-AT123-AV123)*Inputs!$B$10</f>
        <v>0</v>
      </c>
      <c r="AX123" s="0" t="n">
        <f aca="false">AS123-AT123-AV123-AW123</f>
        <v>0</v>
      </c>
      <c r="AY123" s="0" t="n">
        <f aca="false">Inputs!$D$65-(A123-1)</f>
        <v>-45</v>
      </c>
      <c r="AZ123" s="0" t="n">
        <f aca="false">IF(AY123&lt;=0,0,IF(A123=1,Inputs!$B$65,BE122))</f>
        <v>0</v>
      </c>
      <c r="BA123" s="0" t="n">
        <f aca="false">AZ123*Inputs!$B$9</f>
        <v>0</v>
      </c>
      <c r="BB123" s="0" t="n">
        <f aca="false">(AZ123-BA123)*Inputs!$C$65/12</f>
        <v>0</v>
      </c>
      <c r="BC123" s="0" t="n">
        <f aca="false">IF(AY123&lt;=0,0,IF(AY123=1,AZ123-BA123,MIN((AZ123-BA123)*(Inputs!$C$65/12)/(1-(1+Inputs!$C$65/12)^(-AY123))-BB123,AZ123-BA123)))</f>
        <v>0</v>
      </c>
      <c r="BD123" s="0" t="n">
        <f aca="false">(AZ123-BA123-BC123)*Inputs!$B$10</f>
        <v>0</v>
      </c>
      <c r="BE123" s="0" t="n">
        <f aca="false">AZ123-BA123-BC123-BD123</f>
        <v>0</v>
      </c>
      <c r="BF123" s="0" t="n">
        <f aca="false">Inputs!$D$66-(A123-1)</f>
        <v>-33</v>
      </c>
      <c r="BG123" s="0" t="n">
        <f aca="false">IF(BF123&lt;=0,0,IF(A123=1,Inputs!$B$66,BL122))</f>
        <v>0</v>
      </c>
      <c r="BH123" s="0" t="n">
        <f aca="false">BG123*Inputs!$B$9</f>
        <v>0</v>
      </c>
      <c r="BI123" s="0" t="n">
        <f aca="false">(BG123-BH123)*Inputs!$C$66/12</f>
        <v>0</v>
      </c>
      <c r="BJ123" s="0" t="n">
        <f aca="false">IF(BF123&lt;=0,0,IF(BF123=1,BG123-BH123,MIN((BG123-BH123)*(Inputs!$C$66/12)/(1-(1+Inputs!$C$66/12)^(-BF123))-BI123,BG123-BH123)))</f>
        <v>0</v>
      </c>
      <c r="BK123" s="0" t="n">
        <f aca="false">(BG123-BH123-BJ123)*Inputs!$B$10</f>
        <v>0</v>
      </c>
      <c r="BL123" s="0" t="n">
        <f aca="false">BG123-BH123-BJ123-BK123</f>
        <v>0</v>
      </c>
      <c r="BM123" s="0" t="n">
        <f aca="false">Inputs!$D$67-(A123-1)</f>
        <v>-33</v>
      </c>
      <c r="BN123" s="0" t="n">
        <f aca="false">IF(BM123&lt;=0,0,IF(A123=1,Inputs!$B$67,BS122))</f>
        <v>0</v>
      </c>
      <c r="BO123" s="0" t="n">
        <f aca="false">BN123*Inputs!$B$9</f>
        <v>0</v>
      </c>
      <c r="BP123" s="0" t="n">
        <f aca="false">(BN123-BO123)*Inputs!$C$67/12</f>
        <v>0</v>
      </c>
      <c r="BQ123" s="0" t="n">
        <f aca="false">IF(BM123&lt;=0,0,IF(BM123=1,BN123-BO123,MIN((BN123-BO123)*(Inputs!$C$67/12)/(1-(1+Inputs!$C$67/12)^(-BM123))-BP123,BN123-BO123)))</f>
        <v>0</v>
      </c>
      <c r="BR123" s="0" t="n">
        <f aca="false">(BN123-BO123-BQ123)*Inputs!$B$10</f>
        <v>0</v>
      </c>
      <c r="BS123" s="0" t="n">
        <f aca="false">BN123-BO123-BQ123-BR123</f>
        <v>0</v>
      </c>
      <c r="BT123" s="0" t="n">
        <f aca="false">C123+J123+Q123+X123+AE123+AL123+AS123+AZ123+BG123+BN123</f>
        <v>0</v>
      </c>
      <c r="BU123" s="0" t="n">
        <f aca="false">D123+K123+R123+Y123+AF123+AM123+AT123+BA123+BH123+BO123</f>
        <v>0</v>
      </c>
      <c r="BV123" s="0" t="n">
        <f aca="false">E123+L123+S123+Z123+AG123+AN123+AU123+BB123+BI123+BP123</f>
        <v>0</v>
      </c>
      <c r="BW123" s="0" t="n">
        <f aca="false">F123+M123+T123+AA123+AH123+AO123+AV123+BC123+BJ123+BQ123</f>
        <v>0</v>
      </c>
      <c r="BX123" s="0" t="n">
        <f aca="false">G123+N123+U123+AB123+AI123+AP123+AW123+BD123+BK123+BR123</f>
        <v>0</v>
      </c>
      <c r="BY123" s="0" t="n">
        <f aca="false">H123+O123+V123+AC123+AJ123+AQ123+AX123+BE123+BL123+BS123</f>
        <v>0</v>
      </c>
      <c r="BZ123" s="0" t="n">
        <f aca="false">IF(A123&gt;Inputs!$B$7,(1-Inputs!$B$6)*INDEX($BU$6:$BU$125,A123-Inputs!$B$7),0)</f>
        <v>0</v>
      </c>
      <c r="CA123" s="0" t="n">
        <f aca="false">CA122+(1-Inputs!$B$6)*BU123-BZ123</f>
        <v>-1.06979314296041E-010</v>
      </c>
      <c r="CB123" s="0" t="n">
        <f aca="false">BY123+CA123</f>
        <v>-1.06979314296041E-010</v>
      </c>
      <c r="CC123" s="0" t="n">
        <f aca="false">BV123+BW123+BX123+BZ123</f>
        <v>0</v>
      </c>
      <c r="CD123" s="0" t="n">
        <f aca="false">CD122+BU123-BZ123</f>
        <v>10913893.1228094</v>
      </c>
    </row>
    <row r="124" customFormat="false" ht="15" hidden="false" customHeight="false" outlineLevel="0" collapsed="false">
      <c r="A124" s="0" t="n">
        <f aca="false">ROW()-5</f>
        <v>119</v>
      </c>
      <c r="B124" s="0" t="n">
        <f aca="false">Inputs!$D$58-(A124-1)</f>
        <v>-82</v>
      </c>
      <c r="C124" s="0" t="n">
        <f aca="false">IF(B124&lt;=0,0,IF(A124=1,Inputs!$B$58,H123))</f>
        <v>0</v>
      </c>
      <c r="D124" s="0" t="n">
        <f aca="false">C124*Inputs!$B$9</f>
        <v>0</v>
      </c>
      <c r="E124" s="0" t="n">
        <f aca="false">(C124-D124)*Inputs!$C$58/12</f>
        <v>0</v>
      </c>
      <c r="F124" s="0" t="n">
        <f aca="false">IF(B124&lt;=0,0,IF(B124=1,C124-D124,MIN((C124-D124)*(Inputs!$C$58/12)/(1-(1+Inputs!$C$58/12)^(-B124))-E124,C124-D124)))</f>
        <v>0</v>
      </c>
      <c r="G124" s="0" t="n">
        <f aca="false">(C124-D124-F124)*Inputs!$B$10</f>
        <v>0</v>
      </c>
      <c r="H124" s="0" t="n">
        <f aca="false">C124-D124-F124-G124</f>
        <v>0</v>
      </c>
      <c r="I124" s="0" t="n">
        <f aca="false">Inputs!$D$59-(A124-1)</f>
        <v>-70</v>
      </c>
      <c r="J124" s="0" t="n">
        <f aca="false">IF(I124&lt;=0,0,IF(A124=1,Inputs!$B$59,O123))</f>
        <v>0</v>
      </c>
      <c r="K124" s="0" t="n">
        <f aca="false">J124*Inputs!$B$9</f>
        <v>0</v>
      </c>
      <c r="L124" s="0" t="n">
        <f aca="false">(J124-K124)*Inputs!$C$59/12</f>
        <v>0</v>
      </c>
      <c r="M124" s="0" t="n">
        <f aca="false">IF(I124&lt;=0,0,IF(I124=1,J124-K124,MIN((J124-K124)*(Inputs!$C$59/12)/(1-(1+Inputs!$C$59/12)^(-I124))-L124,J124-K124)))</f>
        <v>0</v>
      </c>
      <c r="N124" s="0" t="n">
        <f aca="false">(J124-K124-M124)*Inputs!$B$10</f>
        <v>0</v>
      </c>
      <c r="O124" s="0" t="n">
        <f aca="false">J124-K124-M124-N124</f>
        <v>0</v>
      </c>
      <c r="P124" s="0" t="n">
        <f aca="false">Inputs!$D$60-(A124-1)</f>
        <v>-70</v>
      </c>
      <c r="Q124" s="0" t="n">
        <f aca="false">IF(P124&lt;=0,0,IF(A124=1,Inputs!$B$60,V123))</f>
        <v>0</v>
      </c>
      <c r="R124" s="0" t="n">
        <f aca="false">Q124*Inputs!$B$9</f>
        <v>0</v>
      </c>
      <c r="S124" s="0" t="n">
        <f aca="false">(Q124-R124)*Inputs!$C$60/12</f>
        <v>0</v>
      </c>
      <c r="T124" s="0" t="n">
        <f aca="false">IF(P124&lt;=0,0,IF(P124=1,Q124-R124,MIN((Q124-R124)*(Inputs!$C$60/12)/(1-(1+Inputs!$C$60/12)^(-P124))-S124,Q124-R124)))</f>
        <v>0</v>
      </c>
      <c r="U124" s="0" t="n">
        <f aca="false">(Q124-R124-T124)*Inputs!$B$10</f>
        <v>0</v>
      </c>
      <c r="V124" s="0" t="n">
        <f aca="false">Q124-R124-T124-U124</f>
        <v>0</v>
      </c>
      <c r="W124" s="0" t="n">
        <f aca="false">Inputs!$D$61-(A124-1)</f>
        <v>-58</v>
      </c>
      <c r="X124" s="0" t="n">
        <f aca="false">IF(W124&lt;=0,0,IF(A124=1,Inputs!$B$61,AC123))</f>
        <v>0</v>
      </c>
      <c r="Y124" s="0" t="n">
        <f aca="false">X124*Inputs!$B$9</f>
        <v>0</v>
      </c>
      <c r="Z124" s="0" t="n">
        <f aca="false">(X124-Y124)*Inputs!$C$61/12</f>
        <v>0</v>
      </c>
      <c r="AA124" s="0" t="n">
        <f aca="false">IF(W124&lt;=0,0,IF(W124=1,X124-Y124,MIN((X124-Y124)*(Inputs!$C$61/12)/(1-(1+Inputs!$C$61/12)^(-W124))-Z124,X124-Y124)))</f>
        <v>0</v>
      </c>
      <c r="AB124" s="0" t="n">
        <f aca="false">(X124-Y124-AA124)*Inputs!$B$10</f>
        <v>0</v>
      </c>
      <c r="AC124" s="0" t="n">
        <f aca="false">X124-Y124-AA124-AB124</f>
        <v>0</v>
      </c>
      <c r="AD124" s="0" t="n">
        <f aca="false">Inputs!$D$62-(A124-1)</f>
        <v>-58</v>
      </c>
      <c r="AE124" s="0" t="n">
        <f aca="false">IF(AD124&lt;=0,0,IF(A124=1,Inputs!$B$62,AJ123))</f>
        <v>0</v>
      </c>
      <c r="AF124" s="0" t="n">
        <f aca="false">AE124*Inputs!$B$9</f>
        <v>0</v>
      </c>
      <c r="AG124" s="0" t="n">
        <f aca="false">(AE124-AF124)*Inputs!$C$62/12</f>
        <v>0</v>
      </c>
      <c r="AH124" s="0" t="n">
        <f aca="false">IF(AD124&lt;=0,0,IF(AD124=1,AE124-AF124,MIN((AE124-AF124)*(Inputs!$C$62/12)/(1-(1+Inputs!$C$62/12)^(-AD124))-AG124,AE124-AF124)))</f>
        <v>0</v>
      </c>
      <c r="AI124" s="0" t="n">
        <f aca="false">(AE124-AF124-AH124)*Inputs!$B$10</f>
        <v>0</v>
      </c>
      <c r="AJ124" s="0" t="n">
        <f aca="false">AE124-AF124-AH124-AI124</f>
        <v>0</v>
      </c>
      <c r="AK124" s="0" t="n">
        <f aca="false">Inputs!$D$63-(A124-1)</f>
        <v>-58</v>
      </c>
      <c r="AL124" s="0" t="n">
        <f aca="false">IF(AK124&lt;=0,0,IF(A124=1,Inputs!$B$63,AQ123))</f>
        <v>0</v>
      </c>
      <c r="AM124" s="0" t="n">
        <f aca="false">AL124*Inputs!$B$9</f>
        <v>0</v>
      </c>
      <c r="AN124" s="0" t="n">
        <f aca="false">(AL124-AM124)*Inputs!$C$63/12</f>
        <v>0</v>
      </c>
      <c r="AO124" s="0" t="n">
        <f aca="false">IF(AK124&lt;=0,0,IF(AK124=1,AL124-AM124,MIN((AL124-AM124)*(Inputs!$C$63/12)/(1-(1+Inputs!$C$63/12)^(-AK124))-AN124,AL124-AM124)))</f>
        <v>0</v>
      </c>
      <c r="AP124" s="0" t="n">
        <f aca="false">(AL124-AM124-AO124)*Inputs!$B$10</f>
        <v>0</v>
      </c>
      <c r="AQ124" s="0" t="n">
        <f aca="false">AL124-AM124-AO124-AP124</f>
        <v>0</v>
      </c>
      <c r="AR124" s="0" t="n">
        <f aca="false">Inputs!$D$64-(A124-1)</f>
        <v>-46</v>
      </c>
      <c r="AS124" s="0" t="n">
        <f aca="false">IF(AR124&lt;=0,0,IF(A124=1,Inputs!$B$64,AX123))</f>
        <v>0</v>
      </c>
      <c r="AT124" s="0" t="n">
        <f aca="false">AS124*Inputs!$B$9</f>
        <v>0</v>
      </c>
      <c r="AU124" s="0" t="n">
        <f aca="false">(AS124-AT124)*Inputs!$C$64/12</f>
        <v>0</v>
      </c>
      <c r="AV124" s="0" t="n">
        <f aca="false">IF(AR124&lt;=0,0,IF(AR124=1,AS124-AT124,MIN((AS124-AT124)*(Inputs!$C$64/12)/(1-(1+Inputs!$C$64/12)^(-AR124))-AU124,AS124-AT124)))</f>
        <v>0</v>
      </c>
      <c r="AW124" s="0" t="n">
        <f aca="false">(AS124-AT124-AV124)*Inputs!$B$10</f>
        <v>0</v>
      </c>
      <c r="AX124" s="0" t="n">
        <f aca="false">AS124-AT124-AV124-AW124</f>
        <v>0</v>
      </c>
      <c r="AY124" s="0" t="n">
        <f aca="false">Inputs!$D$65-(A124-1)</f>
        <v>-46</v>
      </c>
      <c r="AZ124" s="0" t="n">
        <f aca="false">IF(AY124&lt;=0,0,IF(A124=1,Inputs!$B$65,BE123))</f>
        <v>0</v>
      </c>
      <c r="BA124" s="0" t="n">
        <f aca="false">AZ124*Inputs!$B$9</f>
        <v>0</v>
      </c>
      <c r="BB124" s="0" t="n">
        <f aca="false">(AZ124-BA124)*Inputs!$C$65/12</f>
        <v>0</v>
      </c>
      <c r="BC124" s="0" t="n">
        <f aca="false">IF(AY124&lt;=0,0,IF(AY124=1,AZ124-BA124,MIN((AZ124-BA124)*(Inputs!$C$65/12)/(1-(1+Inputs!$C$65/12)^(-AY124))-BB124,AZ124-BA124)))</f>
        <v>0</v>
      </c>
      <c r="BD124" s="0" t="n">
        <f aca="false">(AZ124-BA124-BC124)*Inputs!$B$10</f>
        <v>0</v>
      </c>
      <c r="BE124" s="0" t="n">
        <f aca="false">AZ124-BA124-BC124-BD124</f>
        <v>0</v>
      </c>
      <c r="BF124" s="0" t="n">
        <f aca="false">Inputs!$D$66-(A124-1)</f>
        <v>-34</v>
      </c>
      <c r="BG124" s="0" t="n">
        <f aca="false">IF(BF124&lt;=0,0,IF(A124=1,Inputs!$B$66,BL123))</f>
        <v>0</v>
      </c>
      <c r="BH124" s="0" t="n">
        <f aca="false">BG124*Inputs!$B$9</f>
        <v>0</v>
      </c>
      <c r="BI124" s="0" t="n">
        <f aca="false">(BG124-BH124)*Inputs!$C$66/12</f>
        <v>0</v>
      </c>
      <c r="BJ124" s="0" t="n">
        <f aca="false">IF(BF124&lt;=0,0,IF(BF124=1,BG124-BH124,MIN((BG124-BH124)*(Inputs!$C$66/12)/(1-(1+Inputs!$C$66/12)^(-BF124))-BI124,BG124-BH124)))</f>
        <v>0</v>
      </c>
      <c r="BK124" s="0" t="n">
        <f aca="false">(BG124-BH124-BJ124)*Inputs!$B$10</f>
        <v>0</v>
      </c>
      <c r="BL124" s="0" t="n">
        <f aca="false">BG124-BH124-BJ124-BK124</f>
        <v>0</v>
      </c>
      <c r="BM124" s="0" t="n">
        <f aca="false">Inputs!$D$67-(A124-1)</f>
        <v>-34</v>
      </c>
      <c r="BN124" s="0" t="n">
        <f aca="false">IF(BM124&lt;=0,0,IF(A124=1,Inputs!$B$67,BS123))</f>
        <v>0</v>
      </c>
      <c r="BO124" s="0" t="n">
        <f aca="false">BN124*Inputs!$B$9</f>
        <v>0</v>
      </c>
      <c r="BP124" s="0" t="n">
        <f aca="false">(BN124-BO124)*Inputs!$C$67/12</f>
        <v>0</v>
      </c>
      <c r="BQ124" s="0" t="n">
        <f aca="false">IF(BM124&lt;=0,0,IF(BM124=1,BN124-BO124,MIN((BN124-BO124)*(Inputs!$C$67/12)/(1-(1+Inputs!$C$67/12)^(-BM124))-BP124,BN124-BO124)))</f>
        <v>0</v>
      </c>
      <c r="BR124" s="0" t="n">
        <f aca="false">(BN124-BO124-BQ124)*Inputs!$B$10</f>
        <v>0</v>
      </c>
      <c r="BS124" s="0" t="n">
        <f aca="false">BN124-BO124-BQ124-BR124</f>
        <v>0</v>
      </c>
      <c r="BT124" s="0" t="n">
        <f aca="false">C124+J124+Q124+X124+AE124+AL124+AS124+AZ124+BG124+BN124</f>
        <v>0</v>
      </c>
      <c r="BU124" s="0" t="n">
        <f aca="false">D124+K124+R124+Y124+AF124+AM124+AT124+BA124+BH124+BO124</f>
        <v>0</v>
      </c>
      <c r="BV124" s="0" t="n">
        <f aca="false">E124+L124+S124+Z124+AG124+AN124+AU124+BB124+BI124+BP124</f>
        <v>0</v>
      </c>
      <c r="BW124" s="0" t="n">
        <f aca="false">F124+M124+T124+AA124+AH124+AO124+AV124+BC124+BJ124+BQ124</f>
        <v>0</v>
      </c>
      <c r="BX124" s="0" t="n">
        <f aca="false">G124+N124+U124+AB124+AI124+AP124+AW124+BD124+BK124+BR124</f>
        <v>0</v>
      </c>
      <c r="BY124" s="0" t="n">
        <f aca="false">H124+O124+V124+AC124+AJ124+AQ124+AX124+BE124+BL124+BS124</f>
        <v>0</v>
      </c>
      <c r="BZ124" s="0" t="n">
        <f aca="false">IF(A124&gt;Inputs!$B$7,(1-Inputs!$B$6)*INDEX($BU$6:$BU$125,A124-Inputs!$B$7),0)</f>
        <v>0</v>
      </c>
      <c r="CA124" s="0" t="n">
        <f aca="false">CA123+(1-Inputs!$B$6)*BU124-BZ124</f>
        <v>-1.06979314296041E-010</v>
      </c>
      <c r="CB124" s="0" t="n">
        <f aca="false">BY124+CA124</f>
        <v>-1.06979314296041E-010</v>
      </c>
      <c r="CC124" s="0" t="n">
        <f aca="false">BV124+BW124+BX124+BZ124</f>
        <v>0</v>
      </c>
      <c r="CD124" s="0" t="n">
        <f aca="false">CD123+BU124-BZ124</f>
        <v>10913893.1228094</v>
      </c>
    </row>
    <row r="125" customFormat="false" ht="15" hidden="false" customHeight="false" outlineLevel="0" collapsed="false">
      <c r="A125" s="0" t="n">
        <f aca="false">ROW()-5</f>
        <v>120</v>
      </c>
      <c r="B125" s="0" t="n">
        <f aca="false">Inputs!$D$58-(A125-1)</f>
        <v>-83</v>
      </c>
      <c r="C125" s="0" t="n">
        <f aca="false">IF(B125&lt;=0,0,IF(A125=1,Inputs!$B$58,H124))</f>
        <v>0</v>
      </c>
      <c r="D125" s="0" t="n">
        <f aca="false">C125*Inputs!$B$9</f>
        <v>0</v>
      </c>
      <c r="E125" s="0" t="n">
        <f aca="false">(C125-D125)*Inputs!$C$58/12</f>
        <v>0</v>
      </c>
      <c r="F125" s="0" t="n">
        <f aca="false">IF(B125&lt;=0,0,IF(B125=1,C125-D125,MIN((C125-D125)*(Inputs!$C$58/12)/(1-(1+Inputs!$C$58/12)^(-B125))-E125,C125-D125)))</f>
        <v>0</v>
      </c>
      <c r="G125" s="0" t="n">
        <f aca="false">(C125-D125-F125)*Inputs!$B$10</f>
        <v>0</v>
      </c>
      <c r="H125" s="0" t="n">
        <f aca="false">C125-D125-F125-G125</f>
        <v>0</v>
      </c>
      <c r="I125" s="0" t="n">
        <f aca="false">Inputs!$D$59-(A125-1)</f>
        <v>-71</v>
      </c>
      <c r="J125" s="0" t="n">
        <f aca="false">IF(I125&lt;=0,0,IF(A125=1,Inputs!$B$59,O124))</f>
        <v>0</v>
      </c>
      <c r="K125" s="0" t="n">
        <f aca="false">J125*Inputs!$B$9</f>
        <v>0</v>
      </c>
      <c r="L125" s="0" t="n">
        <f aca="false">(J125-K125)*Inputs!$C$59/12</f>
        <v>0</v>
      </c>
      <c r="M125" s="0" t="n">
        <f aca="false">IF(I125&lt;=0,0,IF(I125=1,J125-K125,MIN((J125-K125)*(Inputs!$C$59/12)/(1-(1+Inputs!$C$59/12)^(-I125))-L125,J125-K125)))</f>
        <v>0</v>
      </c>
      <c r="N125" s="0" t="n">
        <f aca="false">(J125-K125-M125)*Inputs!$B$10</f>
        <v>0</v>
      </c>
      <c r="O125" s="0" t="n">
        <f aca="false">J125-K125-M125-N125</f>
        <v>0</v>
      </c>
      <c r="P125" s="0" t="n">
        <f aca="false">Inputs!$D$60-(A125-1)</f>
        <v>-71</v>
      </c>
      <c r="Q125" s="0" t="n">
        <f aca="false">IF(P125&lt;=0,0,IF(A125=1,Inputs!$B$60,V124))</f>
        <v>0</v>
      </c>
      <c r="R125" s="0" t="n">
        <f aca="false">Q125*Inputs!$B$9</f>
        <v>0</v>
      </c>
      <c r="S125" s="0" t="n">
        <f aca="false">(Q125-R125)*Inputs!$C$60/12</f>
        <v>0</v>
      </c>
      <c r="T125" s="0" t="n">
        <f aca="false">IF(P125&lt;=0,0,IF(P125=1,Q125-R125,MIN((Q125-R125)*(Inputs!$C$60/12)/(1-(1+Inputs!$C$60/12)^(-P125))-S125,Q125-R125)))</f>
        <v>0</v>
      </c>
      <c r="U125" s="0" t="n">
        <f aca="false">(Q125-R125-T125)*Inputs!$B$10</f>
        <v>0</v>
      </c>
      <c r="V125" s="0" t="n">
        <f aca="false">Q125-R125-T125-U125</f>
        <v>0</v>
      </c>
      <c r="W125" s="0" t="n">
        <f aca="false">Inputs!$D$61-(A125-1)</f>
        <v>-59</v>
      </c>
      <c r="X125" s="0" t="n">
        <f aca="false">IF(W125&lt;=0,0,IF(A125=1,Inputs!$B$61,AC124))</f>
        <v>0</v>
      </c>
      <c r="Y125" s="0" t="n">
        <f aca="false">X125*Inputs!$B$9</f>
        <v>0</v>
      </c>
      <c r="Z125" s="0" t="n">
        <f aca="false">(X125-Y125)*Inputs!$C$61/12</f>
        <v>0</v>
      </c>
      <c r="AA125" s="0" t="n">
        <f aca="false">IF(W125&lt;=0,0,IF(W125=1,X125-Y125,MIN((X125-Y125)*(Inputs!$C$61/12)/(1-(1+Inputs!$C$61/12)^(-W125))-Z125,X125-Y125)))</f>
        <v>0</v>
      </c>
      <c r="AB125" s="0" t="n">
        <f aca="false">(X125-Y125-AA125)*Inputs!$B$10</f>
        <v>0</v>
      </c>
      <c r="AC125" s="0" t="n">
        <f aca="false">X125-Y125-AA125-AB125</f>
        <v>0</v>
      </c>
      <c r="AD125" s="0" t="n">
        <f aca="false">Inputs!$D$62-(A125-1)</f>
        <v>-59</v>
      </c>
      <c r="AE125" s="0" t="n">
        <f aca="false">IF(AD125&lt;=0,0,IF(A125=1,Inputs!$B$62,AJ124))</f>
        <v>0</v>
      </c>
      <c r="AF125" s="0" t="n">
        <f aca="false">AE125*Inputs!$B$9</f>
        <v>0</v>
      </c>
      <c r="AG125" s="0" t="n">
        <f aca="false">(AE125-AF125)*Inputs!$C$62/12</f>
        <v>0</v>
      </c>
      <c r="AH125" s="0" t="n">
        <f aca="false">IF(AD125&lt;=0,0,IF(AD125=1,AE125-AF125,MIN((AE125-AF125)*(Inputs!$C$62/12)/(1-(1+Inputs!$C$62/12)^(-AD125))-AG125,AE125-AF125)))</f>
        <v>0</v>
      </c>
      <c r="AI125" s="0" t="n">
        <f aca="false">(AE125-AF125-AH125)*Inputs!$B$10</f>
        <v>0</v>
      </c>
      <c r="AJ125" s="0" t="n">
        <f aca="false">AE125-AF125-AH125-AI125</f>
        <v>0</v>
      </c>
      <c r="AK125" s="0" t="n">
        <f aca="false">Inputs!$D$63-(A125-1)</f>
        <v>-59</v>
      </c>
      <c r="AL125" s="0" t="n">
        <f aca="false">IF(AK125&lt;=0,0,IF(A125=1,Inputs!$B$63,AQ124))</f>
        <v>0</v>
      </c>
      <c r="AM125" s="0" t="n">
        <f aca="false">AL125*Inputs!$B$9</f>
        <v>0</v>
      </c>
      <c r="AN125" s="0" t="n">
        <f aca="false">(AL125-AM125)*Inputs!$C$63/12</f>
        <v>0</v>
      </c>
      <c r="AO125" s="0" t="n">
        <f aca="false">IF(AK125&lt;=0,0,IF(AK125=1,AL125-AM125,MIN((AL125-AM125)*(Inputs!$C$63/12)/(1-(1+Inputs!$C$63/12)^(-AK125))-AN125,AL125-AM125)))</f>
        <v>0</v>
      </c>
      <c r="AP125" s="0" t="n">
        <f aca="false">(AL125-AM125-AO125)*Inputs!$B$10</f>
        <v>0</v>
      </c>
      <c r="AQ125" s="0" t="n">
        <f aca="false">AL125-AM125-AO125-AP125</f>
        <v>0</v>
      </c>
      <c r="AR125" s="0" t="n">
        <f aca="false">Inputs!$D$64-(A125-1)</f>
        <v>-47</v>
      </c>
      <c r="AS125" s="0" t="n">
        <f aca="false">IF(AR125&lt;=0,0,IF(A125=1,Inputs!$B$64,AX124))</f>
        <v>0</v>
      </c>
      <c r="AT125" s="0" t="n">
        <f aca="false">AS125*Inputs!$B$9</f>
        <v>0</v>
      </c>
      <c r="AU125" s="0" t="n">
        <f aca="false">(AS125-AT125)*Inputs!$C$64/12</f>
        <v>0</v>
      </c>
      <c r="AV125" s="0" t="n">
        <f aca="false">IF(AR125&lt;=0,0,IF(AR125=1,AS125-AT125,MIN((AS125-AT125)*(Inputs!$C$64/12)/(1-(1+Inputs!$C$64/12)^(-AR125))-AU125,AS125-AT125)))</f>
        <v>0</v>
      </c>
      <c r="AW125" s="0" t="n">
        <f aca="false">(AS125-AT125-AV125)*Inputs!$B$10</f>
        <v>0</v>
      </c>
      <c r="AX125" s="0" t="n">
        <f aca="false">AS125-AT125-AV125-AW125</f>
        <v>0</v>
      </c>
      <c r="AY125" s="0" t="n">
        <f aca="false">Inputs!$D$65-(A125-1)</f>
        <v>-47</v>
      </c>
      <c r="AZ125" s="0" t="n">
        <f aca="false">IF(AY125&lt;=0,0,IF(A125=1,Inputs!$B$65,BE124))</f>
        <v>0</v>
      </c>
      <c r="BA125" s="0" t="n">
        <f aca="false">AZ125*Inputs!$B$9</f>
        <v>0</v>
      </c>
      <c r="BB125" s="0" t="n">
        <f aca="false">(AZ125-BA125)*Inputs!$C$65/12</f>
        <v>0</v>
      </c>
      <c r="BC125" s="0" t="n">
        <f aca="false">IF(AY125&lt;=0,0,IF(AY125=1,AZ125-BA125,MIN((AZ125-BA125)*(Inputs!$C$65/12)/(1-(1+Inputs!$C$65/12)^(-AY125))-BB125,AZ125-BA125)))</f>
        <v>0</v>
      </c>
      <c r="BD125" s="0" t="n">
        <f aca="false">(AZ125-BA125-BC125)*Inputs!$B$10</f>
        <v>0</v>
      </c>
      <c r="BE125" s="0" t="n">
        <f aca="false">AZ125-BA125-BC125-BD125</f>
        <v>0</v>
      </c>
      <c r="BF125" s="0" t="n">
        <f aca="false">Inputs!$D$66-(A125-1)</f>
        <v>-35</v>
      </c>
      <c r="BG125" s="0" t="n">
        <f aca="false">IF(BF125&lt;=0,0,IF(A125=1,Inputs!$B$66,BL124))</f>
        <v>0</v>
      </c>
      <c r="BH125" s="0" t="n">
        <f aca="false">BG125*Inputs!$B$9</f>
        <v>0</v>
      </c>
      <c r="BI125" s="0" t="n">
        <f aca="false">(BG125-BH125)*Inputs!$C$66/12</f>
        <v>0</v>
      </c>
      <c r="BJ125" s="0" t="n">
        <f aca="false">IF(BF125&lt;=0,0,IF(BF125=1,BG125-BH125,MIN((BG125-BH125)*(Inputs!$C$66/12)/(1-(1+Inputs!$C$66/12)^(-BF125))-BI125,BG125-BH125)))</f>
        <v>0</v>
      </c>
      <c r="BK125" s="0" t="n">
        <f aca="false">(BG125-BH125-BJ125)*Inputs!$B$10</f>
        <v>0</v>
      </c>
      <c r="BL125" s="0" t="n">
        <f aca="false">BG125-BH125-BJ125-BK125</f>
        <v>0</v>
      </c>
      <c r="BM125" s="0" t="n">
        <f aca="false">Inputs!$D$67-(A125-1)</f>
        <v>-35</v>
      </c>
      <c r="BN125" s="0" t="n">
        <f aca="false">IF(BM125&lt;=0,0,IF(A125=1,Inputs!$B$67,BS124))</f>
        <v>0</v>
      </c>
      <c r="BO125" s="0" t="n">
        <f aca="false">BN125*Inputs!$B$9</f>
        <v>0</v>
      </c>
      <c r="BP125" s="0" t="n">
        <f aca="false">(BN125-BO125)*Inputs!$C$67/12</f>
        <v>0</v>
      </c>
      <c r="BQ125" s="0" t="n">
        <f aca="false">IF(BM125&lt;=0,0,IF(BM125=1,BN125-BO125,MIN((BN125-BO125)*(Inputs!$C$67/12)/(1-(1+Inputs!$C$67/12)^(-BM125))-BP125,BN125-BO125)))</f>
        <v>0</v>
      </c>
      <c r="BR125" s="0" t="n">
        <f aca="false">(BN125-BO125-BQ125)*Inputs!$B$10</f>
        <v>0</v>
      </c>
      <c r="BS125" s="0" t="n">
        <f aca="false">BN125-BO125-BQ125-BR125</f>
        <v>0</v>
      </c>
      <c r="BT125" s="0" t="n">
        <f aca="false">C125+J125+Q125+X125+AE125+AL125+AS125+AZ125+BG125+BN125</f>
        <v>0</v>
      </c>
      <c r="BU125" s="0" t="n">
        <f aca="false">D125+K125+R125+Y125+AF125+AM125+AT125+BA125+BH125+BO125</f>
        <v>0</v>
      </c>
      <c r="BV125" s="0" t="n">
        <f aca="false">E125+L125+S125+Z125+AG125+AN125+AU125+BB125+BI125+BP125</f>
        <v>0</v>
      </c>
      <c r="BW125" s="0" t="n">
        <f aca="false">F125+M125+T125+AA125+AH125+AO125+AV125+BC125+BJ125+BQ125</f>
        <v>0</v>
      </c>
      <c r="BX125" s="0" t="n">
        <f aca="false">G125+N125+U125+AB125+AI125+AP125+AW125+BD125+BK125+BR125</f>
        <v>0</v>
      </c>
      <c r="BY125" s="0" t="n">
        <f aca="false">H125+O125+V125+AC125+AJ125+AQ125+AX125+BE125+BL125+BS125</f>
        <v>0</v>
      </c>
      <c r="BZ125" s="0" t="n">
        <f aca="false">IF(A125&gt;Inputs!$B$7,(1-Inputs!$B$6)*INDEX($BU$6:$BU$125,A125-Inputs!$B$7),0)</f>
        <v>0</v>
      </c>
      <c r="CA125" s="0" t="n">
        <f aca="false">CA124+(1-Inputs!$B$6)*BU125-BZ125</f>
        <v>-1.06979314296041E-010</v>
      </c>
      <c r="CB125" s="0" t="n">
        <f aca="false">BY125+CA125</f>
        <v>-1.06979314296041E-010</v>
      </c>
      <c r="CC125" s="0" t="n">
        <f aca="false">BV125+BW125+BX125+BZ125</f>
        <v>0</v>
      </c>
      <c r="CD125" s="0" t="n">
        <f aca="false">CD124+BU125-BZ125</f>
        <v>10913893.1228094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EE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sheetData>
    <row r="4" customFormat="false" ht="15" hidden="false" customHeight="false" outlineLevel="0" collapsed="false">
      <c r="A4" s="0" t="s">
        <v>67</v>
      </c>
      <c r="B4" s="0" t="s">
        <v>149</v>
      </c>
      <c r="C4" s="0" t="s">
        <v>150</v>
      </c>
      <c r="D4" s="0" t="s">
        <v>151</v>
      </c>
      <c r="E4" s="0" t="s">
        <v>152</v>
      </c>
      <c r="F4" s="0" t="s">
        <v>153</v>
      </c>
      <c r="G4" s="0" t="s">
        <v>154</v>
      </c>
      <c r="H4" s="0" t="s">
        <v>155</v>
      </c>
      <c r="I4" s="0" t="s">
        <v>156</v>
      </c>
      <c r="J4" s="0" t="s">
        <v>157</v>
      </c>
      <c r="K4" s="0" t="s">
        <v>158</v>
      </c>
      <c r="L4" s="0" t="s">
        <v>159</v>
      </c>
      <c r="M4" s="0" t="s">
        <v>160</v>
      </c>
      <c r="N4" s="0" t="s">
        <v>161</v>
      </c>
      <c r="O4" s="0" t="s">
        <v>162</v>
      </c>
      <c r="P4" s="0" t="s">
        <v>163</v>
      </c>
      <c r="Q4" s="0" t="s">
        <v>164</v>
      </c>
      <c r="R4" s="0" t="s">
        <v>165</v>
      </c>
      <c r="S4" s="0" t="s">
        <v>166</v>
      </c>
      <c r="T4" s="0" t="s">
        <v>167</v>
      </c>
      <c r="U4" s="0" t="s">
        <v>168</v>
      </c>
      <c r="V4" s="0" t="s">
        <v>169</v>
      </c>
      <c r="W4" s="0" t="s">
        <v>170</v>
      </c>
      <c r="X4" s="0" t="s">
        <v>171</v>
      </c>
      <c r="Y4" s="0" t="s">
        <v>172</v>
      </c>
      <c r="Z4" s="0" t="s">
        <v>173</v>
      </c>
      <c r="AA4" s="0" t="s">
        <v>174</v>
      </c>
      <c r="AB4" s="0" t="s">
        <v>175</v>
      </c>
      <c r="AC4" s="0" t="s">
        <v>176</v>
      </c>
      <c r="AD4" s="0" t="s">
        <v>177</v>
      </c>
      <c r="AE4" s="0" t="s">
        <v>178</v>
      </c>
      <c r="AF4" s="0" t="s">
        <v>179</v>
      </c>
      <c r="AG4" s="0" t="s">
        <v>180</v>
      </c>
      <c r="AH4" s="0" t="s">
        <v>181</v>
      </c>
      <c r="AI4" s="0" t="s">
        <v>182</v>
      </c>
      <c r="AJ4" s="0" t="s">
        <v>183</v>
      </c>
      <c r="AK4" s="0" t="s">
        <v>184</v>
      </c>
      <c r="AL4" s="0" t="s">
        <v>185</v>
      </c>
      <c r="AM4" s="0" t="s">
        <v>186</v>
      </c>
      <c r="AN4" s="0" t="s">
        <v>187</v>
      </c>
      <c r="AO4" s="0" t="s">
        <v>188</v>
      </c>
      <c r="AP4" s="0" t="s">
        <v>189</v>
      </c>
      <c r="AQ4" s="0" t="s">
        <v>190</v>
      </c>
      <c r="AR4" s="0" t="s">
        <v>191</v>
      </c>
      <c r="AS4" s="0" t="s">
        <v>192</v>
      </c>
      <c r="AT4" s="0" t="s">
        <v>193</v>
      </c>
      <c r="AU4" s="0" t="s">
        <v>194</v>
      </c>
      <c r="AV4" s="0" t="s">
        <v>195</v>
      </c>
      <c r="AW4" s="0" t="s">
        <v>196</v>
      </c>
      <c r="AX4" s="0" t="s">
        <v>197</v>
      </c>
      <c r="AY4" s="0" t="s">
        <v>198</v>
      </c>
      <c r="AZ4" s="0" t="s">
        <v>199</v>
      </c>
      <c r="BA4" s="0" t="s">
        <v>200</v>
      </c>
      <c r="BB4" s="0" t="s">
        <v>201</v>
      </c>
      <c r="BC4" s="0" t="s">
        <v>202</v>
      </c>
      <c r="BD4" s="0" t="s">
        <v>203</v>
      </c>
      <c r="BE4" s="0" t="s">
        <v>204</v>
      </c>
      <c r="BF4" s="0" t="s">
        <v>205</v>
      </c>
      <c r="BG4" s="0" t="s">
        <v>206</v>
      </c>
      <c r="BH4" s="0" t="s">
        <v>207</v>
      </c>
      <c r="BI4" s="0" t="s">
        <v>208</v>
      </c>
      <c r="BJ4" s="0" t="s">
        <v>209</v>
      </c>
      <c r="BK4" s="0" t="s">
        <v>210</v>
      </c>
      <c r="BL4" s="0" t="s">
        <v>211</v>
      </c>
      <c r="BM4" s="0" t="s">
        <v>212</v>
      </c>
      <c r="BN4" s="0" t="s">
        <v>213</v>
      </c>
      <c r="BO4" s="0" t="s">
        <v>214</v>
      </c>
      <c r="BP4" s="0" t="s">
        <v>215</v>
      </c>
      <c r="BQ4" s="0" t="s">
        <v>216</v>
      </c>
      <c r="BR4" s="0" t="s">
        <v>217</v>
      </c>
      <c r="BS4" s="0" t="s">
        <v>218</v>
      </c>
      <c r="BT4" s="0" t="s">
        <v>219</v>
      </c>
      <c r="BU4" s="0" t="s">
        <v>220</v>
      </c>
      <c r="BV4" s="0" t="s">
        <v>221</v>
      </c>
      <c r="BW4" s="0" t="s">
        <v>222</v>
      </c>
      <c r="BX4" s="0" t="s">
        <v>223</v>
      </c>
      <c r="BY4" s="0" t="s">
        <v>224</v>
      </c>
      <c r="BZ4" s="0" t="s">
        <v>225</v>
      </c>
      <c r="CA4" s="0" t="s">
        <v>226</v>
      </c>
      <c r="CB4" s="0" t="s">
        <v>227</v>
      </c>
      <c r="CC4" s="0" t="s">
        <v>228</v>
      </c>
      <c r="CD4" s="0" t="s">
        <v>229</v>
      </c>
      <c r="CE4" s="0" t="s">
        <v>230</v>
      </c>
      <c r="CF4" s="0" t="s">
        <v>231</v>
      </c>
      <c r="CG4" s="0" t="s">
        <v>232</v>
      </c>
      <c r="CH4" s="0" t="s">
        <v>233</v>
      </c>
      <c r="CI4" s="0" t="s">
        <v>234</v>
      </c>
      <c r="CJ4" s="0" t="s">
        <v>235</v>
      </c>
      <c r="CK4" s="0" t="s">
        <v>236</v>
      </c>
      <c r="CL4" s="0" t="s">
        <v>237</v>
      </c>
      <c r="CM4" s="0" t="s">
        <v>238</v>
      </c>
      <c r="CN4" s="0" t="s">
        <v>239</v>
      </c>
      <c r="CO4" s="0" t="s">
        <v>240</v>
      </c>
      <c r="CP4" s="0" t="s">
        <v>241</v>
      </c>
      <c r="CQ4" s="0" t="s">
        <v>242</v>
      </c>
      <c r="CR4" s="0" t="s">
        <v>243</v>
      </c>
      <c r="CS4" s="0" t="s">
        <v>244</v>
      </c>
      <c r="CT4" s="0" t="s">
        <v>245</v>
      </c>
      <c r="CU4" s="0" t="s">
        <v>246</v>
      </c>
      <c r="CV4" s="0" t="s">
        <v>247</v>
      </c>
      <c r="CW4" s="0" t="s">
        <v>248</v>
      </c>
      <c r="CX4" s="0" t="s">
        <v>249</v>
      </c>
      <c r="CY4" s="0" t="s">
        <v>250</v>
      </c>
      <c r="CZ4" s="0" t="s">
        <v>251</v>
      </c>
      <c r="DA4" s="0" t="s">
        <v>252</v>
      </c>
      <c r="DB4" s="0" t="s">
        <v>253</v>
      </c>
      <c r="DC4" s="0" t="s">
        <v>254</v>
      </c>
      <c r="DD4" s="0" t="s">
        <v>255</v>
      </c>
      <c r="DE4" s="0" t="s">
        <v>256</v>
      </c>
      <c r="DF4" s="0" t="s">
        <v>257</v>
      </c>
      <c r="DG4" s="0" t="s">
        <v>258</v>
      </c>
      <c r="DH4" s="0" t="s">
        <v>259</v>
      </c>
      <c r="DI4" s="0" t="s">
        <v>147</v>
      </c>
      <c r="DJ4" s="0" t="s">
        <v>260</v>
      </c>
      <c r="DK4" s="0" t="s">
        <v>261</v>
      </c>
      <c r="DL4" s="0" t="s">
        <v>262</v>
      </c>
      <c r="DM4" s="0" t="s">
        <v>263</v>
      </c>
      <c r="DN4" s="0" t="s">
        <v>264</v>
      </c>
      <c r="DO4" s="0" t="s">
        <v>265</v>
      </c>
      <c r="DP4" s="0" t="s">
        <v>266</v>
      </c>
      <c r="DQ4" s="0" t="s">
        <v>267</v>
      </c>
      <c r="DR4" s="0" t="s">
        <v>268</v>
      </c>
      <c r="DS4" s="0" t="s">
        <v>269</v>
      </c>
      <c r="DT4" s="0" t="s">
        <v>270</v>
      </c>
      <c r="DU4" s="0" t="s">
        <v>271</v>
      </c>
      <c r="DV4" s="0" t="s">
        <v>272</v>
      </c>
      <c r="DW4" s="0" t="s">
        <v>273</v>
      </c>
      <c r="DX4" s="0" t="s">
        <v>274</v>
      </c>
      <c r="DY4" s="0" t="s">
        <v>275</v>
      </c>
      <c r="DZ4" s="0" t="s">
        <v>276</v>
      </c>
      <c r="EA4" s="0" t="s">
        <v>277</v>
      </c>
      <c r="EB4" s="0" t="s">
        <v>278</v>
      </c>
      <c r="EC4" s="0" t="s">
        <v>279</v>
      </c>
      <c r="ED4" s="0" t="s">
        <v>280</v>
      </c>
      <c r="EE4" s="0" t="s">
        <v>281</v>
      </c>
    </row>
    <row r="5" customFormat="false" ht="15" hidden="false" customHeight="false" outlineLevel="0" collapsed="false">
      <c r="T5" s="0" t="n">
        <f aca="false">1-Inputs!$B$16</f>
        <v>1</v>
      </c>
      <c r="BG5" s="0" t="n">
        <v>0</v>
      </c>
      <c r="CZ5" s="0" t="n">
        <f aca="false">Inputs!$B$21</f>
        <v>300000000</v>
      </c>
      <c r="DA5" s="0" t="n">
        <f aca="false">Inputs!$B$26</f>
        <v>40000000</v>
      </c>
      <c r="DB5" s="0" t="n">
        <f aca="false">Inputs!$B$31</f>
        <v>30000000</v>
      </c>
      <c r="DO5" s="0" t="n">
        <f aca="false">Inputs!$B$15</f>
        <v>3000000</v>
      </c>
      <c r="DP5" s="0" t="n">
        <v>0</v>
      </c>
      <c r="DQ5" s="0" t="n">
        <v>0</v>
      </c>
      <c r="DR5" s="0" t="n">
        <v>0</v>
      </c>
      <c r="DS5" s="0" t="n">
        <v>0</v>
      </c>
    </row>
    <row r="6" customFormat="false" ht="15" hidden="false" customHeight="false" outlineLevel="0" collapsed="false">
      <c r="A6" s="0" t="n">
        <f aca="false">ROW()-5</f>
        <v>1</v>
      </c>
      <c r="B6" s="0" t="n">
        <f aca="false">Inputs!$B$11+(Inputs!$B$12-Inputs!$B$11)*(1-EXP(-A6/Inputs!$B$13))+Inputs!$B$8</f>
        <v>0.042571489299646</v>
      </c>
      <c r="C6" s="0" t="n">
        <f aca="false">CZ5</f>
        <v>300000000</v>
      </c>
      <c r="D6" s="0" t="n">
        <f aca="false">DA5</f>
        <v>40000000</v>
      </c>
      <c r="E6" s="0" t="n">
        <f aca="false">DB5</f>
        <v>30000000</v>
      </c>
      <c r="F6" s="0" t="n">
        <f aca="false">IF(Inputs!$B$22=1,B6+Inputs!$B$23,Inputs!$B$23)/12</f>
        <v>0.0044642907749705</v>
      </c>
      <c r="G6" s="0" t="n">
        <f aca="false">IF(Inputs!$B$27=1,B6+Inputs!$B$28,Inputs!$B$28)/12</f>
        <v>0.00542262410830383</v>
      </c>
      <c r="H6" s="0" t="n">
        <f aca="false">IF(Inputs!$B$32=1,B6+Inputs!$B$33,Inputs!$B$33)/12</f>
        <v>0.00625</v>
      </c>
      <c r="I6" s="0" t="n">
        <f aca="false">Pool!BT6*Inputs!$B$14/12</f>
        <v>210000</v>
      </c>
      <c r="J6" s="0" t="n">
        <f aca="false">C6*F6</f>
        <v>1339287.23249115</v>
      </c>
      <c r="K6" s="0" t="n">
        <f aca="false">D6*G6</f>
        <v>216904.964332153</v>
      </c>
      <c r="L6" s="0" t="n">
        <f aca="false">E6*H6</f>
        <v>187500</v>
      </c>
      <c r="M6" s="0" t="n">
        <f aca="false">Inputs!$B$17*(C6*Inputs!$B$22+D6*Inputs!$B$27+E6*Inputs!$B$32)*(B6-Inputs!$B$18)/12</f>
        <v>0</v>
      </c>
      <c r="N6" s="0" t="n">
        <f aca="false">DP5+I6+MAX(-M6,0)</f>
        <v>210000</v>
      </c>
      <c r="O6" s="0" t="n">
        <f aca="false">DQ5+J6</f>
        <v>1339287.23249115</v>
      </c>
      <c r="P6" s="0" t="n">
        <f aca="false">DR5+K6</f>
        <v>216904.964332153</v>
      </c>
      <c r="Q6" s="0" t="n">
        <f aca="false">DS5+L6</f>
        <v>187500</v>
      </c>
      <c r="R6" s="0" t="n">
        <f aca="false">Pool!BV6+MAX(M6,0)</f>
        <v>3043203.22511972</v>
      </c>
      <c r="S6" s="0" t="n">
        <f aca="false">Pool!BW6+Pool!BX6+Pool!BZ6</f>
        <v>8962647.60065223</v>
      </c>
      <c r="T6" s="0" t="n">
        <f aca="false">MAX(T5,BG5)</f>
        <v>1</v>
      </c>
      <c r="U6" s="0" t="n">
        <f aca="false">MIN(C6,S6)</f>
        <v>8962647.60065223</v>
      </c>
      <c r="V6" s="0" t="n">
        <f aca="false">MIN(D6,S6-U6)</f>
        <v>0</v>
      </c>
      <c r="W6" s="0" t="n">
        <f aca="false">MIN(E6,S6-U6-V6)</f>
        <v>0</v>
      </c>
      <c r="X6" s="0" t="n">
        <f aca="false">IF(C6-(0)&gt;Inputs!$B$19,1,0)</f>
        <v>1</v>
      </c>
      <c r="Y6" s="0" t="n">
        <f aca="false">IF(D6-(0)&gt;Inputs!$B$19,1,0)</f>
        <v>1</v>
      </c>
      <c r="Z6" s="0" t="n">
        <f aca="false">IF(E6-(0)&gt;Inputs!$B$19,1,0)</f>
        <v>1</v>
      </c>
      <c r="AA6" s="0" t="n">
        <f aca="false">IF((X6*C6+Y6*D6+Z6*E6)&gt;0,MIN(C6-(0),S6*X6*C6/(X6*C6+Y6*D6+Z6*E6)),0)</f>
        <v>7267011.5680964</v>
      </c>
      <c r="AB6" s="0" t="n">
        <f aca="false">IF((X6*C6+Y6*D6+Z6*E6)&gt;0,MIN(D6-(0),S6*Y6*D6/(X6*C6+Y6*D6+Z6*E6)),0)</f>
        <v>968934.875746187</v>
      </c>
      <c r="AC6" s="0" t="n">
        <f aca="false">IF((X6*C6+Y6*D6+Z6*E6)&gt;0,MIN(E6-(0),S6*Z6*E6/(X6*C6+Y6*D6+Z6*E6)),0)</f>
        <v>726701.15680964</v>
      </c>
      <c r="AD6" s="0" t="n">
        <f aca="false">IF(C6-(AA6)&gt;Inputs!$B$19,1,0)</f>
        <v>1</v>
      </c>
      <c r="AE6" s="0" t="n">
        <f aca="false">IF(D6-(AB6)&gt;Inputs!$B$19,1,0)</f>
        <v>1</v>
      </c>
      <c r="AF6" s="0" t="n">
        <f aca="false">IF(E6-(AC6)&gt;Inputs!$B$19,1,0)</f>
        <v>1</v>
      </c>
      <c r="AG6" s="0" t="n">
        <f aca="false">IF((AD6*C6+AE6*D6+AF6*E6)&gt;0,MIN(C6-(AA6),(S6-(AA6+AB6+AC6))*AD6*C6/(AD6*C6+AE6*D6+AF6*E6)),0)</f>
        <v>0</v>
      </c>
      <c r="AH6" s="0" t="n">
        <f aca="false">IF((AD6*C6+AE6*D6+AF6*E6)&gt;0,MIN(D6-(AB6),(S6-(AA6+AB6+AC6))*AE6*D6/(AD6*C6+AE6*D6+AF6*E6)),0)</f>
        <v>0</v>
      </c>
      <c r="AI6" s="0" t="n">
        <f aca="false">IF((AD6*C6+AE6*D6+AF6*E6)&gt;0,MIN(E6-(AC6),(S6-(AA6+AB6+AC6))*AF6*E6/(AD6*C6+AE6*D6+AF6*E6)),0)</f>
        <v>0</v>
      </c>
      <c r="AJ6" s="0" t="n">
        <f aca="false">IF(C6-(AA6+AG6)&gt;Inputs!$B$19,1,0)</f>
        <v>1</v>
      </c>
      <c r="AK6" s="0" t="n">
        <f aca="false">IF(D6-(AB6+AH6)&gt;Inputs!$B$19,1,0)</f>
        <v>1</v>
      </c>
      <c r="AL6" s="0" t="n">
        <f aca="false">IF(E6-(AC6+AI6)&gt;Inputs!$B$19,1,0)</f>
        <v>1</v>
      </c>
      <c r="AM6" s="0" t="n">
        <f aca="false">IF((AJ6*C6+AK6*D6+AL6*E6)&gt;0,MIN(C6-(AA6+AG6),(S6-(AA6+AB6+AC6+AG6+AH6+AI6))*AJ6*C6/(AJ6*C6+AK6*D6+AL6*E6)),0)</f>
        <v>0</v>
      </c>
      <c r="AN6" s="0" t="n">
        <f aca="false">IF((AJ6*C6+AK6*D6+AL6*E6)&gt;0,MIN(D6-(AB6+AH6),(S6-(AA6+AB6+AC6+AG6+AH6+AI6))*AK6*D6/(AJ6*C6+AK6*D6+AL6*E6)),0)</f>
        <v>0</v>
      </c>
      <c r="AO6" s="0" t="n">
        <f aca="false">IF((AJ6*C6+AK6*D6+AL6*E6)&gt;0,MIN(E6-(AC6+AI6),(S6-(AA6+AB6+AC6+AG6+AH6+AI6))*AL6*E6/(AJ6*C6+AK6*D6+AL6*E6)),0)</f>
        <v>0</v>
      </c>
      <c r="AP6" s="0" t="n">
        <f aca="false">IF(T6=1,U6,AA6+AG6+AM6)</f>
        <v>8962647.60065223</v>
      </c>
      <c r="AQ6" s="0" t="n">
        <f aca="false">IF(T6=1,V6,AB6+AH6+AN6)</f>
        <v>0</v>
      </c>
      <c r="AR6" s="0" t="n">
        <f aca="false">IF(T6=1,W6,AC6+AI6+AO6)</f>
        <v>0</v>
      </c>
      <c r="AS6" s="0" t="n">
        <f aca="false">S6-AP6-AQ6-AR6</f>
        <v>0</v>
      </c>
      <c r="AT6" s="0" t="n">
        <f aca="false">C6-AP6</f>
        <v>291037352.399348</v>
      </c>
      <c r="AU6" s="0" t="n">
        <f aca="false">D6-AQ6</f>
        <v>40000000</v>
      </c>
      <c r="AV6" s="0" t="n">
        <f aca="false">E6-AR6</f>
        <v>30000000</v>
      </c>
      <c r="AW6" s="0" t="n">
        <f aca="false">Pool!CB6</f>
        <v>390631744.621134</v>
      </c>
      <c r="AX6" s="0" t="n">
        <f aca="false">IF((AT6)&gt;Inputs!$B$19,AW6/(AT6),1000000000)</f>
        <v>1.34220484553174</v>
      </c>
      <c r="AY6" s="0" t="n">
        <f aca="false">IF((J6)&gt;0.000000001,(R6-I6-MAX(-M6,0))/(J6),1000000000)</f>
        <v>2.11545601002244</v>
      </c>
      <c r="AZ6" s="0" t="n">
        <f aca="false">IF(OR(AX6&lt;Inputs!$B$24,AY6&lt;Inputs!$B$25),1,0)</f>
        <v>0</v>
      </c>
      <c r="BA6" s="0" t="n">
        <f aca="false">IF((AT6+AU6)&gt;Inputs!$B$19,AW6/(AT6+AU6),1000000000)</f>
        <v>1.18002316593535</v>
      </c>
      <c r="BB6" s="0" t="n">
        <f aca="false">IF((J6+K6)&gt;0.000000001,(R6-I6-MAX(-M6,0))/(J6+K6),1000000000)</f>
        <v>1.82059981466506</v>
      </c>
      <c r="BC6" s="0" t="n">
        <f aca="false">IF(OR(BA6&lt;Inputs!$B$29,BB6&lt;Inputs!$B$30),1,0)</f>
        <v>0</v>
      </c>
      <c r="BD6" s="0" t="n">
        <f aca="false">IF((AT6+AU6+AV6)&gt;Inputs!$B$19,AW6/(AT6+AU6+AV6),1000000000)</f>
        <v>1.0819704444017</v>
      </c>
      <c r="BE6" s="0" t="n">
        <f aca="false">IF((J6+K6+L6)&gt;0.000000001,(R6-I6-MAX(-M6,0))/(J6+K6+L6),1000000000)</f>
        <v>1.62482990420059</v>
      </c>
      <c r="BF6" s="0" t="n">
        <f aca="false">IF(OR(BD6&lt;Inputs!$B$34,BE6&lt;Inputs!$B$35),1,0)</f>
        <v>0</v>
      </c>
      <c r="BG6" s="0" t="n">
        <f aca="false">MAX(AZ6,BC6,BF6)</f>
        <v>0</v>
      </c>
      <c r="BH6" s="0" t="n">
        <f aca="false">MIN(R6,N6)</f>
        <v>210000</v>
      </c>
      <c r="BI6" s="0" t="n">
        <f aca="false">R6-BH6</f>
        <v>2833203.22511972</v>
      </c>
      <c r="BJ6" s="0" t="n">
        <f aca="false">MIN(BI6,O6)</f>
        <v>1339287.23249115</v>
      </c>
      <c r="BK6" s="0" t="n">
        <f aca="false">BI6-BJ6</f>
        <v>1493915.99262857</v>
      </c>
      <c r="BL6" s="0" t="n">
        <f aca="false">AZ6*MIN(AT6,BK6)</f>
        <v>0</v>
      </c>
      <c r="BM6" s="0" t="n">
        <f aca="false">AZ6*MIN(AU6,BK6-BL6)</f>
        <v>0</v>
      </c>
      <c r="BN6" s="0" t="n">
        <f aca="false">AZ6*MIN(AV6,BK6-BL6-BM6)</f>
        <v>0</v>
      </c>
      <c r="BO6" s="0" t="n">
        <f aca="false">BK6-BL6-BM6-BN6</f>
        <v>1493915.99262857</v>
      </c>
      <c r="BP6" s="0" t="n">
        <f aca="false">MIN(BO6,P6)</f>
        <v>216904.964332153</v>
      </c>
      <c r="BQ6" s="0" t="n">
        <f aca="false">BO6-BP6</f>
        <v>1277011.02829642</v>
      </c>
      <c r="BR6" s="0" t="n">
        <f aca="false">BC6*MIN((AT6-BL6),BQ6)</f>
        <v>0</v>
      </c>
      <c r="BS6" s="0" t="n">
        <f aca="false">BC6*MIN((AU6-BM6),BQ6-BR6)</f>
        <v>0</v>
      </c>
      <c r="BT6" s="0" t="n">
        <f aca="false">BC6*MIN((AV6-BN6),BQ6-BR6-BS6)</f>
        <v>0</v>
      </c>
      <c r="BU6" s="0" t="n">
        <f aca="false">BQ6-BR6-BS6-BT6</f>
        <v>1277011.02829642</v>
      </c>
      <c r="BV6" s="0" t="n">
        <f aca="false">MIN(BU6,Q6)</f>
        <v>187500</v>
      </c>
      <c r="BW6" s="0" t="n">
        <f aca="false">BU6-BV6</f>
        <v>1089511.02829642</v>
      </c>
      <c r="BX6" s="0" t="n">
        <f aca="false">BF6*MIN((AT6-BL6-BR6),BW6)</f>
        <v>0</v>
      </c>
      <c r="BY6" s="0" t="n">
        <f aca="false">BF6*MIN((AU6-BM6-BS6),BW6-BX6)</f>
        <v>0</v>
      </c>
      <c r="BZ6" s="0" t="n">
        <f aca="false">BF6*MIN((AV6-BN6-BT6),BW6-BX6-BY6)</f>
        <v>0</v>
      </c>
      <c r="CA6" s="0" t="n">
        <f aca="false">BW6-BX6-BY6-BZ6</f>
        <v>1089511.02829642</v>
      </c>
      <c r="CB6" s="0" t="n">
        <f aca="false">MAX(0,AT6+AU6+AV6-BL6-BM6-BN6-BR6-BS6-BT6-BX6-BY6-BZ6-AW6)</f>
        <v>0</v>
      </c>
      <c r="CC6" s="0" t="n">
        <f aca="false">1*MIN((AT6-BL6-BR6-BX6),MIN(CA6,CB6))</f>
        <v>0</v>
      </c>
      <c r="CD6" s="0" t="n">
        <f aca="false">1*MIN((AU6-BM6-BS6-BY6),MIN(CA6,CB6)-CC6)</f>
        <v>0</v>
      </c>
      <c r="CE6" s="0" t="n">
        <f aca="false">1*MIN((AV6-BN6-BT6-BZ6),MIN(CA6,CB6)-CC6-CD6)</f>
        <v>0</v>
      </c>
      <c r="CF6" s="0" t="n">
        <f aca="false">CA6-CC6-CD6-CE6</f>
        <v>1089511.02829642</v>
      </c>
      <c r="CG6" s="0" t="n">
        <f aca="false">IF(C6+D6+E6&gt;Inputs!$B$19,MIN(CF6,MAX(0,Inputs!$B$15-DO5)),0)</f>
        <v>0</v>
      </c>
      <c r="CH6" s="0" t="n">
        <f aca="false">CF6-CG6</f>
        <v>1089511.02829642</v>
      </c>
      <c r="CI6" s="0" t="n">
        <f aca="false">DO5+CG6</f>
        <v>3000000</v>
      </c>
      <c r="CJ6" s="0" t="n">
        <f aca="false">MIN(MAX(N6-BH6,0),CI6)</f>
        <v>0</v>
      </c>
      <c r="CK6" s="0" t="n">
        <f aca="false">MIN(MAX(O6-BJ6,0),CI6-CJ6)</f>
        <v>0</v>
      </c>
      <c r="CL6" s="0" t="n">
        <f aca="false">MIN(MAX(P6-BP6,0),CI6-CJ6-CK6)</f>
        <v>0</v>
      </c>
      <c r="CM6" s="0" t="n">
        <f aca="false">CJ6+CK6+CL6</f>
        <v>0</v>
      </c>
      <c r="CN6" s="0" t="n">
        <f aca="false">CI6-CM6</f>
        <v>3000000</v>
      </c>
      <c r="CO6" s="0" t="n">
        <f aca="false">BH6+CJ6</f>
        <v>210000</v>
      </c>
      <c r="CP6" s="0" t="n">
        <f aca="false">BJ6+CK6</f>
        <v>1339287.23249115</v>
      </c>
      <c r="CQ6" s="0" t="n">
        <f aca="false">BP6+CL6</f>
        <v>216904.964332153</v>
      </c>
      <c r="CR6" s="0" t="n">
        <f aca="false">BV6</f>
        <v>187500</v>
      </c>
      <c r="CS6" s="0" t="n">
        <f aca="false">AT6-BL6-BR6-BX6-CC6</f>
        <v>291037352.399348</v>
      </c>
      <c r="CT6" s="0" t="n">
        <f aca="false">AU6-BM6-BS6-BY6-CD6</f>
        <v>40000000</v>
      </c>
      <c r="CU6" s="0" t="n">
        <f aca="false">AV6-BN6-BT6-BZ6-CE6</f>
        <v>30000000</v>
      </c>
      <c r="CV6" s="0" t="n">
        <f aca="false">MAX(0,CS6+CT6+CU6-AW6)</f>
        <v>0</v>
      </c>
      <c r="CW6" s="0" t="n">
        <f aca="false">MIN(CU6,CV6)</f>
        <v>0</v>
      </c>
      <c r="CX6" s="0" t="n">
        <f aca="false">MIN(CT6,CV6-CW6)</f>
        <v>0</v>
      </c>
      <c r="CY6" s="0" t="n">
        <f aca="false">MIN(CS6,CV6-CW6-CX6)</f>
        <v>0</v>
      </c>
      <c r="CZ6" s="0" t="n">
        <f aca="false">IF(CS6-CY6&lt;Inputs!$B$19,0,CS6-CY6)</f>
        <v>291037352.399348</v>
      </c>
      <c r="DA6" s="0" t="n">
        <f aca="false">IF(CT6-CX6&lt;Inputs!$B$19,0,CT6-CX6)</f>
        <v>40000000</v>
      </c>
      <c r="DB6" s="0" t="n">
        <f aca="false">IF(CU6-CW6&lt;Inputs!$B$19,0,CU6-CW6)</f>
        <v>30000000</v>
      </c>
      <c r="DC6" s="0" t="n">
        <f aca="false">N6-CO6</f>
        <v>0</v>
      </c>
      <c r="DD6" s="0" t="n">
        <f aca="false">O6-CP6</f>
        <v>0</v>
      </c>
      <c r="DE6" s="0" t="n">
        <f aca="false">P6-CQ6</f>
        <v>0</v>
      </c>
      <c r="DF6" s="0" t="n">
        <f aca="false">Q6-CR6</f>
        <v>0</v>
      </c>
      <c r="DG6" s="0" t="n">
        <f aca="false">IF(CZ6+DA6+DB6&lt;=Inputs!$B$19,1,0)</f>
        <v>0</v>
      </c>
      <c r="DH6" s="0" t="n">
        <f aca="false">DG6*CN6</f>
        <v>0</v>
      </c>
      <c r="DI6" s="0" t="n">
        <f aca="false">DG6*(AS6+DH6)</f>
        <v>0</v>
      </c>
      <c r="DJ6" s="0" t="n">
        <f aca="false">DG6*MIN(DC6,DI6)</f>
        <v>0</v>
      </c>
      <c r="DK6" s="0" t="n">
        <f aca="false">DG6*MIN(DD6,DI6-DJ6)</f>
        <v>0</v>
      </c>
      <c r="DL6" s="0" t="n">
        <f aca="false">DG6*MIN(DE6,DI6-DJ6-DK6)</f>
        <v>0</v>
      </c>
      <c r="DM6" s="0" t="n">
        <f aca="false">DG6*MIN(DF6,DI6-DJ6-DK6-DL6)</f>
        <v>0</v>
      </c>
      <c r="DN6" s="0" t="n">
        <f aca="false">DJ6+DK6+DL6+DM6</f>
        <v>0</v>
      </c>
      <c r="DO6" s="0" t="n">
        <f aca="false">CN6-DH6</f>
        <v>3000000</v>
      </c>
      <c r="DP6" s="0" t="n">
        <f aca="false">DC6-DJ6</f>
        <v>0</v>
      </c>
      <c r="DQ6" s="0" t="n">
        <f aca="false">DD6-DK6</f>
        <v>0</v>
      </c>
      <c r="DR6" s="0" t="n">
        <f aca="false">DE6-DL6</f>
        <v>0</v>
      </c>
      <c r="DS6" s="0" t="n">
        <f aca="false">DF6-DM6</f>
        <v>0</v>
      </c>
      <c r="DT6" s="0" t="n">
        <f aca="false">CO6+DJ6</f>
        <v>210000</v>
      </c>
      <c r="DU6" s="0" t="n">
        <f aca="false">CP6+DK6</f>
        <v>1339287.23249115</v>
      </c>
      <c r="DV6" s="0" t="n">
        <f aca="false">AP6+BL6+BR6+BX6+CC6</f>
        <v>8962647.60065223</v>
      </c>
      <c r="DW6" s="0" t="n">
        <f aca="false">CQ6+DL6</f>
        <v>216904.964332153</v>
      </c>
      <c r="DX6" s="0" t="n">
        <f aca="false">AQ6+BM6+BS6+BY6+CD6</f>
        <v>0</v>
      </c>
      <c r="DY6" s="0" t="n">
        <f aca="false">CR6+DM6</f>
        <v>187500</v>
      </c>
      <c r="DZ6" s="0" t="n">
        <f aca="false">AR6+BN6+BT6+BZ6+CE6</f>
        <v>0</v>
      </c>
      <c r="EA6" s="0" t="n">
        <f aca="false">DI6-DN6</f>
        <v>0</v>
      </c>
      <c r="EB6" s="0" t="n">
        <f aca="false">CH6+EA6</f>
        <v>1089511.02829642</v>
      </c>
      <c r="EC6" s="0" t="n">
        <f aca="false">R6-I6-MAX(-M6,0)-J6-K6-L6</f>
        <v>1089511.02829642</v>
      </c>
      <c r="ED6" s="0" t="n">
        <f aca="false">R6+S6+CM6+DH6-CG6-DT6-DU6-DW6-DY6-DV6-DX6-DZ6-EB6</f>
        <v>0</v>
      </c>
      <c r="EE6" s="0" t="n">
        <f aca="false">IF(AND(EB6&gt;0.000001,DP6+DQ6+DR6+DS6&gt;0.000001),1,0)</f>
        <v>0</v>
      </c>
    </row>
    <row r="7" customFormat="false" ht="15" hidden="false" customHeight="false" outlineLevel="0" collapsed="false">
      <c r="A7" s="0" t="n">
        <f aca="false">ROW()-5</f>
        <v>2</v>
      </c>
      <c r="B7" s="0" t="n">
        <f aca="false">Inputs!$B$11+(Inputs!$B$12-Inputs!$B$11)*(1-EXP(-A7/Inputs!$B$13))+Inputs!$B$8</f>
        <v>0.0421604663536079</v>
      </c>
      <c r="C7" s="0" t="n">
        <f aca="false">CZ6</f>
        <v>291037352.399348</v>
      </c>
      <c r="D7" s="0" t="n">
        <f aca="false">DA6</f>
        <v>40000000</v>
      </c>
      <c r="E7" s="0" t="n">
        <f aca="false">DB6</f>
        <v>30000000</v>
      </c>
      <c r="F7" s="0" t="n">
        <f aca="false">IF(Inputs!$B$22=1,B7+Inputs!$B$23,Inputs!$B$23)/12</f>
        <v>0.00443003886280066</v>
      </c>
      <c r="G7" s="0" t="n">
        <f aca="false">IF(Inputs!$B$27=1,B7+Inputs!$B$28,Inputs!$B$28)/12</f>
        <v>0.00538837219613399</v>
      </c>
      <c r="H7" s="0" t="n">
        <f aca="false">IF(Inputs!$B$32=1,B7+Inputs!$B$33,Inputs!$B$33)/12</f>
        <v>0.00625</v>
      </c>
      <c r="I7" s="0" t="n">
        <f aca="false">Pool!BT7*Inputs!$B$14/12</f>
        <v>204762.249800752</v>
      </c>
      <c r="J7" s="0" t="n">
        <f aca="false">C7*F7</f>
        <v>1289306.78165572</v>
      </c>
      <c r="K7" s="0" t="n">
        <f aca="false">D7*G7</f>
        <v>215534.88784536</v>
      </c>
      <c r="L7" s="0" t="n">
        <f aca="false">E7*H7</f>
        <v>187500</v>
      </c>
      <c r="M7" s="0" t="n">
        <f aca="false">Inputs!$B$17*(C7*Inputs!$B$22+D7*Inputs!$B$27+E7*Inputs!$B$32)*(B7-Inputs!$B$18)/12</f>
        <v>0</v>
      </c>
      <c r="N7" s="0" t="n">
        <f aca="false">DP6+I7+MAX(-M7,0)</f>
        <v>204762.249800752</v>
      </c>
      <c r="O7" s="0" t="n">
        <f aca="false">DQ6+J7</f>
        <v>1289306.78165572</v>
      </c>
      <c r="P7" s="0" t="n">
        <f aca="false">DR6+K7</f>
        <v>215534.88784536</v>
      </c>
      <c r="Q7" s="0" t="n">
        <f aca="false">DS6+L7</f>
        <v>187500</v>
      </c>
      <c r="R7" s="0" t="n">
        <f aca="false">Pool!BV7+MAX(M7,0)</f>
        <v>2969217.03661631</v>
      </c>
      <c r="S7" s="0" t="n">
        <f aca="false">Pool!BW7+Pool!BX7+Pool!BZ7</f>
        <v>8853428.75506172</v>
      </c>
      <c r="T7" s="0" t="n">
        <f aca="false">MAX(T6,BG6)</f>
        <v>1</v>
      </c>
      <c r="U7" s="0" t="n">
        <f aca="false">MIN(C7,S7)</f>
        <v>8853428.75506172</v>
      </c>
      <c r="V7" s="0" t="n">
        <f aca="false">MIN(D7,S7-U7)</f>
        <v>0</v>
      </c>
      <c r="W7" s="0" t="n">
        <f aca="false">MIN(E7,S7-U7-V7)</f>
        <v>0</v>
      </c>
      <c r="X7" s="0" t="n">
        <f aca="false">IF(C7-(0)&gt;Inputs!$B$19,1,0)</f>
        <v>1</v>
      </c>
      <c r="Y7" s="0" t="n">
        <f aca="false">IF(D7-(0)&gt;Inputs!$B$19,1,0)</f>
        <v>1</v>
      </c>
      <c r="Z7" s="0" t="n">
        <f aca="false">IF(E7-(0)&gt;Inputs!$B$19,1,0)</f>
        <v>1</v>
      </c>
      <c r="AA7" s="0" t="n">
        <f aca="false">IF((X7*C7+Y7*D7+Z7*E7)&gt;0,MIN(C7-(0),S7*X7*C7/(X7*C7+Y7*D7+Z7*E7)),0)</f>
        <v>7136875.02804231</v>
      </c>
      <c r="AB7" s="0" t="n">
        <f aca="false">IF((X7*C7+Y7*D7+Z7*E7)&gt;0,MIN(D7-(0),S7*Y7*D7/(X7*C7+Y7*D7+Z7*E7)),0)</f>
        <v>980887.844011091</v>
      </c>
      <c r="AC7" s="0" t="n">
        <f aca="false">IF((X7*C7+Y7*D7+Z7*E7)&gt;0,MIN(E7-(0),S7*Z7*E7/(X7*C7+Y7*D7+Z7*E7)),0)</f>
        <v>735665.883008318</v>
      </c>
      <c r="AD7" s="0" t="n">
        <f aca="false">IF(C7-(AA7)&gt;Inputs!$B$19,1,0)</f>
        <v>1</v>
      </c>
      <c r="AE7" s="0" t="n">
        <f aca="false">IF(D7-(AB7)&gt;Inputs!$B$19,1,0)</f>
        <v>1</v>
      </c>
      <c r="AF7" s="0" t="n">
        <f aca="false">IF(E7-(AC7)&gt;Inputs!$B$19,1,0)</f>
        <v>1</v>
      </c>
      <c r="AG7" s="0" t="n">
        <f aca="false">IF((AD7*C7+AE7*D7+AF7*E7)&gt;0,MIN(C7-(AA7),(S7-(AA7+AB7+AC7))*AD7*C7/(AD7*C7+AE7*D7+AF7*E7)),0)</f>
        <v>0</v>
      </c>
      <c r="AH7" s="0" t="n">
        <f aca="false">IF((AD7*C7+AE7*D7+AF7*E7)&gt;0,MIN(D7-(AB7),(S7-(AA7+AB7+AC7))*AE7*D7/(AD7*C7+AE7*D7+AF7*E7)),0)</f>
        <v>0</v>
      </c>
      <c r="AI7" s="0" t="n">
        <f aca="false">IF((AD7*C7+AE7*D7+AF7*E7)&gt;0,MIN(E7-(AC7),(S7-(AA7+AB7+AC7))*AF7*E7/(AD7*C7+AE7*D7+AF7*E7)),0)</f>
        <v>0</v>
      </c>
      <c r="AJ7" s="0" t="n">
        <f aca="false">IF(C7-(AA7+AG7)&gt;Inputs!$B$19,1,0)</f>
        <v>1</v>
      </c>
      <c r="AK7" s="0" t="n">
        <f aca="false">IF(D7-(AB7+AH7)&gt;Inputs!$B$19,1,0)</f>
        <v>1</v>
      </c>
      <c r="AL7" s="0" t="n">
        <f aca="false">IF(E7-(AC7+AI7)&gt;Inputs!$B$19,1,0)</f>
        <v>1</v>
      </c>
      <c r="AM7" s="0" t="n">
        <f aca="false">IF((AJ7*C7+AK7*D7+AL7*E7)&gt;0,MIN(C7-(AA7+AG7),(S7-(AA7+AB7+AC7+AG7+AH7+AI7))*AJ7*C7/(AJ7*C7+AK7*D7+AL7*E7)),0)</f>
        <v>0</v>
      </c>
      <c r="AN7" s="0" t="n">
        <f aca="false">IF((AJ7*C7+AK7*D7+AL7*E7)&gt;0,MIN(D7-(AB7+AH7),(S7-(AA7+AB7+AC7+AG7+AH7+AI7))*AK7*D7/(AJ7*C7+AK7*D7+AL7*E7)),0)</f>
        <v>0</v>
      </c>
      <c r="AO7" s="0" t="n">
        <f aca="false">IF((AJ7*C7+AK7*D7+AL7*E7)&gt;0,MIN(E7-(AC7+AI7),(S7-(AA7+AB7+AC7+AG7+AH7+AI7))*AL7*E7/(AJ7*C7+AK7*D7+AL7*E7)),0)</f>
        <v>0</v>
      </c>
      <c r="AP7" s="0" t="n">
        <f aca="false">IF(T7=1,U7,AA7+AG7+AM7)</f>
        <v>8853428.75506172</v>
      </c>
      <c r="AQ7" s="0" t="n">
        <f aca="false">IF(T7=1,V7,AB7+AH7+AN7)</f>
        <v>0</v>
      </c>
      <c r="AR7" s="0" t="n">
        <f aca="false">IF(T7=1,W7,AC7+AI7+AO7)</f>
        <v>0</v>
      </c>
      <c r="AS7" s="0" t="n">
        <f aca="false">S7-AP7-AQ7-AR7</f>
        <v>0</v>
      </c>
      <c r="AT7" s="0" t="n">
        <f aca="false">C7-AP7</f>
        <v>282183923.644286</v>
      </c>
      <c r="AU7" s="0" t="n">
        <f aca="false">D7-AQ7</f>
        <v>40000000</v>
      </c>
      <c r="AV7" s="0" t="n">
        <f aca="false">E7-AR7</f>
        <v>30000000</v>
      </c>
      <c r="AW7" s="0" t="n">
        <f aca="false">Pool!CB7</f>
        <v>381382824.622245</v>
      </c>
      <c r="AX7" s="0" t="n">
        <f aca="false">IF((AT7)&gt;Inputs!$B$19,AW7/(AT7),1000000000)</f>
        <v>1.35153987405394</v>
      </c>
      <c r="AY7" s="0" t="n">
        <f aca="false">IF((J7)&gt;0.000000001,(R7-I7-MAX(-M7,0))/(J7),1000000000)</f>
        <v>2.14414042192926</v>
      </c>
      <c r="AZ7" s="0" t="n">
        <f aca="false">IF(OR(AX7&lt;Inputs!$B$24,AY7&lt;Inputs!$B$25),1,0)</f>
        <v>0</v>
      </c>
      <c r="BA7" s="0" t="n">
        <f aca="false">IF((AT7+AU7)&gt;Inputs!$B$19,AW7/(AT7+AU7),1000000000)</f>
        <v>1.18374256638366</v>
      </c>
      <c r="BB7" s="0" t="n">
        <f aca="false">IF((J7+K7)&gt;0.000000001,(R7-I7-MAX(-M7,0))/(J7+K7),1000000000)</f>
        <v>1.83704029655963</v>
      </c>
      <c r="BC7" s="0" t="n">
        <f aca="false">IF(OR(BA7&lt;Inputs!$B$29,BB7&lt;Inputs!$B$30),1,0)</f>
        <v>0</v>
      </c>
      <c r="BD7" s="0" t="n">
        <f aca="false">IF((AT7+AU7+AV7)&gt;Inputs!$B$19,AW7/(AT7+AU7+AV7),1000000000)</f>
        <v>1.08290810289072</v>
      </c>
      <c r="BE7" s="0" t="n">
        <f aca="false">IF((J7+K7+L7)&gt;0.000000001,(R7-I7-MAX(-M7,0))/(J7+K7+L7),1000000000)</f>
        <v>1.63350866827651</v>
      </c>
      <c r="BF7" s="0" t="n">
        <f aca="false">IF(OR(BD7&lt;Inputs!$B$34,BE7&lt;Inputs!$B$35),1,0)</f>
        <v>0</v>
      </c>
      <c r="BG7" s="0" t="n">
        <f aca="false">MAX(AZ7,BC7,BF7)</f>
        <v>0</v>
      </c>
      <c r="BH7" s="0" t="n">
        <f aca="false">MIN(R7,N7)</f>
        <v>204762.249800752</v>
      </c>
      <c r="BI7" s="0" t="n">
        <f aca="false">R7-BH7</f>
        <v>2764454.78681556</v>
      </c>
      <c r="BJ7" s="0" t="n">
        <f aca="false">MIN(BI7,O7)</f>
        <v>1289306.78165572</v>
      </c>
      <c r="BK7" s="0" t="n">
        <f aca="false">BI7-BJ7</f>
        <v>1475148.00515983</v>
      </c>
      <c r="BL7" s="0" t="n">
        <f aca="false">AZ7*MIN(AT7,BK7)</f>
        <v>0</v>
      </c>
      <c r="BM7" s="0" t="n">
        <f aca="false">AZ7*MIN(AU7,BK7-BL7)</f>
        <v>0</v>
      </c>
      <c r="BN7" s="0" t="n">
        <f aca="false">AZ7*MIN(AV7,BK7-BL7-BM7)</f>
        <v>0</v>
      </c>
      <c r="BO7" s="0" t="n">
        <f aca="false">BK7-BL7-BM7-BN7</f>
        <v>1475148.00515983</v>
      </c>
      <c r="BP7" s="0" t="n">
        <f aca="false">MIN(BO7,P7)</f>
        <v>215534.88784536</v>
      </c>
      <c r="BQ7" s="0" t="n">
        <f aca="false">BO7-BP7</f>
        <v>1259613.11731448</v>
      </c>
      <c r="BR7" s="0" t="n">
        <f aca="false">BC7*MIN((AT7-BL7),BQ7)</f>
        <v>0</v>
      </c>
      <c r="BS7" s="0" t="n">
        <f aca="false">BC7*MIN((AU7-BM7),BQ7-BR7)</f>
        <v>0</v>
      </c>
      <c r="BT7" s="0" t="n">
        <f aca="false">BC7*MIN((AV7-BN7),BQ7-BR7-BS7)</f>
        <v>0</v>
      </c>
      <c r="BU7" s="0" t="n">
        <f aca="false">BQ7-BR7-BS7-BT7</f>
        <v>1259613.11731448</v>
      </c>
      <c r="BV7" s="0" t="n">
        <f aca="false">MIN(BU7,Q7)</f>
        <v>187500</v>
      </c>
      <c r="BW7" s="0" t="n">
        <f aca="false">BU7-BV7</f>
        <v>1072113.11731448</v>
      </c>
      <c r="BX7" s="0" t="n">
        <f aca="false">BF7*MIN((AT7-BL7-BR7),BW7)</f>
        <v>0</v>
      </c>
      <c r="BY7" s="0" t="n">
        <f aca="false">BF7*MIN((AU7-BM7-BS7),BW7-BX7)</f>
        <v>0</v>
      </c>
      <c r="BZ7" s="0" t="n">
        <f aca="false">BF7*MIN((AV7-BN7-BT7),BW7-BX7-BY7)</f>
        <v>0</v>
      </c>
      <c r="CA7" s="0" t="n">
        <f aca="false">BW7-BX7-BY7-BZ7</f>
        <v>1072113.11731448</v>
      </c>
      <c r="CB7" s="0" t="n">
        <f aca="false">MAX(0,AT7+AU7+AV7-BL7-BM7-BN7-BR7-BS7-BT7-BX7-BY7-BZ7-AW7)</f>
        <v>0</v>
      </c>
      <c r="CC7" s="0" t="n">
        <f aca="false">1*MIN((AT7-BL7-BR7-BX7),MIN(CA7,CB7))</f>
        <v>0</v>
      </c>
      <c r="CD7" s="0" t="n">
        <f aca="false">1*MIN((AU7-BM7-BS7-BY7),MIN(CA7,CB7)-CC7)</f>
        <v>0</v>
      </c>
      <c r="CE7" s="0" t="n">
        <f aca="false">1*MIN((AV7-BN7-BT7-BZ7),MIN(CA7,CB7)-CC7-CD7)</f>
        <v>0</v>
      </c>
      <c r="CF7" s="0" t="n">
        <f aca="false">CA7-CC7-CD7-CE7</f>
        <v>1072113.11731448</v>
      </c>
      <c r="CG7" s="0" t="n">
        <f aca="false">IF(C7+D7+E7&gt;Inputs!$B$19,MIN(CF7,MAX(0,Inputs!$B$15-DO6)),0)</f>
        <v>0</v>
      </c>
      <c r="CH7" s="0" t="n">
        <f aca="false">CF7-CG7</f>
        <v>1072113.11731448</v>
      </c>
      <c r="CI7" s="0" t="n">
        <f aca="false">DO6+CG7</f>
        <v>3000000</v>
      </c>
      <c r="CJ7" s="0" t="n">
        <f aca="false">MIN(MAX(N7-BH7,0),CI7)</f>
        <v>0</v>
      </c>
      <c r="CK7" s="0" t="n">
        <f aca="false">MIN(MAX(O7-BJ7,0),CI7-CJ7)</f>
        <v>0</v>
      </c>
      <c r="CL7" s="0" t="n">
        <f aca="false">MIN(MAX(P7-BP7,0),CI7-CJ7-CK7)</f>
        <v>0</v>
      </c>
      <c r="CM7" s="0" t="n">
        <f aca="false">CJ7+CK7+CL7</f>
        <v>0</v>
      </c>
      <c r="CN7" s="0" t="n">
        <f aca="false">CI7-CM7</f>
        <v>3000000</v>
      </c>
      <c r="CO7" s="0" t="n">
        <f aca="false">BH7+CJ7</f>
        <v>204762.249800752</v>
      </c>
      <c r="CP7" s="0" t="n">
        <f aca="false">BJ7+CK7</f>
        <v>1289306.78165572</v>
      </c>
      <c r="CQ7" s="0" t="n">
        <f aca="false">BP7+CL7</f>
        <v>215534.88784536</v>
      </c>
      <c r="CR7" s="0" t="n">
        <f aca="false">BV7</f>
        <v>187500</v>
      </c>
      <c r="CS7" s="0" t="n">
        <f aca="false">AT7-BL7-BR7-BX7-CC7</f>
        <v>282183923.644286</v>
      </c>
      <c r="CT7" s="0" t="n">
        <f aca="false">AU7-BM7-BS7-BY7-CD7</f>
        <v>40000000</v>
      </c>
      <c r="CU7" s="0" t="n">
        <f aca="false">AV7-BN7-BT7-BZ7-CE7</f>
        <v>30000000</v>
      </c>
      <c r="CV7" s="0" t="n">
        <f aca="false">MAX(0,CS7+CT7+CU7-AW7)</f>
        <v>0</v>
      </c>
      <c r="CW7" s="0" t="n">
        <f aca="false">MIN(CU7,CV7)</f>
        <v>0</v>
      </c>
      <c r="CX7" s="0" t="n">
        <f aca="false">MIN(CT7,CV7-CW7)</f>
        <v>0</v>
      </c>
      <c r="CY7" s="0" t="n">
        <f aca="false">MIN(CS7,CV7-CW7-CX7)</f>
        <v>0</v>
      </c>
      <c r="CZ7" s="0" t="n">
        <f aca="false">IF(CS7-CY7&lt;Inputs!$B$19,0,CS7-CY7)</f>
        <v>282183923.644286</v>
      </c>
      <c r="DA7" s="0" t="n">
        <f aca="false">IF(CT7-CX7&lt;Inputs!$B$19,0,CT7-CX7)</f>
        <v>40000000</v>
      </c>
      <c r="DB7" s="0" t="n">
        <f aca="false">IF(CU7-CW7&lt;Inputs!$B$19,0,CU7-CW7)</f>
        <v>30000000</v>
      </c>
      <c r="DC7" s="0" t="n">
        <f aca="false">N7-CO7</f>
        <v>0</v>
      </c>
      <c r="DD7" s="0" t="n">
        <f aca="false">O7-CP7</f>
        <v>0</v>
      </c>
      <c r="DE7" s="0" t="n">
        <f aca="false">P7-CQ7</f>
        <v>0</v>
      </c>
      <c r="DF7" s="0" t="n">
        <f aca="false">Q7-CR7</f>
        <v>0</v>
      </c>
      <c r="DG7" s="0" t="n">
        <f aca="false">IF(CZ7+DA7+DB7&lt;=Inputs!$B$19,1,0)</f>
        <v>0</v>
      </c>
      <c r="DH7" s="0" t="n">
        <f aca="false">DG7*CN7</f>
        <v>0</v>
      </c>
      <c r="DI7" s="0" t="n">
        <f aca="false">DG7*(AS7+DH7)</f>
        <v>0</v>
      </c>
      <c r="DJ7" s="0" t="n">
        <f aca="false">DG7*MIN(DC7,DI7)</f>
        <v>0</v>
      </c>
      <c r="DK7" s="0" t="n">
        <f aca="false">DG7*MIN(DD7,DI7-DJ7)</f>
        <v>0</v>
      </c>
      <c r="DL7" s="0" t="n">
        <f aca="false">DG7*MIN(DE7,DI7-DJ7-DK7)</f>
        <v>0</v>
      </c>
      <c r="DM7" s="0" t="n">
        <f aca="false">DG7*MIN(DF7,DI7-DJ7-DK7-DL7)</f>
        <v>0</v>
      </c>
      <c r="DN7" s="0" t="n">
        <f aca="false">DJ7+DK7+DL7+DM7</f>
        <v>0</v>
      </c>
      <c r="DO7" s="0" t="n">
        <f aca="false">CN7-DH7</f>
        <v>3000000</v>
      </c>
      <c r="DP7" s="0" t="n">
        <f aca="false">DC7-DJ7</f>
        <v>0</v>
      </c>
      <c r="DQ7" s="0" t="n">
        <f aca="false">DD7-DK7</f>
        <v>0</v>
      </c>
      <c r="DR7" s="0" t="n">
        <f aca="false">DE7-DL7</f>
        <v>0</v>
      </c>
      <c r="DS7" s="0" t="n">
        <f aca="false">DF7-DM7</f>
        <v>0</v>
      </c>
      <c r="DT7" s="0" t="n">
        <f aca="false">CO7+DJ7</f>
        <v>204762.249800752</v>
      </c>
      <c r="DU7" s="0" t="n">
        <f aca="false">CP7+DK7</f>
        <v>1289306.78165572</v>
      </c>
      <c r="DV7" s="0" t="n">
        <f aca="false">AP7+BL7+BR7+BX7+CC7</f>
        <v>8853428.75506172</v>
      </c>
      <c r="DW7" s="0" t="n">
        <f aca="false">CQ7+DL7</f>
        <v>215534.88784536</v>
      </c>
      <c r="DX7" s="0" t="n">
        <f aca="false">AQ7+BM7+BS7+BY7+CD7</f>
        <v>0</v>
      </c>
      <c r="DY7" s="0" t="n">
        <f aca="false">CR7+DM7</f>
        <v>187500</v>
      </c>
      <c r="DZ7" s="0" t="n">
        <f aca="false">AR7+BN7+BT7+BZ7+CE7</f>
        <v>0</v>
      </c>
      <c r="EA7" s="0" t="n">
        <f aca="false">DI7-DN7</f>
        <v>0</v>
      </c>
      <c r="EB7" s="0" t="n">
        <f aca="false">CH7+EA7</f>
        <v>1072113.11731448</v>
      </c>
      <c r="EC7" s="0" t="n">
        <f aca="false">R7-I7-MAX(-M7,0)-J7-K7-L7</f>
        <v>1072113.11731448</v>
      </c>
      <c r="ED7" s="0" t="n">
        <f aca="false">R7+S7+CM7+DH7-CG7-DT7-DU7-DW7-DY7-DV7-DX7-DZ7-EB7</f>
        <v>0</v>
      </c>
      <c r="EE7" s="0" t="n">
        <f aca="false">IF(AND(EB7&gt;0.000001,DP7+DQ7+DR7+DS7&gt;0.000001),1,0)</f>
        <v>0</v>
      </c>
    </row>
    <row r="8" customFormat="false" ht="15" hidden="false" customHeight="false" outlineLevel="0" collapsed="false">
      <c r="A8" s="0" t="n">
        <f aca="false">ROW()-5</f>
        <v>3</v>
      </c>
      <c r="B8" s="0" t="n">
        <f aca="false">Inputs!$B$11+(Inputs!$B$12-Inputs!$B$11)*(1-EXP(-A8/Inputs!$B$13))+Inputs!$B$8</f>
        <v>0.0417662174771383</v>
      </c>
      <c r="C8" s="0" t="n">
        <f aca="false">CZ7</f>
        <v>282183923.644286</v>
      </c>
      <c r="D8" s="0" t="n">
        <f aca="false">DA7</f>
        <v>40000000</v>
      </c>
      <c r="E8" s="0" t="n">
        <f aca="false">DB7</f>
        <v>30000000</v>
      </c>
      <c r="F8" s="0" t="n">
        <f aca="false">IF(Inputs!$B$22=1,B8+Inputs!$B$23,Inputs!$B$23)/12</f>
        <v>0.00439718478976152</v>
      </c>
      <c r="G8" s="0" t="n">
        <f aca="false">IF(Inputs!$B$27=1,B8+Inputs!$B$28,Inputs!$B$28)/12</f>
        <v>0.00535551812309485</v>
      </c>
      <c r="H8" s="0" t="n">
        <f aca="false">IF(Inputs!$B$32=1,B8+Inputs!$B$33,Inputs!$B$33)/12</f>
        <v>0.00625</v>
      </c>
      <c r="I8" s="0" t="n">
        <f aca="false">Pool!BT8*Inputs!$B$14/12</f>
        <v>199595.117446821</v>
      </c>
      <c r="J8" s="0" t="n">
        <f aca="false">C8*F8</f>
        <v>1240814.85696388</v>
      </c>
      <c r="K8" s="0" t="n">
        <f aca="false">D8*G8</f>
        <v>214220.724923794</v>
      </c>
      <c r="L8" s="0" t="n">
        <f aca="false">E8*H8</f>
        <v>187500</v>
      </c>
      <c r="M8" s="0" t="n">
        <f aca="false">Inputs!$B$17*(C8*Inputs!$B$22+D8*Inputs!$B$27+E8*Inputs!$B$32)*(B8-Inputs!$B$18)/12</f>
        <v>0</v>
      </c>
      <c r="N8" s="0" t="n">
        <f aca="false">DP7+I8+MAX(-M8,0)</f>
        <v>199595.117446821</v>
      </c>
      <c r="O8" s="0" t="n">
        <f aca="false">DQ7+J8</f>
        <v>1240814.85696388</v>
      </c>
      <c r="P8" s="0" t="n">
        <f aca="false">DR7+K8</f>
        <v>214220.724923794</v>
      </c>
      <c r="Q8" s="0" t="n">
        <f aca="false">DS7+L8</f>
        <v>187500</v>
      </c>
      <c r="R8" s="0" t="n">
        <f aca="false">Pool!BV8+MAX(M8,0)</f>
        <v>2896219.56158376</v>
      </c>
      <c r="S8" s="0" t="n">
        <f aca="false">Pool!BW8+Pool!BX8+Pool!BZ8</f>
        <v>8745478.25502987</v>
      </c>
      <c r="T8" s="0" t="n">
        <f aca="false">MAX(T7,BG7)</f>
        <v>1</v>
      </c>
      <c r="U8" s="0" t="n">
        <f aca="false">MIN(C8,S8)</f>
        <v>8745478.25502987</v>
      </c>
      <c r="V8" s="0" t="n">
        <f aca="false">MIN(D8,S8-U8)</f>
        <v>0</v>
      </c>
      <c r="W8" s="0" t="n">
        <f aca="false">MIN(E8,S8-U8-V8)</f>
        <v>0</v>
      </c>
      <c r="X8" s="0" t="n">
        <f aca="false">IF(C8-(0)&gt;Inputs!$B$19,1,0)</f>
        <v>1</v>
      </c>
      <c r="Y8" s="0" t="n">
        <f aca="false">IF(D8-(0)&gt;Inputs!$B$19,1,0)</f>
        <v>1</v>
      </c>
      <c r="Z8" s="0" t="n">
        <f aca="false">IF(E8-(0)&gt;Inputs!$B$19,1,0)</f>
        <v>1</v>
      </c>
      <c r="AA8" s="0" t="n">
        <f aca="false">IF((X8*C8+Y8*D8+Z8*E8)&gt;0,MIN(C8-(0),S8*X8*C8/(X8*C8+Y8*D8+Z8*E8)),0)</f>
        <v>7007228.90077936</v>
      </c>
      <c r="AB8" s="0" t="n">
        <f aca="false">IF((X8*C8+Y8*D8+Z8*E8)&gt;0,MIN(D8-(0),S8*Y8*D8/(X8*C8+Y8*D8+Z8*E8)),0)</f>
        <v>993285.345286006</v>
      </c>
      <c r="AC8" s="0" t="n">
        <f aca="false">IF((X8*C8+Y8*D8+Z8*E8)&gt;0,MIN(E8-(0),S8*Z8*E8/(X8*C8+Y8*D8+Z8*E8)),0)</f>
        <v>744964.008964504</v>
      </c>
      <c r="AD8" s="0" t="n">
        <f aca="false">IF(C8-(AA8)&gt;Inputs!$B$19,1,0)</f>
        <v>1</v>
      </c>
      <c r="AE8" s="0" t="n">
        <f aca="false">IF(D8-(AB8)&gt;Inputs!$B$19,1,0)</f>
        <v>1</v>
      </c>
      <c r="AF8" s="0" t="n">
        <f aca="false">IF(E8-(AC8)&gt;Inputs!$B$19,1,0)</f>
        <v>1</v>
      </c>
      <c r="AG8" s="0" t="n">
        <f aca="false">IF((AD8*C8+AE8*D8+AF8*E8)&gt;0,MIN(C8-(AA8),(S8-(AA8+AB8+AC8))*AD8*C8/(AD8*C8+AE8*D8+AF8*E8)),0)</f>
        <v>0</v>
      </c>
      <c r="AH8" s="0" t="n">
        <f aca="false">IF((AD8*C8+AE8*D8+AF8*E8)&gt;0,MIN(D8-(AB8),(S8-(AA8+AB8+AC8))*AE8*D8/(AD8*C8+AE8*D8+AF8*E8)),0)</f>
        <v>0</v>
      </c>
      <c r="AI8" s="0" t="n">
        <f aca="false">IF((AD8*C8+AE8*D8+AF8*E8)&gt;0,MIN(E8-(AC8),(S8-(AA8+AB8+AC8))*AF8*E8/(AD8*C8+AE8*D8+AF8*E8)),0)</f>
        <v>0</v>
      </c>
      <c r="AJ8" s="0" t="n">
        <f aca="false">IF(C8-(AA8+AG8)&gt;Inputs!$B$19,1,0)</f>
        <v>1</v>
      </c>
      <c r="AK8" s="0" t="n">
        <f aca="false">IF(D8-(AB8+AH8)&gt;Inputs!$B$19,1,0)</f>
        <v>1</v>
      </c>
      <c r="AL8" s="0" t="n">
        <f aca="false">IF(E8-(AC8+AI8)&gt;Inputs!$B$19,1,0)</f>
        <v>1</v>
      </c>
      <c r="AM8" s="0" t="n">
        <f aca="false">IF((AJ8*C8+AK8*D8+AL8*E8)&gt;0,MIN(C8-(AA8+AG8),(S8-(AA8+AB8+AC8+AG8+AH8+AI8))*AJ8*C8/(AJ8*C8+AK8*D8+AL8*E8)),0)</f>
        <v>0</v>
      </c>
      <c r="AN8" s="0" t="n">
        <f aca="false">IF((AJ8*C8+AK8*D8+AL8*E8)&gt;0,MIN(D8-(AB8+AH8),(S8-(AA8+AB8+AC8+AG8+AH8+AI8))*AK8*D8/(AJ8*C8+AK8*D8+AL8*E8)),0)</f>
        <v>0</v>
      </c>
      <c r="AO8" s="0" t="n">
        <f aca="false">IF((AJ8*C8+AK8*D8+AL8*E8)&gt;0,MIN(E8-(AC8+AI8),(S8-(AA8+AB8+AC8+AG8+AH8+AI8))*AL8*E8/(AJ8*C8+AK8*D8+AL8*E8)),0)</f>
        <v>0</v>
      </c>
      <c r="AP8" s="0" t="n">
        <f aca="false">IF(T8=1,U8,AA8+AG8+AM8)</f>
        <v>8745478.25502987</v>
      </c>
      <c r="AQ8" s="0" t="n">
        <f aca="false">IF(T8=1,V8,AB8+AH8+AN8)</f>
        <v>0</v>
      </c>
      <c r="AR8" s="0" t="n">
        <f aca="false">IF(T8=1,W8,AC8+AI8+AO8)</f>
        <v>0</v>
      </c>
      <c r="AS8" s="0" t="n">
        <f aca="false">S8-AP8-AQ8-AR8</f>
        <v>0</v>
      </c>
      <c r="AT8" s="0" t="n">
        <f aca="false">C8-AP8</f>
        <v>273438445.389256</v>
      </c>
      <c r="AU8" s="0" t="n">
        <f aca="false">D8-AQ8</f>
        <v>40000000</v>
      </c>
      <c r="AV8" s="0" t="n">
        <f aca="false">E8-AR8</f>
        <v>30000000</v>
      </c>
      <c r="AW8" s="0" t="n">
        <f aca="false">Pool!CB8</f>
        <v>372251835.261834</v>
      </c>
      <c r="AX8" s="0" t="n">
        <f aca="false">IF((AT8)&gt;Inputs!$B$19,AW8/(AT8),1000000000)</f>
        <v>1.36137343354155</v>
      </c>
      <c r="AY8" s="0" t="n">
        <f aca="false">IF((J8)&gt;0.000000001,(R8-I8-MAX(-M8,0))/(J8),1000000000)</f>
        <v>2.17326898449237</v>
      </c>
      <c r="AZ8" s="0" t="n">
        <f aca="false">IF(OR(AX8&lt;Inputs!$B$24,AY8&lt;Inputs!$B$25),1,0)</f>
        <v>0</v>
      </c>
      <c r="BA8" s="0" t="n">
        <f aca="false">IF((AT8+AU8)&gt;Inputs!$B$19,AW8/(AT8+AU8),1000000000)</f>
        <v>1.18763936185154</v>
      </c>
      <c r="BB8" s="0" t="n">
        <f aca="false">IF((J8+K8)&gt;0.000000001,(R8-I8-MAX(-M8,0))/(J8+K8),1000000000)</f>
        <v>1.85330481103321</v>
      </c>
      <c r="BC8" s="0" t="n">
        <f aca="false">IF(OR(BA8&lt;Inputs!$B$29,BB8&lt;Inputs!$B$30),1,0)</f>
        <v>0</v>
      </c>
      <c r="BD8" s="0" t="n">
        <f aca="false">IF((AT8+AU8+AV8)&gt;Inputs!$B$19,AW8/(AT8+AU8+AV8),1000000000)</f>
        <v>1.08389680963039</v>
      </c>
      <c r="BE8" s="0" t="n">
        <f aca="false">IF((J8+K8+L8)&gt;0.000000001,(R8-I8-MAX(-M8,0))/(J8+K8+L8),1000000000)</f>
        <v>1.64174491796266</v>
      </c>
      <c r="BF8" s="0" t="n">
        <f aca="false">IF(OR(BD8&lt;Inputs!$B$34,BE8&lt;Inputs!$B$35),1,0)</f>
        <v>0</v>
      </c>
      <c r="BG8" s="0" t="n">
        <f aca="false">MAX(AZ8,BC8,BF8)</f>
        <v>0</v>
      </c>
      <c r="BH8" s="0" t="n">
        <f aca="false">MIN(R8,N8)</f>
        <v>199595.117446821</v>
      </c>
      <c r="BI8" s="0" t="n">
        <f aca="false">R8-BH8</f>
        <v>2696624.44413694</v>
      </c>
      <c r="BJ8" s="0" t="n">
        <f aca="false">MIN(BI8,O8)</f>
        <v>1240814.85696388</v>
      </c>
      <c r="BK8" s="0" t="n">
        <f aca="false">BI8-BJ8</f>
        <v>1455809.58717306</v>
      </c>
      <c r="BL8" s="0" t="n">
        <f aca="false">AZ8*MIN(AT8,BK8)</f>
        <v>0</v>
      </c>
      <c r="BM8" s="0" t="n">
        <f aca="false">AZ8*MIN(AU8,BK8-BL8)</f>
        <v>0</v>
      </c>
      <c r="BN8" s="0" t="n">
        <f aca="false">AZ8*MIN(AV8,BK8-BL8-BM8)</f>
        <v>0</v>
      </c>
      <c r="BO8" s="0" t="n">
        <f aca="false">BK8-BL8-BM8-BN8</f>
        <v>1455809.58717306</v>
      </c>
      <c r="BP8" s="0" t="n">
        <f aca="false">MIN(BO8,P8)</f>
        <v>214220.724923794</v>
      </c>
      <c r="BQ8" s="0" t="n">
        <f aca="false">BO8-BP8</f>
        <v>1241588.86224926</v>
      </c>
      <c r="BR8" s="0" t="n">
        <f aca="false">BC8*MIN((AT8-BL8),BQ8)</f>
        <v>0</v>
      </c>
      <c r="BS8" s="0" t="n">
        <f aca="false">BC8*MIN((AU8-BM8),BQ8-BR8)</f>
        <v>0</v>
      </c>
      <c r="BT8" s="0" t="n">
        <f aca="false">BC8*MIN((AV8-BN8),BQ8-BR8-BS8)</f>
        <v>0</v>
      </c>
      <c r="BU8" s="0" t="n">
        <f aca="false">BQ8-BR8-BS8-BT8</f>
        <v>1241588.86224926</v>
      </c>
      <c r="BV8" s="0" t="n">
        <f aca="false">MIN(BU8,Q8)</f>
        <v>187500</v>
      </c>
      <c r="BW8" s="0" t="n">
        <f aca="false">BU8-BV8</f>
        <v>1054088.86224926</v>
      </c>
      <c r="BX8" s="0" t="n">
        <f aca="false">BF8*MIN((AT8-BL8-BR8),BW8)</f>
        <v>0</v>
      </c>
      <c r="BY8" s="0" t="n">
        <f aca="false">BF8*MIN((AU8-BM8-BS8),BW8-BX8)</f>
        <v>0</v>
      </c>
      <c r="BZ8" s="0" t="n">
        <f aca="false">BF8*MIN((AV8-BN8-BT8),BW8-BX8-BY8)</f>
        <v>0</v>
      </c>
      <c r="CA8" s="0" t="n">
        <f aca="false">BW8-BX8-BY8-BZ8</f>
        <v>1054088.86224926</v>
      </c>
      <c r="CB8" s="0" t="n">
        <f aca="false">MAX(0,AT8+AU8+AV8-BL8-BM8-BN8-BR8-BS8-BT8-BX8-BY8-BZ8-AW8)</f>
        <v>0</v>
      </c>
      <c r="CC8" s="0" t="n">
        <f aca="false">1*MIN((AT8-BL8-BR8-BX8),MIN(CA8,CB8))</f>
        <v>0</v>
      </c>
      <c r="CD8" s="0" t="n">
        <f aca="false">1*MIN((AU8-BM8-BS8-BY8),MIN(CA8,CB8)-CC8)</f>
        <v>0</v>
      </c>
      <c r="CE8" s="0" t="n">
        <f aca="false">1*MIN((AV8-BN8-BT8-BZ8),MIN(CA8,CB8)-CC8-CD8)</f>
        <v>0</v>
      </c>
      <c r="CF8" s="0" t="n">
        <f aca="false">CA8-CC8-CD8-CE8</f>
        <v>1054088.86224926</v>
      </c>
      <c r="CG8" s="0" t="n">
        <f aca="false">IF(C8+D8+E8&gt;Inputs!$B$19,MIN(CF8,MAX(0,Inputs!$B$15-DO7)),0)</f>
        <v>0</v>
      </c>
      <c r="CH8" s="0" t="n">
        <f aca="false">CF8-CG8</f>
        <v>1054088.86224926</v>
      </c>
      <c r="CI8" s="0" t="n">
        <f aca="false">DO7+CG8</f>
        <v>3000000</v>
      </c>
      <c r="CJ8" s="0" t="n">
        <f aca="false">MIN(MAX(N8-BH8,0),CI8)</f>
        <v>0</v>
      </c>
      <c r="CK8" s="0" t="n">
        <f aca="false">MIN(MAX(O8-BJ8,0),CI8-CJ8)</f>
        <v>0</v>
      </c>
      <c r="CL8" s="0" t="n">
        <f aca="false">MIN(MAX(P8-BP8,0),CI8-CJ8-CK8)</f>
        <v>0</v>
      </c>
      <c r="CM8" s="0" t="n">
        <f aca="false">CJ8+CK8+CL8</f>
        <v>0</v>
      </c>
      <c r="CN8" s="0" t="n">
        <f aca="false">CI8-CM8</f>
        <v>3000000</v>
      </c>
      <c r="CO8" s="0" t="n">
        <f aca="false">BH8+CJ8</f>
        <v>199595.117446821</v>
      </c>
      <c r="CP8" s="0" t="n">
        <f aca="false">BJ8+CK8</f>
        <v>1240814.85696388</v>
      </c>
      <c r="CQ8" s="0" t="n">
        <f aca="false">BP8+CL8</f>
        <v>214220.724923794</v>
      </c>
      <c r="CR8" s="0" t="n">
        <f aca="false">BV8</f>
        <v>187500</v>
      </c>
      <c r="CS8" s="0" t="n">
        <f aca="false">AT8-BL8-BR8-BX8-CC8</f>
        <v>273438445.389256</v>
      </c>
      <c r="CT8" s="0" t="n">
        <f aca="false">AU8-BM8-BS8-BY8-CD8</f>
        <v>40000000</v>
      </c>
      <c r="CU8" s="0" t="n">
        <f aca="false">AV8-BN8-BT8-BZ8-CE8</f>
        <v>30000000</v>
      </c>
      <c r="CV8" s="0" t="n">
        <f aca="false">MAX(0,CS8+CT8+CU8-AW8)</f>
        <v>0</v>
      </c>
      <c r="CW8" s="0" t="n">
        <f aca="false">MIN(CU8,CV8)</f>
        <v>0</v>
      </c>
      <c r="CX8" s="0" t="n">
        <f aca="false">MIN(CT8,CV8-CW8)</f>
        <v>0</v>
      </c>
      <c r="CY8" s="0" t="n">
        <f aca="false">MIN(CS8,CV8-CW8-CX8)</f>
        <v>0</v>
      </c>
      <c r="CZ8" s="0" t="n">
        <f aca="false">IF(CS8-CY8&lt;Inputs!$B$19,0,CS8-CY8)</f>
        <v>273438445.389256</v>
      </c>
      <c r="DA8" s="0" t="n">
        <f aca="false">IF(CT8-CX8&lt;Inputs!$B$19,0,CT8-CX8)</f>
        <v>40000000</v>
      </c>
      <c r="DB8" s="0" t="n">
        <f aca="false">IF(CU8-CW8&lt;Inputs!$B$19,0,CU8-CW8)</f>
        <v>30000000</v>
      </c>
      <c r="DC8" s="0" t="n">
        <f aca="false">N8-CO8</f>
        <v>0</v>
      </c>
      <c r="DD8" s="0" t="n">
        <f aca="false">O8-CP8</f>
        <v>0</v>
      </c>
      <c r="DE8" s="0" t="n">
        <f aca="false">P8-CQ8</f>
        <v>0</v>
      </c>
      <c r="DF8" s="0" t="n">
        <f aca="false">Q8-CR8</f>
        <v>0</v>
      </c>
      <c r="DG8" s="0" t="n">
        <f aca="false">IF(CZ8+DA8+DB8&lt;=Inputs!$B$19,1,0)</f>
        <v>0</v>
      </c>
      <c r="DH8" s="0" t="n">
        <f aca="false">DG8*CN8</f>
        <v>0</v>
      </c>
      <c r="DI8" s="0" t="n">
        <f aca="false">DG8*(AS8+DH8)</f>
        <v>0</v>
      </c>
      <c r="DJ8" s="0" t="n">
        <f aca="false">DG8*MIN(DC8,DI8)</f>
        <v>0</v>
      </c>
      <c r="DK8" s="0" t="n">
        <f aca="false">DG8*MIN(DD8,DI8-DJ8)</f>
        <v>0</v>
      </c>
      <c r="DL8" s="0" t="n">
        <f aca="false">DG8*MIN(DE8,DI8-DJ8-DK8)</f>
        <v>0</v>
      </c>
      <c r="DM8" s="0" t="n">
        <f aca="false">DG8*MIN(DF8,DI8-DJ8-DK8-DL8)</f>
        <v>0</v>
      </c>
      <c r="DN8" s="0" t="n">
        <f aca="false">DJ8+DK8+DL8+DM8</f>
        <v>0</v>
      </c>
      <c r="DO8" s="0" t="n">
        <f aca="false">CN8-DH8</f>
        <v>3000000</v>
      </c>
      <c r="DP8" s="0" t="n">
        <f aca="false">DC8-DJ8</f>
        <v>0</v>
      </c>
      <c r="DQ8" s="0" t="n">
        <f aca="false">DD8-DK8</f>
        <v>0</v>
      </c>
      <c r="DR8" s="0" t="n">
        <f aca="false">DE8-DL8</f>
        <v>0</v>
      </c>
      <c r="DS8" s="0" t="n">
        <f aca="false">DF8-DM8</f>
        <v>0</v>
      </c>
      <c r="DT8" s="0" t="n">
        <f aca="false">CO8+DJ8</f>
        <v>199595.117446821</v>
      </c>
      <c r="DU8" s="0" t="n">
        <f aca="false">CP8+DK8</f>
        <v>1240814.85696388</v>
      </c>
      <c r="DV8" s="0" t="n">
        <f aca="false">AP8+BL8+BR8+BX8+CC8</f>
        <v>8745478.25502987</v>
      </c>
      <c r="DW8" s="0" t="n">
        <f aca="false">CQ8+DL8</f>
        <v>214220.724923794</v>
      </c>
      <c r="DX8" s="0" t="n">
        <f aca="false">AQ8+BM8+BS8+BY8+CD8</f>
        <v>0</v>
      </c>
      <c r="DY8" s="0" t="n">
        <f aca="false">CR8+DM8</f>
        <v>187500</v>
      </c>
      <c r="DZ8" s="0" t="n">
        <f aca="false">AR8+BN8+BT8+BZ8+CE8</f>
        <v>0</v>
      </c>
      <c r="EA8" s="0" t="n">
        <f aca="false">DI8-DN8</f>
        <v>0</v>
      </c>
      <c r="EB8" s="0" t="n">
        <f aca="false">CH8+EA8</f>
        <v>1054088.86224926</v>
      </c>
      <c r="EC8" s="0" t="n">
        <f aca="false">R8-I8-MAX(-M8,0)-J8-K8-L8</f>
        <v>1054088.86224926</v>
      </c>
      <c r="ED8" s="0" t="n">
        <f aca="false">R8+S8+CM8+DH8-CG8-DT8-DU8-DW8-DY8-DV8-DX8-DZ8-EB8</f>
        <v>0</v>
      </c>
      <c r="EE8" s="0" t="n">
        <f aca="false">IF(AND(EB8&gt;0.000001,DP8+DQ8+DR8+DS8&gt;0.000001),1,0)</f>
        <v>0</v>
      </c>
    </row>
    <row r="9" customFormat="false" ht="15" hidden="false" customHeight="false" outlineLevel="0" collapsed="false">
      <c r="A9" s="0" t="n">
        <f aca="false">ROW()-5</f>
        <v>4</v>
      </c>
      <c r="B9" s="0" t="n">
        <f aca="false">Inputs!$B$11+(Inputs!$B$12-Inputs!$B$11)*(1-EXP(-A9/Inputs!$B$13))+Inputs!$B$8</f>
        <v>0.0413880581113515</v>
      </c>
      <c r="C9" s="0" t="n">
        <f aca="false">CZ8</f>
        <v>273438445.389256</v>
      </c>
      <c r="D9" s="0" t="n">
        <f aca="false">DA8</f>
        <v>40000000</v>
      </c>
      <c r="E9" s="0" t="n">
        <f aca="false">DB8</f>
        <v>30000000</v>
      </c>
      <c r="F9" s="0" t="n">
        <f aca="false">IF(Inputs!$B$22=1,B9+Inputs!$B$23,Inputs!$B$23)/12</f>
        <v>0.00436567150927929</v>
      </c>
      <c r="G9" s="0" t="n">
        <f aca="false">IF(Inputs!$B$27=1,B9+Inputs!$B$28,Inputs!$B$28)/12</f>
        <v>0.00532400484261262</v>
      </c>
      <c r="H9" s="0" t="n">
        <f aca="false">IF(Inputs!$B$32=1,B9+Inputs!$B$33,Inputs!$B$33)/12</f>
        <v>0.00625</v>
      </c>
      <c r="I9" s="0" t="n">
        <f aca="false">Pool!BT9*Inputs!$B$14/12</f>
        <v>194497.758037118</v>
      </c>
      <c r="J9" s="0" t="n">
        <f aca="false">C9*F9</f>
        <v>1193742.4305775</v>
      </c>
      <c r="K9" s="0" t="n">
        <f aca="false">D9*G9</f>
        <v>212960.193704505</v>
      </c>
      <c r="L9" s="0" t="n">
        <f aca="false">E9*H9</f>
        <v>187500</v>
      </c>
      <c r="M9" s="0" t="n">
        <f aca="false">Inputs!$B$17*(C9*Inputs!$B$22+D9*Inputs!$B$27+E9*Inputs!$B$32)*(B9-Inputs!$B$18)/12</f>
        <v>0</v>
      </c>
      <c r="N9" s="0" t="n">
        <f aca="false">DP8+I9+MAX(-M9,0)</f>
        <v>194497.758037118</v>
      </c>
      <c r="O9" s="0" t="n">
        <f aca="false">DQ8+J9</f>
        <v>1193742.4305775</v>
      </c>
      <c r="P9" s="0" t="n">
        <f aca="false">DR8+K9</f>
        <v>212960.193704505</v>
      </c>
      <c r="Q9" s="0" t="n">
        <f aca="false">DS8+L9</f>
        <v>187500</v>
      </c>
      <c r="R9" s="0" t="n">
        <f aca="false">Pool!BV9+MAX(M9,0)</f>
        <v>2824199.01992751</v>
      </c>
      <c r="S9" s="0" t="n">
        <f aca="false">Pool!BW9+Pool!BX9+Pool!BZ9</f>
        <v>8638781.64025109</v>
      </c>
      <c r="T9" s="0" t="n">
        <f aca="false">MAX(T8,BG8)</f>
        <v>1</v>
      </c>
      <c r="U9" s="0" t="n">
        <f aca="false">MIN(C9,S9)</f>
        <v>8638781.64025109</v>
      </c>
      <c r="V9" s="0" t="n">
        <f aca="false">MIN(D9,S9-U9)</f>
        <v>0</v>
      </c>
      <c r="W9" s="0" t="n">
        <f aca="false">MIN(E9,S9-U9-V9)</f>
        <v>0</v>
      </c>
      <c r="X9" s="0" t="n">
        <f aca="false">IF(C9-(0)&gt;Inputs!$B$19,1,0)</f>
        <v>1</v>
      </c>
      <c r="Y9" s="0" t="n">
        <f aca="false">IF(D9-(0)&gt;Inputs!$B$19,1,0)</f>
        <v>1</v>
      </c>
      <c r="Z9" s="0" t="n">
        <f aca="false">IF(E9-(0)&gt;Inputs!$B$19,1,0)</f>
        <v>1</v>
      </c>
      <c r="AA9" s="0" t="n">
        <f aca="false">IF((X9*C9+Y9*D9+Z9*E9)&gt;0,MIN(C9-(0),S9*X9*C9/(X9*C9+Y9*D9+Z9*E9)),0)</f>
        <v>6878015.70697828</v>
      </c>
      <c r="AB9" s="0" t="n">
        <f aca="false">IF((X9*C9+Y9*D9+Z9*E9)&gt;0,MIN(D9-(0),S9*Y9*D9/(X9*C9+Y9*D9+Z9*E9)),0)</f>
        <v>1006151.96187018</v>
      </c>
      <c r="AC9" s="0" t="n">
        <f aca="false">IF((X9*C9+Y9*D9+Z9*E9)&gt;0,MIN(E9-(0),S9*Z9*E9/(X9*C9+Y9*D9+Z9*E9)),0)</f>
        <v>754613.971402632</v>
      </c>
      <c r="AD9" s="0" t="n">
        <f aca="false">IF(C9-(AA9)&gt;Inputs!$B$19,1,0)</f>
        <v>1</v>
      </c>
      <c r="AE9" s="0" t="n">
        <f aca="false">IF(D9-(AB9)&gt;Inputs!$B$19,1,0)</f>
        <v>1</v>
      </c>
      <c r="AF9" s="0" t="n">
        <f aca="false">IF(E9-(AC9)&gt;Inputs!$B$19,1,0)</f>
        <v>1</v>
      </c>
      <c r="AG9" s="0" t="n">
        <f aca="false">IF((AD9*C9+AE9*D9+AF9*E9)&gt;0,MIN(C9-(AA9),(S9-(AA9+AB9+AC9))*AD9*C9/(AD9*C9+AE9*D9+AF9*E9)),0)</f>
        <v>0</v>
      </c>
      <c r="AH9" s="0" t="n">
        <f aca="false">IF((AD9*C9+AE9*D9+AF9*E9)&gt;0,MIN(D9-(AB9),(S9-(AA9+AB9+AC9))*AE9*D9/(AD9*C9+AE9*D9+AF9*E9)),0)</f>
        <v>0</v>
      </c>
      <c r="AI9" s="0" t="n">
        <f aca="false">IF((AD9*C9+AE9*D9+AF9*E9)&gt;0,MIN(E9-(AC9),(S9-(AA9+AB9+AC9))*AF9*E9/(AD9*C9+AE9*D9+AF9*E9)),0)</f>
        <v>0</v>
      </c>
      <c r="AJ9" s="0" t="n">
        <f aca="false">IF(C9-(AA9+AG9)&gt;Inputs!$B$19,1,0)</f>
        <v>1</v>
      </c>
      <c r="AK9" s="0" t="n">
        <f aca="false">IF(D9-(AB9+AH9)&gt;Inputs!$B$19,1,0)</f>
        <v>1</v>
      </c>
      <c r="AL9" s="0" t="n">
        <f aca="false">IF(E9-(AC9+AI9)&gt;Inputs!$B$19,1,0)</f>
        <v>1</v>
      </c>
      <c r="AM9" s="0" t="n">
        <f aca="false">IF((AJ9*C9+AK9*D9+AL9*E9)&gt;0,MIN(C9-(AA9+AG9),(S9-(AA9+AB9+AC9+AG9+AH9+AI9))*AJ9*C9/(AJ9*C9+AK9*D9+AL9*E9)),0)</f>
        <v>0</v>
      </c>
      <c r="AN9" s="0" t="n">
        <f aca="false">IF((AJ9*C9+AK9*D9+AL9*E9)&gt;0,MIN(D9-(AB9+AH9),(S9-(AA9+AB9+AC9+AG9+AH9+AI9))*AK9*D9/(AJ9*C9+AK9*D9+AL9*E9)),0)</f>
        <v>0</v>
      </c>
      <c r="AO9" s="0" t="n">
        <f aca="false">IF((AJ9*C9+AK9*D9+AL9*E9)&gt;0,MIN(E9-(AC9+AI9),(S9-(AA9+AB9+AC9+AG9+AH9+AI9))*AL9*E9/(AJ9*C9+AK9*D9+AL9*E9)),0)</f>
        <v>0</v>
      </c>
      <c r="AP9" s="0" t="n">
        <f aca="false">IF(T9=1,U9,AA9+AG9+AM9)</f>
        <v>8638781.64025109</v>
      </c>
      <c r="AQ9" s="0" t="n">
        <f aca="false">IF(T9=1,V9,AB9+AH9+AN9)</f>
        <v>0</v>
      </c>
      <c r="AR9" s="0" t="n">
        <f aca="false">IF(T9=1,W9,AC9+AI9+AO9)</f>
        <v>0</v>
      </c>
      <c r="AS9" s="0" t="n">
        <f aca="false">S9-AP9-AQ9-AR9</f>
        <v>0</v>
      </c>
      <c r="AT9" s="0" t="n">
        <f aca="false">C9-AP9</f>
        <v>264799663.749005</v>
      </c>
      <c r="AU9" s="0" t="n">
        <f aca="false">D9-AQ9</f>
        <v>40000000</v>
      </c>
      <c r="AV9" s="0" t="n">
        <f aca="false">E9-AR9</f>
        <v>30000000</v>
      </c>
      <c r="AW9" s="0" t="n">
        <f aca="false">Pool!CB9</f>
        <v>363237387.890607</v>
      </c>
      <c r="AX9" s="0" t="n">
        <f aca="false">IF((AT9)&gt;Inputs!$B$19,AW9/(AT9),1000000000)</f>
        <v>1.37174414328149</v>
      </c>
      <c r="AY9" s="0" t="n">
        <f aca="false">IF((J9)&gt;0.000000001,(R9-I9-MAX(-M9,0))/(J9),1000000000)</f>
        <v>2.2029050777882</v>
      </c>
      <c r="AZ9" s="0" t="n">
        <f aca="false">IF(OR(AX9&lt;Inputs!$B$24,AY9&lt;Inputs!$B$25),1,0)</f>
        <v>0</v>
      </c>
      <c r="BA9" s="0" t="n">
        <f aca="false">IF((AT9+AU9)&gt;Inputs!$B$19,AW9/(AT9+AU9),1000000000)</f>
        <v>1.19172502824584</v>
      </c>
      <c r="BB9" s="0" t="n">
        <f aca="false">IF((J9+K9)&gt;0.000000001,(R9-I9-MAX(-M9,0))/(J9+K9),1000000000)</f>
        <v>1.86940808703803</v>
      </c>
      <c r="BC9" s="0" t="n">
        <f aca="false">IF(OR(BA9&lt;Inputs!$B$29,BB9&lt;Inputs!$B$30),1,0)</f>
        <v>0</v>
      </c>
      <c r="BD9" s="0" t="n">
        <f aca="false">IF((AT9+AU9+AV9)&gt;Inputs!$B$19,AW9/(AT9+AU9+AV9),1000000000)</f>
        <v>1.08493952420132</v>
      </c>
      <c r="BE9" s="0" t="n">
        <f aca="false">IF((J9+K9+L9)&gt;0.000000001,(R9-I9-MAX(-M9,0))/(J9+K9+L9),1000000000)</f>
        <v>1.64954016624754</v>
      </c>
      <c r="BF9" s="0" t="n">
        <f aca="false">IF(OR(BD9&lt;Inputs!$B$34,BE9&lt;Inputs!$B$35),1,0)</f>
        <v>0</v>
      </c>
      <c r="BG9" s="0" t="n">
        <f aca="false">MAX(AZ9,BC9,BF9)</f>
        <v>0</v>
      </c>
      <c r="BH9" s="0" t="n">
        <f aca="false">MIN(R9,N9)</f>
        <v>194497.758037118</v>
      </c>
      <c r="BI9" s="0" t="n">
        <f aca="false">R9-BH9</f>
        <v>2629701.26189039</v>
      </c>
      <c r="BJ9" s="0" t="n">
        <f aca="false">MIN(BI9,O9)</f>
        <v>1193742.4305775</v>
      </c>
      <c r="BK9" s="0" t="n">
        <f aca="false">BI9-BJ9</f>
        <v>1435958.83131289</v>
      </c>
      <c r="BL9" s="0" t="n">
        <f aca="false">AZ9*MIN(AT9,BK9)</f>
        <v>0</v>
      </c>
      <c r="BM9" s="0" t="n">
        <f aca="false">AZ9*MIN(AU9,BK9-BL9)</f>
        <v>0</v>
      </c>
      <c r="BN9" s="0" t="n">
        <f aca="false">AZ9*MIN(AV9,BK9-BL9-BM9)</f>
        <v>0</v>
      </c>
      <c r="BO9" s="0" t="n">
        <f aca="false">BK9-BL9-BM9-BN9</f>
        <v>1435958.83131289</v>
      </c>
      <c r="BP9" s="0" t="n">
        <f aca="false">MIN(BO9,P9)</f>
        <v>212960.193704505</v>
      </c>
      <c r="BQ9" s="0" t="n">
        <f aca="false">BO9-BP9</f>
        <v>1222998.63760839</v>
      </c>
      <c r="BR9" s="0" t="n">
        <f aca="false">BC9*MIN((AT9-BL9),BQ9)</f>
        <v>0</v>
      </c>
      <c r="BS9" s="0" t="n">
        <f aca="false">BC9*MIN((AU9-BM9),BQ9-BR9)</f>
        <v>0</v>
      </c>
      <c r="BT9" s="0" t="n">
        <f aca="false">BC9*MIN((AV9-BN9),BQ9-BR9-BS9)</f>
        <v>0</v>
      </c>
      <c r="BU9" s="0" t="n">
        <f aca="false">BQ9-BR9-BS9-BT9</f>
        <v>1222998.63760839</v>
      </c>
      <c r="BV9" s="0" t="n">
        <f aca="false">MIN(BU9,Q9)</f>
        <v>187500</v>
      </c>
      <c r="BW9" s="0" t="n">
        <f aca="false">BU9-BV9</f>
        <v>1035498.63760839</v>
      </c>
      <c r="BX9" s="0" t="n">
        <f aca="false">BF9*MIN((AT9-BL9-BR9),BW9)</f>
        <v>0</v>
      </c>
      <c r="BY9" s="0" t="n">
        <f aca="false">BF9*MIN((AU9-BM9-BS9),BW9-BX9)</f>
        <v>0</v>
      </c>
      <c r="BZ9" s="0" t="n">
        <f aca="false">BF9*MIN((AV9-BN9-BT9),BW9-BX9-BY9)</f>
        <v>0</v>
      </c>
      <c r="CA9" s="0" t="n">
        <f aca="false">BW9-BX9-BY9-BZ9</f>
        <v>1035498.63760839</v>
      </c>
      <c r="CB9" s="0" t="n">
        <f aca="false">MAX(0,AT9+AU9+AV9-BL9-BM9-BN9-BR9-BS9-BT9-BX9-BY9-BZ9-AW9)</f>
        <v>0</v>
      </c>
      <c r="CC9" s="0" t="n">
        <f aca="false">1*MIN((AT9-BL9-BR9-BX9),MIN(CA9,CB9))</f>
        <v>0</v>
      </c>
      <c r="CD9" s="0" t="n">
        <f aca="false">1*MIN((AU9-BM9-BS9-BY9),MIN(CA9,CB9)-CC9)</f>
        <v>0</v>
      </c>
      <c r="CE9" s="0" t="n">
        <f aca="false">1*MIN((AV9-BN9-BT9-BZ9),MIN(CA9,CB9)-CC9-CD9)</f>
        <v>0</v>
      </c>
      <c r="CF9" s="0" t="n">
        <f aca="false">CA9-CC9-CD9-CE9</f>
        <v>1035498.63760839</v>
      </c>
      <c r="CG9" s="0" t="n">
        <f aca="false">IF(C9+D9+E9&gt;Inputs!$B$19,MIN(CF9,MAX(0,Inputs!$B$15-DO8)),0)</f>
        <v>0</v>
      </c>
      <c r="CH9" s="0" t="n">
        <f aca="false">CF9-CG9</f>
        <v>1035498.63760839</v>
      </c>
      <c r="CI9" s="0" t="n">
        <f aca="false">DO8+CG9</f>
        <v>3000000</v>
      </c>
      <c r="CJ9" s="0" t="n">
        <f aca="false">MIN(MAX(N9-BH9,0),CI9)</f>
        <v>0</v>
      </c>
      <c r="CK9" s="0" t="n">
        <f aca="false">MIN(MAX(O9-BJ9,0),CI9-CJ9)</f>
        <v>0</v>
      </c>
      <c r="CL9" s="0" t="n">
        <f aca="false">MIN(MAX(P9-BP9,0),CI9-CJ9-CK9)</f>
        <v>0</v>
      </c>
      <c r="CM9" s="0" t="n">
        <f aca="false">CJ9+CK9+CL9</f>
        <v>0</v>
      </c>
      <c r="CN9" s="0" t="n">
        <f aca="false">CI9-CM9</f>
        <v>3000000</v>
      </c>
      <c r="CO9" s="0" t="n">
        <f aca="false">BH9+CJ9</f>
        <v>194497.758037118</v>
      </c>
      <c r="CP9" s="0" t="n">
        <f aca="false">BJ9+CK9</f>
        <v>1193742.4305775</v>
      </c>
      <c r="CQ9" s="0" t="n">
        <f aca="false">BP9+CL9</f>
        <v>212960.193704505</v>
      </c>
      <c r="CR9" s="0" t="n">
        <f aca="false">BV9</f>
        <v>187500</v>
      </c>
      <c r="CS9" s="0" t="n">
        <f aca="false">AT9-BL9-BR9-BX9-CC9</f>
        <v>264799663.749005</v>
      </c>
      <c r="CT9" s="0" t="n">
        <f aca="false">AU9-BM9-BS9-BY9-CD9</f>
        <v>40000000</v>
      </c>
      <c r="CU9" s="0" t="n">
        <f aca="false">AV9-BN9-BT9-BZ9-CE9</f>
        <v>30000000</v>
      </c>
      <c r="CV9" s="0" t="n">
        <f aca="false">MAX(0,CS9+CT9+CU9-AW9)</f>
        <v>0</v>
      </c>
      <c r="CW9" s="0" t="n">
        <f aca="false">MIN(CU9,CV9)</f>
        <v>0</v>
      </c>
      <c r="CX9" s="0" t="n">
        <f aca="false">MIN(CT9,CV9-CW9)</f>
        <v>0</v>
      </c>
      <c r="CY9" s="0" t="n">
        <f aca="false">MIN(CS9,CV9-CW9-CX9)</f>
        <v>0</v>
      </c>
      <c r="CZ9" s="0" t="n">
        <f aca="false">IF(CS9-CY9&lt;Inputs!$B$19,0,CS9-CY9)</f>
        <v>264799663.749005</v>
      </c>
      <c r="DA9" s="0" t="n">
        <f aca="false">IF(CT9-CX9&lt;Inputs!$B$19,0,CT9-CX9)</f>
        <v>40000000</v>
      </c>
      <c r="DB9" s="0" t="n">
        <f aca="false">IF(CU9-CW9&lt;Inputs!$B$19,0,CU9-CW9)</f>
        <v>30000000</v>
      </c>
      <c r="DC9" s="0" t="n">
        <f aca="false">N9-CO9</f>
        <v>0</v>
      </c>
      <c r="DD9" s="0" t="n">
        <f aca="false">O9-CP9</f>
        <v>0</v>
      </c>
      <c r="DE9" s="0" t="n">
        <f aca="false">P9-CQ9</f>
        <v>0</v>
      </c>
      <c r="DF9" s="0" t="n">
        <f aca="false">Q9-CR9</f>
        <v>0</v>
      </c>
      <c r="DG9" s="0" t="n">
        <f aca="false">IF(CZ9+DA9+DB9&lt;=Inputs!$B$19,1,0)</f>
        <v>0</v>
      </c>
      <c r="DH9" s="0" t="n">
        <f aca="false">DG9*CN9</f>
        <v>0</v>
      </c>
      <c r="DI9" s="0" t="n">
        <f aca="false">DG9*(AS9+DH9)</f>
        <v>0</v>
      </c>
      <c r="DJ9" s="0" t="n">
        <f aca="false">DG9*MIN(DC9,DI9)</f>
        <v>0</v>
      </c>
      <c r="DK9" s="0" t="n">
        <f aca="false">DG9*MIN(DD9,DI9-DJ9)</f>
        <v>0</v>
      </c>
      <c r="DL9" s="0" t="n">
        <f aca="false">DG9*MIN(DE9,DI9-DJ9-DK9)</f>
        <v>0</v>
      </c>
      <c r="DM9" s="0" t="n">
        <f aca="false">DG9*MIN(DF9,DI9-DJ9-DK9-DL9)</f>
        <v>0</v>
      </c>
      <c r="DN9" s="0" t="n">
        <f aca="false">DJ9+DK9+DL9+DM9</f>
        <v>0</v>
      </c>
      <c r="DO9" s="0" t="n">
        <f aca="false">CN9-DH9</f>
        <v>3000000</v>
      </c>
      <c r="DP9" s="0" t="n">
        <f aca="false">DC9-DJ9</f>
        <v>0</v>
      </c>
      <c r="DQ9" s="0" t="n">
        <f aca="false">DD9-DK9</f>
        <v>0</v>
      </c>
      <c r="DR9" s="0" t="n">
        <f aca="false">DE9-DL9</f>
        <v>0</v>
      </c>
      <c r="DS9" s="0" t="n">
        <f aca="false">DF9-DM9</f>
        <v>0</v>
      </c>
      <c r="DT9" s="0" t="n">
        <f aca="false">CO9+DJ9</f>
        <v>194497.758037118</v>
      </c>
      <c r="DU9" s="0" t="n">
        <f aca="false">CP9+DK9</f>
        <v>1193742.4305775</v>
      </c>
      <c r="DV9" s="0" t="n">
        <f aca="false">AP9+BL9+BR9+BX9+CC9</f>
        <v>8638781.64025109</v>
      </c>
      <c r="DW9" s="0" t="n">
        <f aca="false">CQ9+DL9</f>
        <v>212960.193704505</v>
      </c>
      <c r="DX9" s="0" t="n">
        <f aca="false">AQ9+BM9+BS9+BY9+CD9</f>
        <v>0</v>
      </c>
      <c r="DY9" s="0" t="n">
        <f aca="false">CR9+DM9</f>
        <v>187500</v>
      </c>
      <c r="DZ9" s="0" t="n">
        <f aca="false">AR9+BN9+BT9+BZ9+CE9</f>
        <v>0</v>
      </c>
      <c r="EA9" s="0" t="n">
        <f aca="false">DI9-DN9</f>
        <v>0</v>
      </c>
      <c r="EB9" s="0" t="n">
        <f aca="false">CH9+EA9</f>
        <v>1035498.63760839</v>
      </c>
      <c r="EC9" s="0" t="n">
        <f aca="false">R9-I9-MAX(-M9,0)-J9-K9-L9</f>
        <v>1035498.63760839</v>
      </c>
      <c r="ED9" s="0" t="n">
        <f aca="false">R9+S9+CM9+DH9-CG9-DT9-DU9-DW9-DY9-DV9-DX9-DZ9-EB9</f>
        <v>0</v>
      </c>
      <c r="EE9" s="0" t="n">
        <f aca="false">IF(AND(EB9&gt;0.000001,DP9+DQ9+DR9+DS9&gt;0.000001),1,0)</f>
        <v>0</v>
      </c>
    </row>
    <row r="10" customFormat="false" ht="15" hidden="false" customHeight="false" outlineLevel="0" collapsed="false">
      <c r="A10" s="0" t="n">
        <f aca="false">ROW()-5</f>
        <v>5</v>
      </c>
      <c r="B10" s="0" t="n">
        <f aca="false">Inputs!$B$11+(Inputs!$B$12-Inputs!$B$11)*(1-EXP(-A10/Inputs!$B$13))+Inputs!$B$8</f>
        <v>0.0410253316345817</v>
      </c>
      <c r="C10" s="0" t="n">
        <f aca="false">CZ9</f>
        <v>264799663.749005</v>
      </c>
      <c r="D10" s="0" t="n">
        <f aca="false">DA9</f>
        <v>40000000</v>
      </c>
      <c r="E10" s="0" t="n">
        <f aca="false">DB9</f>
        <v>30000000</v>
      </c>
      <c r="F10" s="0" t="n">
        <f aca="false">IF(Inputs!$B$22=1,B10+Inputs!$B$23,Inputs!$B$23)/12</f>
        <v>0.00433544430288181</v>
      </c>
      <c r="G10" s="0" t="n">
        <f aca="false">IF(Inputs!$B$27=1,B10+Inputs!$B$28,Inputs!$B$28)/12</f>
        <v>0.00529377763621514</v>
      </c>
      <c r="H10" s="0" t="n">
        <f aca="false">IF(Inputs!$B$32=1,B10+Inputs!$B$33,Inputs!$B$33)/12</f>
        <v>0.00625</v>
      </c>
      <c r="I10" s="0" t="n">
        <f aca="false">Pool!BT10*Inputs!$B$14/12</f>
        <v>189469.33640408</v>
      </c>
      <c r="J10" s="0" t="n">
        <f aca="false">C10*F10</f>
        <v>1148024.19360564</v>
      </c>
      <c r="K10" s="0" t="n">
        <f aca="false">D10*G10</f>
        <v>211751.105448606</v>
      </c>
      <c r="L10" s="0" t="n">
        <f aca="false">E10*H10</f>
        <v>187500</v>
      </c>
      <c r="M10" s="0" t="n">
        <f aca="false">Inputs!$B$17*(C10*Inputs!$B$22+D10*Inputs!$B$27+E10*Inputs!$B$32)*(B10-Inputs!$B$18)/12</f>
        <v>0</v>
      </c>
      <c r="N10" s="0" t="n">
        <f aca="false">DP9+I10+MAX(-M10,0)</f>
        <v>189469.33640408</v>
      </c>
      <c r="O10" s="0" t="n">
        <f aca="false">DQ9+J10</f>
        <v>1148024.19360564</v>
      </c>
      <c r="P10" s="0" t="n">
        <f aca="false">DR9+K10</f>
        <v>211751.105448606</v>
      </c>
      <c r="Q10" s="0" t="n">
        <f aca="false">DS9+L10</f>
        <v>187500</v>
      </c>
      <c r="R10" s="0" t="n">
        <f aca="false">Pool!BV10+MAX(M10,0)</f>
        <v>2753143.76699584</v>
      </c>
      <c r="S10" s="0" t="n">
        <f aca="false">Pool!BW10+Pool!BX10+Pool!BZ10</f>
        <v>8533324.61405454</v>
      </c>
      <c r="T10" s="0" t="n">
        <f aca="false">MAX(T9,BG9)</f>
        <v>1</v>
      </c>
      <c r="U10" s="0" t="n">
        <f aca="false">MIN(C10,S10)</f>
        <v>8533324.61405454</v>
      </c>
      <c r="V10" s="0" t="n">
        <f aca="false">MIN(D10,S10-U10)</f>
        <v>0</v>
      </c>
      <c r="W10" s="0" t="n">
        <f aca="false">MIN(E10,S10-U10-V10)</f>
        <v>0</v>
      </c>
      <c r="X10" s="0" t="n">
        <f aca="false">IF(C10-(0)&gt;Inputs!$B$19,1,0)</f>
        <v>1</v>
      </c>
      <c r="Y10" s="0" t="n">
        <f aca="false">IF(D10-(0)&gt;Inputs!$B$19,1,0)</f>
        <v>1</v>
      </c>
      <c r="Z10" s="0" t="n">
        <f aca="false">IF(E10-(0)&gt;Inputs!$B$19,1,0)</f>
        <v>1</v>
      </c>
      <c r="AA10" s="0" t="n">
        <f aca="false">IF((X10*C10+Y10*D10+Z10*E10)&gt;0,MIN(C10-(0),S10*X10*C10/(X10*C10+Y10*D10+Z10*E10)),0)</f>
        <v>6749174.90406071</v>
      </c>
      <c r="AB10" s="0" t="n">
        <f aca="false">IF((X10*C10+Y10*D10+Z10*E10)&gt;0,MIN(D10-(0),S10*Y10*D10/(X10*C10+Y10*D10+Z10*E10)),0)</f>
        <v>1019514.11999647</v>
      </c>
      <c r="AC10" s="0" t="n">
        <f aca="false">IF((X10*C10+Y10*D10+Z10*E10)&gt;0,MIN(E10-(0),S10*Z10*E10/(X10*C10+Y10*D10+Z10*E10)),0)</f>
        <v>764635.589997354</v>
      </c>
      <c r="AD10" s="0" t="n">
        <f aca="false">IF(C10-(AA10)&gt;Inputs!$B$19,1,0)</f>
        <v>1</v>
      </c>
      <c r="AE10" s="0" t="n">
        <f aca="false">IF(D10-(AB10)&gt;Inputs!$B$19,1,0)</f>
        <v>1</v>
      </c>
      <c r="AF10" s="0" t="n">
        <f aca="false">IF(E10-(AC10)&gt;Inputs!$B$19,1,0)</f>
        <v>1</v>
      </c>
      <c r="AG10" s="0" t="n">
        <f aca="false">IF((AD10*C10+AE10*D10+AF10*E10)&gt;0,MIN(C10-(AA10),(S10-(AA10+AB10+AC10))*AD10*C10/(AD10*C10+AE10*D10+AF10*E10)),0)</f>
        <v>0</v>
      </c>
      <c r="AH10" s="0" t="n">
        <f aca="false">IF((AD10*C10+AE10*D10+AF10*E10)&gt;0,MIN(D10-(AB10),(S10-(AA10+AB10+AC10))*AE10*D10/(AD10*C10+AE10*D10+AF10*E10)),0)</f>
        <v>0</v>
      </c>
      <c r="AI10" s="0" t="n">
        <f aca="false">IF((AD10*C10+AE10*D10+AF10*E10)&gt;0,MIN(E10-(AC10),(S10-(AA10+AB10+AC10))*AF10*E10/(AD10*C10+AE10*D10+AF10*E10)),0)</f>
        <v>0</v>
      </c>
      <c r="AJ10" s="0" t="n">
        <f aca="false">IF(C10-(AA10+AG10)&gt;Inputs!$B$19,1,0)</f>
        <v>1</v>
      </c>
      <c r="AK10" s="0" t="n">
        <f aca="false">IF(D10-(AB10+AH10)&gt;Inputs!$B$19,1,0)</f>
        <v>1</v>
      </c>
      <c r="AL10" s="0" t="n">
        <f aca="false">IF(E10-(AC10+AI10)&gt;Inputs!$B$19,1,0)</f>
        <v>1</v>
      </c>
      <c r="AM10" s="0" t="n">
        <f aca="false">IF((AJ10*C10+AK10*D10+AL10*E10)&gt;0,MIN(C10-(AA10+AG10),(S10-(AA10+AB10+AC10+AG10+AH10+AI10))*AJ10*C10/(AJ10*C10+AK10*D10+AL10*E10)),0)</f>
        <v>0</v>
      </c>
      <c r="AN10" s="0" t="n">
        <f aca="false">IF((AJ10*C10+AK10*D10+AL10*E10)&gt;0,MIN(D10-(AB10+AH10),(S10-(AA10+AB10+AC10+AG10+AH10+AI10))*AK10*D10/(AJ10*C10+AK10*D10+AL10*E10)),0)</f>
        <v>0</v>
      </c>
      <c r="AO10" s="0" t="n">
        <f aca="false">IF((AJ10*C10+AK10*D10+AL10*E10)&gt;0,MIN(E10-(AC10+AI10),(S10-(AA10+AB10+AC10+AG10+AH10+AI10))*AL10*E10/(AJ10*C10+AK10*D10+AL10*E10)),0)</f>
        <v>0</v>
      </c>
      <c r="AP10" s="0" t="n">
        <f aca="false">IF(T10=1,U10,AA10+AG10+AM10)</f>
        <v>8533324.61405454</v>
      </c>
      <c r="AQ10" s="0" t="n">
        <f aca="false">IF(T10=1,V10,AB10+AH10+AN10)</f>
        <v>0</v>
      </c>
      <c r="AR10" s="0" t="n">
        <f aca="false">IF(T10=1,W10,AC10+AI10+AO10)</f>
        <v>0</v>
      </c>
      <c r="AS10" s="0" t="n">
        <f aca="false">S10-AP10-AQ10-AR10</f>
        <v>0</v>
      </c>
      <c r="AT10" s="0" t="n">
        <f aca="false">C10-AP10</f>
        <v>256266339.134951</v>
      </c>
      <c r="AU10" s="0" t="n">
        <f aca="false">D10-AQ10</f>
        <v>40000000</v>
      </c>
      <c r="AV10" s="0" t="n">
        <f aca="false">E10-AR10</f>
        <v>30000000</v>
      </c>
      <c r="AW10" s="0" t="n">
        <f aca="false">Pool!CB10</f>
        <v>354338109.769036</v>
      </c>
      <c r="AX10" s="0" t="n">
        <f aca="false">IF((AT10)&gt;Inputs!$B$19,AW10/(AT10),1000000000)</f>
        <v>1.38269470335095</v>
      </c>
      <c r="AY10" s="0" t="n">
        <f aca="false">IF((J10)&gt;0.000000001,(R10-I10-MAX(-M10,0))/(J10),1000000000)</f>
        <v>2.23311881828896</v>
      </c>
      <c r="AZ10" s="0" t="n">
        <f aca="false">IF(OR(AX10&lt;Inputs!$B$24,AY10&lt;Inputs!$B$25),1,0)</f>
        <v>0</v>
      </c>
      <c r="BA10" s="0" t="n">
        <f aca="false">IF((AT10+AU10)&gt;Inputs!$B$19,AW10/(AT10+AU10),1000000000)</f>
        <v>1.19601204376996</v>
      </c>
      <c r="BB10" s="0" t="n">
        <f aca="false">IF((J10+K10)&gt;0.000000001,(R10-I10-MAX(-M10,0))/(J10+K10),1000000000)</f>
        <v>1.88536623100512</v>
      </c>
      <c r="BC10" s="0" t="n">
        <f aca="false">IF(OR(BA10&lt;Inputs!$B$29,BB10&lt;Inputs!$B$30),1,0)</f>
        <v>0</v>
      </c>
      <c r="BD10" s="0" t="n">
        <f aca="false">IF((AT10+AU10+AV10)&gt;Inputs!$B$19,AW10/(AT10+AU10+AV10),1000000000)</f>
        <v>1.0860394324113</v>
      </c>
      <c r="BE10" s="0" t="n">
        <f aca="false">IF((J10+K10+L10)&gt;0.000000001,(R10-I10-MAX(-M10,0))/(J10+K10+L10),1000000000)</f>
        <v>1.65689611419427</v>
      </c>
      <c r="BF10" s="0" t="n">
        <f aca="false">IF(OR(BD10&lt;Inputs!$B$34,BE10&lt;Inputs!$B$35),1,0)</f>
        <v>0</v>
      </c>
      <c r="BG10" s="0" t="n">
        <f aca="false">MAX(AZ10,BC10,BF10)</f>
        <v>0</v>
      </c>
      <c r="BH10" s="0" t="n">
        <f aca="false">MIN(R10,N10)</f>
        <v>189469.33640408</v>
      </c>
      <c r="BI10" s="0" t="n">
        <f aca="false">R10-BH10</f>
        <v>2563674.43059176</v>
      </c>
      <c r="BJ10" s="0" t="n">
        <f aca="false">MIN(BI10,O10)</f>
        <v>1148024.19360564</v>
      </c>
      <c r="BK10" s="0" t="n">
        <f aca="false">BI10-BJ10</f>
        <v>1415650.23698612</v>
      </c>
      <c r="BL10" s="0" t="n">
        <f aca="false">AZ10*MIN(AT10,BK10)</f>
        <v>0</v>
      </c>
      <c r="BM10" s="0" t="n">
        <f aca="false">AZ10*MIN(AU10,BK10-BL10)</f>
        <v>0</v>
      </c>
      <c r="BN10" s="0" t="n">
        <f aca="false">AZ10*MIN(AV10,BK10-BL10-BM10)</f>
        <v>0</v>
      </c>
      <c r="BO10" s="0" t="n">
        <f aca="false">BK10-BL10-BM10-BN10</f>
        <v>1415650.23698612</v>
      </c>
      <c r="BP10" s="0" t="n">
        <f aca="false">MIN(BO10,P10)</f>
        <v>211751.105448606</v>
      </c>
      <c r="BQ10" s="0" t="n">
        <f aca="false">BO10-BP10</f>
        <v>1203899.13153751</v>
      </c>
      <c r="BR10" s="0" t="n">
        <f aca="false">BC10*MIN((AT10-BL10),BQ10)</f>
        <v>0</v>
      </c>
      <c r="BS10" s="0" t="n">
        <f aca="false">BC10*MIN((AU10-BM10),BQ10-BR10)</f>
        <v>0</v>
      </c>
      <c r="BT10" s="0" t="n">
        <f aca="false">BC10*MIN((AV10-BN10),BQ10-BR10-BS10)</f>
        <v>0</v>
      </c>
      <c r="BU10" s="0" t="n">
        <f aca="false">BQ10-BR10-BS10-BT10</f>
        <v>1203899.13153751</v>
      </c>
      <c r="BV10" s="0" t="n">
        <f aca="false">MIN(BU10,Q10)</f>
        <v>187500</v>
      </c>
      <c r="BW10" s="0" t="n">
        <f aca="false">BU10-BV10</f>
        <v>1016399.13153751</v>
      </c>
      <c r="BX10" s="0" t="n">
        <f aca="false">BF10*MIN((AT10-BL10-BR10),BW10)</f>
        <v>0</v>
      </c>
      <c r="BY10" s="0" t="n">
        <f aca="false">BF10*MIN((AU10-BM10-BS10),BW10-BX10)</f>
        <v>0</v>
      </c>
      <c r="BZ10" s="0" t="n">
        <f aca="false">BF10*MIN((AV10-BN10-BT10),BW10-BX10-BY10)</f>
        <v>0</v>
      </c>
      <c r="CA10" s="0" t="n">
        <f aca="false">BW10-BX10-BY10-BZ10</f>
        <v>1016399.13153751</v>
      </c>
      <c r="CB10" s="0" t="n">
        <f aca="false">MAX(0,AT10+AU10+AV10-BL10-BM10-BN10-BR10-BS10-BT10-BX10-BY10-BZ10-AW10)</f>
        <v>0</v>
      </c>
      <c r="CC10" s="0" t="n">
        <f aca="false">1*MIN((AT10-BL10-BR10-BX10),MIN(CA10,CB10))</f>
        <v>0</v>
      </c>
      <c r="CD10" s="0" t="n">
        <f aca="false">1*MIN((AU10-BM10-BS10-BY10),MIN(CA10,CB10)-CC10)</f>
        <v>0</v>
      </c>
      <c r="CE10" s="0" t="n">
        <f aca="false">1*MIN((AV10-BN10-BT10-BZ10),MIN(CA10,CB10)-CC10-CD10)</f>
        <v>0</v>
      </c>
      <c r="CF10" s="0" t="n">
        <f aca="false">CA10-CC10-CD10-CE10</f>
        <v>1016399.13153751</v>
      </c>
      <c r="CG10" s="0" t="n">
        <f aca="false">IF(C10+D10+E10&gt;Inputs!$B$19,MIN(CF10,MAX(0,Inputs!$B$15-DO9)),0)</f>
        <v>0</v>
      </c>
      <c r="CH10" s="0" t="n">
        <f aca="false">CF10-CG10</f>
        <v>1016399.13153751</v>
      </c>
      <c r="CI10" s="0" t="n">
        <f aca="false">DO9+CG10</f>
        <v>3000000</v>
      </c>
      <c r="CJ10" s="0" t="n">
        <f aca="false">MIN(MAX(N10-BH10,0),CI10)</f>
        <v>0</v>
      </c>
      <c r="CK10" s="0" t="n">
        <f aca="false">MIN(MAX(O10-BJ10,0),CI10-CJ10)</f>
        <v>0</v>
      </c>
      <c r="CL10" s="0" t="n">
        <f aca="false">MIN(MAX(P10-BP10,0),CI10-CJ10-CK10)</f>
        <v>0</v>
      </c>
      <c r="CM10" s="0" t="n">
        <f aca="false">CJ10+CK10+CL10</f>
        <v>0</v>
      </c>
      <c r="CN10" s="0" t="n">
        <f aca="false">CI10-CM10</f>
        <v>3000000</v>
      </c>
      <c r="CO10" s="0" t="n">
        <f aca="false">BH10+CJ10</f>
        <v>189469.33640408</v>
      </c>
      <c r="CP10" s="0" t="n">
        <f aca="false">BJ10+CK10</f>
        <v>1148024.19360564</v>
      </c>
      <c r="CQ10" s="0" t="n">
        <f aca="false">BP10+CL10</f>
        <v>211751.105448606</v>
      </c>
      <c r="CR10" s="0" t="n">
        <f aca="false">BV10</f>
        <v>187500</v>
      </c>
      <c r="CS10" s="0" t="n">
        <f aca="false">AT10-BL10-BR10-BX10-CC10</f>
        <v>256266339.134951</v>
      </c>
      <c r="CT10" s="0" t="n">
        <f aca="false">AU10-BM10-BS10-BY10-CD10</f>
        <v>40000000</v>
      </c>
      <c r="CU10" s="0" t="n">
        <f aca="false">AV10-BN10-BT10-BZ10-CE10</f>
        <v>30000000</v>
      </c>
      <c r="CV10" s="0" t="n">
        <f aca="false">MAX(0,CS10+CT10+CU10-AW10)</f>
        <v>0</v>
      </c>
      <c r="CW10" s="0" t="n">
        <f aca="false">MIN(CU10,CV10)</f>
        <v>0</v>
      </c>
      <c r="CX10" s="0" t="n">
        <f aca="false">MIN(CT10,CV10-CW10)</f>
        <v>0</v>
      </c>
      <c r="CY10" s="0" t="n">
        <f aca="false">MIN(CS10,CV10-CW10-CX10)</f>
        <v>0</v>
      </c>
      <c r="CZ10" s="0" t="n">
        <f aca="false">IF(CS10-CY10&lt;Inputs!$B$19,0,CS10-CY10)</f>
        <v>256266339.134951</v>
      </c>
      <c r="DA10" s="0" t="n">
        <f aca="false">IF(CT10-CX10&lt;Inputs!$B$19,0,CT10-CX10)</f>
        <v>40000000</v>
      </c>
      <c r="DB10" s="0" t="n">
        <f aca="false">IF(CU10-CW10&lt;Inputs!$B$19,0,CU10-CW10)</f>
        <v>30000000</v>
      </c>
      <c r="DC10" s="0" t="n">
        <f aca="false">N10-CO10</f>
        <v>0</v>
      </c>
      <c r="DD10" s="0" t="n">
        <f aca="false">O10-CP10</f>
        <v>0</v>
      </c>
      <c r="DE10" s="0" t="n">
        <f aca="false">P10-CQ10</f>
        <v>0</v>
      </c>
      <c r="DF10" s="0" t="n">
        <f aca="false">Q10-CR10</f>
        <v>0</v>
      </c>
      <c r="DG10" s="0" t="n">
        <f aca="false">IF(CZ10+DA10+DB10&lt;=Inputs!$B$19,1,0)</f>
        <v>0</v>
      </c>
      <c r="DH10" s="0" t="n">
        <f aca="false">DG10*CN10</f>
        <v>0</v>
      </c>
      <c r="DI10" s="0" t="n">
        <f aca="false">DG10*(AS10+DH10)</f>
        <v>0</v>
      </c>
      <c r="DJ10" s="0" t="n">
        <f aca="false">DG10*MIN(DC10,DI10)</f>
        <v>0</v>
      </c>
      <c r="DK10" s="0" t="n">
        <f aca="false">DG10*MIN(DD10,DI10-DJ10)</f>
        <v>0</v>
      </c>
      <c r="DL10" s="0" t="n">
        <f aca="false">DG10*MIN(DE10,DI10-DJ10-DK10)</f>
        <v>0</v>
      </c>
      <c r="DM10" s="0" t="n">
        <f aca="false">DG10*MIN(DF10,DI10-DJ10-DK10-DL10)</f>
        <v>0</v>
      </c>
      <c r="DN10" s="0" t="n">
        <f aca="false">DJ10+DK10+DL10+DM10</f>
        <v>0</v>
      </c>
      <c r="DO10" s="0" t="n">
        <f aca="false">CN10-DH10</f>
        <v>3000000</v>
      </c>
      <c r="DP10" s="0" t="n">
        <f aca="false">DC10-DJ10</f>
        <v>0</v>
      </c>
      <c r="DQ10" s="0" t="n">
        <f aca="false">DD10-DK10</f>
        <v>0</v>
      </c>
      <c r="DR10" s="0" t="n">
        <f aca="false">DE10-DL10</f>
        <v>0</v>
      </c>
      <c r="DS10" s="0" t="n">
        <f aca="false">DF10-DM10</f>
        <v>0</v>
      </c>
      <c r="DT10" s="0" t="n">
        <f aca="false">CO10+DJ10</f>
        <v>189469.33640408</v>
      </c>
      <c r="DU10" s="0" t="n">
        <f aca="false">CP10+DK10</f>
        <v>1148024.19360564</v>
      </c>
      <c r="DV10" s="0" t="n">
        <f aca="false">AP10+BL10+BR10+BX10+CC10</f>
        <v>8533324.61405454</v>
      </c>
      <c r="DW10" s="0" t="n">
        <f aca="false">CQ10+DL10</f>
        <v>211751.105448606</v>
      </c>
      <c r="DX10" s="0" t="n">
        <f aca="false">AQ10+BM10+BS10+BY10+CD10</f>
        <v>0</v>
      </c>
      <c r="DY10" s="0" t="n">
        <f aca="false">CR10+DM10</f>
        <v>187500</v>
      </c>
      <c r="DZ10" s="0" t="n">
        <f aca="false">AR10+BN10+BT10+BZ10+CE10</f>
        <v>0</v>
      </c>
      <c r="EA10" s="0" t="n">
        <f aca="false">DI10-DN10</f>
        <v>0</v>
      </c>
      <c r="EB10" s="0" t="n">
        <f aca="false">CH10+EA10</f>
        <v>1016399.13153751</v>
      </c>
      <c r="EC10" s="0" t="n">
        <f aca="false">R10-I10-MAX(-M10,0)-J10-K10-L10</f>
        <v>1016399.13153751</v>
      </c>
      <c r="ED10" s="0" t="n">
        <f aca="false">R10+S10+CM10+DH10-CG10-DT10-DU10-DW10-DY10-DV10-DX10-DZ10-EB10</f>
        <v>0</v>
      </c>
      <c r="EE10" s="0" t="n">
        <f aca="false">IF(AND(EB10&gt;0.000001,DP10+DQ10+DR10+DS10&gt;0.000001),1,0)</f>
        <v>0</v>
      </c>
    </row>
    <row r="11" customFormat="false" ht="15" hidden="false" customHeight="false" outlineLevel="0" collapsed="false">
      <c r="A11" s="0" t="n">
        <f aca="false">ROW()-5</f>
        <v>6</v>
      </c>
      <c r="B11" s="0" t="n">
        <f aca="false">Inputs!$B$11+(Inputs!$B$12-Inputs!$B$11)*(1-EXP(-A11/Inputs!$B$13))+Inputs!$B$8</f>
        <v>0.0406774082222498</v>
      </c>
      <c r="C11" s="0" t="n">
        <f aca="false">CZ10</f>
        <v>256266339.134951</v>
      </c>
      <c r="D11" s="0" t="n">
        <f aca="false">DA10</f>
        <v>40000000</v>
      </c>
      <c r="E11" s="0" t="n">
        <f aca="false">DB10</f>
        <v>30000000</v>
      </c>
      <c r="F11" s="0" t="n">
        <f aca="false">IF(Inputs!$B$22=1,B11+Inputs!$B$23,Inputs!$B$23)/12</f>
        <v>0.00430645068518748</v>
      </c>
      <c r="G11" s="0" t="n">
        <f aca="false">IF(Inputs!$B$27=1,B11+Inputs!$B$28,Inputs!$B$28)/12</f>
        <v>0.00526478401852081</v>
      </c>
      <c r="H11" s="0" t="n">
        <f aca="false">IF(Inputs!$B$32=1,B11+Inputs!$B$33,Inputs!$B$33)/12</f>
        <v>0.00625</v>
      </c>
      <c r="I11" s="0" t="n">
        <f aca="false">Pool!BT11*Inputs!$B$14/12</f>
        <v>184509.027003086</v>
      </c>
      <c r="J11" s="0" t="n">
        <f aca="false">C11*F11</f>
        <v>1103598.35175819</v>
      </c>
      <c r="K11" s="0" t="n">
        <f aca="false">D11*G11</f>
        <v>210591.360740833</v>
      </c>
      <c r="L11" s="0" t="n">
        <f aca="false">E11*H11</f>
        <v>187500</v>
      </c>
      <c r="M11" s="0" t="n">
        <f aca="false">Inputs!$B$17*(C11*Inputs!$B$22+D11*Inputs!$B$27+E11*Inputs!$B$32)*(B11-Inputs!$B$18)/12</f>
        <v>0</v>
      </c>
      <c r="N11" s="0" t="n">
        <f aca="false">DP10+I11+MAX(-M11,0)</f>
        <v>184509.027003086</v>
      </c>
      <c r="O11" s="0" t="n">
        <f aca="false">DQ10+J11</f>
        <v>1103598.35175819</v>
      </c>
      <c r="P11" s="0" t="n">
        <f aca="false">DR10+K11</f>
        <v>210591.360740833</v>
      </c>
      <c r="Q11" s="0" t="n">
        <f aca="false">DS10+L11</f>
        <v>187500</v>
      </c>
      <c r="R11" s="0" t="n">
        <f aca="false">Pool!BV11+MAX(M11,0)</f>
        <v>2683042.29204255</v>
      </c>
      <c r="S11" s="0" t="n">
        <f aca="false">Pool!BW11+Pool!BX11+Pool!BZ11</f>
        <v>8429093.04155823</v>
      </c>
      <c r="T11" s="0" t="n">
        <f aca="false">MAX(T10,BG10)</f>
        <v>1</v>
      </c>
      <c r="U11" s="0" t="n">
        <f aca="false">MIN(C11,S11)</f>
        <v>8429093.04155823</v>
      </c>
      <c r="V11" s="0" t="n">
        <f aca="false">MIN(D11,S11-U11)</f>
        <v>0</v>
      </c>
      <c r="W11" s="0" t="n">
        <f aca="false">MIN(E11,S11-U11-V11)</f>
        <v>0</v>
      </c>
      <c r="X11" s="0" t="n">
        <f aca="false">IF(C11-(0)&gt;Inputs!$B$19,1,0)</f>
        <v>1</v>
      </c>
      <c r="Y11" s="0" t="n">
        <f aca="false">IF(D11-(0)&gt;Inputs!$B$19,1,0)</f>
        <v>1</v>
      </c>
      <c r="Z11" s="0" t="n">
        <f aca="false">IF(E11-(0)&gt;Inputs!$B$19,1,0)</f>
        <v>1</v>
      </c>
      <c r="AA11" s="0" t="n">
        <f aca="false">IF((X11*C11+Y11*D11+Z11*E11)&gt;0,MIN(C11-(0),S11*X11*C11/(X11*C11+Y11*D11+Z11*E11)),0)</f>
        <v>6620642.57598622</v>
      </c>
      <c r="AB11" s="0" t="n">
        <f aca="false">IF((X11*C11+Y11*D11+Z11*E11)&gt;0,MIN(D11-(0),S11*Y11*D11/(X11*C11+Y11*D11+Z11*E11)),0)</f>
        <v>1033400.26604115</v>
      </c>
      <c r="AC11" s="0" t="n">
        <f aca="false">IF((X11*C11+Y11*D11+Z11*E11)&gt;0,MIN(E11-(0),S11*Z11*E11/(X11*C11+Y11*D11+Z11*E11)),0)</f>
        <v>775050.199530861</v>
      </c>
      <c r="AD11" s="0" t="n">
        <f aca="false">IF(C11-(AA11)&gt;Inputs!$B$19,1,0)</f>
        <v>1</v>
      </c>
      <c r="AE11" s="0" t="n">
        <f aca="false">IF(D11-(AB11)&gt;Inputs!$B$19,1,0)</f>
        <v>1</v>
      </c>
      <c r="AF11" s="0" t="n">
        <f aca="false">IF(E11-(AC11)&gt;Inputs!$B$19,1,0)</f>
        <v>1</v>
      </c>
      <c r="AG11" s="0" t="n">
        <f aca="false">IF((AD11*C11+AE11*D11+AF11*E11)&gt;0,MIN(C11-(AA11),(S11-(AA11+AB11+AC11))*AD11*C11/(AD11*C11+AE11*D11+AF11*E11)),0)</f>
        <v>0</v>
      </c>
      <c r="AH11" s="0" t="n">
        <f aca="false">IF((AD11*C11+AE11*D11+AF11*E11)&gt;0,MIN(D11-(AB11),(S11-(AA11+AB11+AC11))*AE11*D11/(AD11*C11+AE11*D11+AF11*E11)),0)</f>
        <v>0</v>
      </c>
      <c r="AI11" s="0" t="n">
        <f aca="false">IF((AD11*C11+AE11*D11+AF11*E11)&gt;0,MIN(E11-(AC11),(S11-(AA11+AB11+AC11))*AF11*E11/(AD11*C11+AE11*D11+AF11*E11)),0)</f>
        <v>0</v>
      </c>
      <c r="AJ11" s="0" t="n">
        <f aca="false">IF(C11-(AA11+AG11)&gt;Inputs!$B$19,1,0)</f>
        <v>1</v>
      </c>
      <c r="AK11" s="0" t="n">
        <f aca="false">IF(D11-(AB11+AH11)&gt;Inputs!$B$19,1,0)</f>
        <v>1</v>
      </c>
      <c r="AL11" s="0" t="n">
        <f aca="false">IF(E11-(AC11+AI11)&gt;Inputs!$B$19,1,0)</f>
        <v>1</v>
      </c>
      <c r="AM11" s="0" t="n">
        <f aca="false">IF((AJ11*C11+AK11*D11+AL11*E11)&gt;0,MIN(C11-(AA11+AG11),(S11-(AA11+AB11+AC11+AG11+AH11+AI11))*AJ11*C11/(AJ11*C11+AK11*D11+AL11*E11)),0)</f>
        <v>0</v>
      </c>
      <c r="AN11" s="0" t="n">
        <f aca="false">IF((AJ11*C11+AK11*D11+AL11*E11)&gt;0,MIN(D11-(AB11+AH11),(S11-(AA11+AB11+AC11+AG11+AH11+AI11))*AK11*D11/(AJ11*C11+AK11*D11+AL11*E11)),0)</f>
        <v>0</v>
      </c>
      <c r="AO11" s="0" t="n">
        <f aca="false">IF((AJ11*C11+AK11*D11+AL11*E11)&gt;0,MIN(E11-(AC11+AI11),(S11-(AA11+AB11+AC11+AG11+AH11+AI11))*AL11*E11/(AJ11*C11+AK11*D11+AL11*E11)),0)</f>
        <v>0</v>
      </c>
      <c r="AP11" s="0" t="n">
        <f aca="false">IF(T11=1,U11,AA11+AG11+AM11)</f>
        <v>8429093.04155823</v>
      </c>
      <c r="AQ11" s="0" t="n">
        <f aca="false">IF(T11=1,V11,AB11+AH11+AN11)</f>
        <v>0</v>
      </c>
      <c r="AR11" s="0" t="n">
        <f aca="false">IF(T11=1,W11,AC11+AI11+AO11)</f>
        <v>0</v>
      </c>
      <c r="AS11" s="0" t="n">
        <f aca="false">S11-AP11-AQ11-AR11</f>
        <v>0</v>
      </c>
      <c r="AT11" s="0" t="n">
        <f aca="false">C11-AP11</f>
        <v>247837246.093392</v>
      </c>
      <c r="AU11" s="0" t="n">
        <f aca="false">D11-AQ11</f>
        <v>40000000</v>
      </c>
      <c r="AV11" s="0" t="n">
        <f aca="false">E11-AR11</f>
        <v>30000000</v>
      </c>
      <c r="AW11" s="0" t="n">
        <f aca="false">Pool!CB11</f>
        <v>345552643.886986</v>
      </c>
      <c r="AX11" s="0" t="n">
        <f aca="false">IF((AT11)&gt;Inputs!$B$19,AW11/(AT11),1000000000)</f>
        <v>1.39427244828557</v>
      </c>
      <c r="AY11" s="0" t="n">
        <f aca="false">IF((J11)&gt;0.000000001,(R11-I11-MAX(-M11,0))/(J11),1000000000)</f>
        <v>2.26398785487396</v>
      </c>
      <c r="AZ11" s="0" t="n">
        <f aca="false">IF(OR(AX11&lt;Inputs!$B$24,AY11&lt;Inputs!$B$25),1,0)</f>
        <v>0</v>
      </c>
      <c r="BA11" s="0" t="n">
        <f aca="false">IF((AT11+AU11)&gt;Inputs!$B$19,AW11/(AT11+AU11),1000000000)</f>
        <v>1.20051400080053</v>
      </c>
      <c r="BB11" s="0" t="n">
        <f aca="false">IF((J11+K11)&gt;0.000000001,(R11-I11-MAX(-M11,0))/(J11+K11),1000000000)</f>
        <v>1.90119679166285</v>
      </c>
      <c r="BC11" s="0" t="n">
        <f aca="false">IF(OR(BA11&lt;Inputs!$B$29,BB11&lt;Inputs!$B$30),1,0)</f>
        <v>0</v>
      </c>
      <c r="BD11" s="0" t="n">
        <f aca="false">IF((AT11+AU11+AV11)&gt;Inputs!$B$19,AW11/(AT11+AU11+AV11),1000000000)</f>
        <v>1.08719996833049</v>
      </c>
      <c r="BE11" s="0" t="n">
        <f aca="false">IF((J11+K11+L11)&gt;0.000000001,(R11-I11-MAX(-M11,0))/(J11+K11+L11),1000000000)</f>
        <v>1.66381459781165</v>
      </c>
      <c r="BF11" s="0" t="n">
        <f aca="false">IF(OR(BD11&lt;Inputs!$B$34,BE11&lt;Inputs!$B$35),1,0)</f>
        <v>0</v>
      </c>
      <c r="BG11" s="0" t="n">
        <f aca="false">MAX(AZ11,BC11,BF11)</f>
        <v>0</v>
      </c>
      <c r="BH11" s="0" t="n">
        <f aca="false">MIN(R11,N11)</f>
        <v>184509.027003086</v>
      </c>
      <c r="BI11" s="0" t="n">
        <f aca="false">R11-BH11</f>
        <v>2498533.26503947</v>
      </c>
      <c r="BJ11" s="0" t="n">
        <f aca="false">MIN(BI11,O11)</f>
        <v>1103598.35175819</v>
      </c>
      <c r="BK11" s="0" t="n">
        <f aca="false">BI11-BJ11</f>
        <v>1394934.91328127</v>
      </c>
      <c r="BL11" s="0" t="n">
        <f aca="false">AZ11*MIN(AT11,BK11)</f>
        <v>0</v>
      </c>
      <c r="BM11" s="0" t="n">
        <f aca="false">AZ11*MIN(AU11,BK11-BL11)</f>
        <v>0</v>
      </c>
      <c r="BN11" s="0" t="n">
        <f aca="false">AZ11*MIN(AV11,BK11-BL11-BM11)</f>
        <v>0</v>
      </c>
      <c r="BO11" s="0" t="n">
        <f aca="false">BK11-BL11-BM11-BN11</f>
        <v>1394934.91328127</v>
      </c>
      <c r="BP11" s="0" t="n">
        <f aca="false">MIN(BO11,P11)</f>
        <v>210591.360740833</v>
      </c>
      <c r="BQ11" s="0" t="n">
        <f aca="false">BO11-BP11</f>
        <v>1184343.55254044</v>
      </c>
      <c r="BR11" s="0" t="n">
        <f aca="false">BC11*MIN((AT11-BL11),BQ11)</f>
        <v>0</v>
      </c>
      <c r="BS11" s="0" t="n">
        <f aca="false">BC11*MIN((AU11-BM11),BQ11-BR11)</f>
        <v>0</v>
      </c>
      <c r="BT11" s="0" t="n">
        <f aca="false">BC11*MIN((AV11-BN11),BQ11-BR11-BS11)</f>
        <v>0</v>
      </c>
      <c r="BU11" s="0" t="n">
        <f aca="false">BQ11-BR11-BS11-BT11</f>
        <v>1184343.55254044</v>
      </c>
      <c r="BV11" s="0" t="n">
        <f aca="false">MIN(BU11,Q11)</f>
        <v>187500</v>
      </c>
      <c r="BW11" s="0" t="n">
        <f aca="false">BU11-BV11</f>
        <v>996843.552540441</v>
      </c>
      <c r="BX11" s="0" t="n">
        <f aca="false">BF11*MIN((AT11-BL11-BR11),BW11)</f>
        <v>0</v>
      </c>
      <c r="BY11" s="0" t="n">
        <f aca="false">BF11*MIN((AU11-BM11-BS11),BW11-BX11)</f>
        <v>0</v>
      </c>
      <c r="BZ11" s="0" t="n">
        <f aca="false">BF11*MIN((AV11-BN11-BT11),BW11-BX11-BY11)</f>
        <v>0</v>
      </c>
      <c r="CA11" s="0" t="n">
        <f aca="false">BW11-BX11-BY11-BZ11</f>
        <v>996843.552540441</v>
      </c>
      <c r="CB11" s="0" t="n">
        <f aca="false">MAX(0,AT11+AU11+AV11-BL11-BM11-BN11-BR11-BS11-BT11-BX11-BY11-BZ11-AW11)</f>
        <v>0</v>
      </c>
      <c r="CC11" s="0" t="n">
        <f aca="false">1*MIN((AT11-BL11-BR11-BX11),MIN(CA11,CB11))</f>
        <v>0</v>
      </c>
      <c r="CD11" s="0" t="n">
        <f aca="false">1*MIN((AU11-BM11-BS11-BY11),MIN(CA11,CB11)-CC11)</f>
        <v>0</v>
      </c>
      <c r="CE11" s="0" t="n">
        <f aca="false">1*MIN((AV11-BN11-BT11-BZ11),MIN(CA11,CB11)-CC11-CD11)</f>
        <v>0</v>
      </c>
      <c r="CF11" s="0" t="n">
        <f aca="false">CA11-CC11-CD11-CE11</f>
        <v>996843.552540441</v>
      </c>
      <c r="CG11" s="0" t="n">
        <f aca="false">IF(C11+D11+E11&gt;Inputs!$B$19,MIN(CF11,MAX(0,Inputs!$B$15-DO10)),0)</f>
        <v>0</v>
      </c>
      <c r="CH11" s="0" t="n">
        <f aca="false">CF11-CG11</f>
        <v>996843.552540441</v>
      </c>
      <c r="CI11" s="0" t="n">
        <f aca="false">DO10+CG11</f>
        <v>3000000</v>
      </c>
      <c r="CJ11" s="0" t="n">
        <f aca="false">MIN(MAX(N11-BH11,0),CI11)</f>
        <v>0</v>
      </c>
      <c r="CK11" s="0" t="n">
        <f aca="false">MIN(MAX(O11-BJ11,0),CI11-CJ11)</f>
        <v>0</v>
      </c>
      <c r="CL11" s="0" t="n">
        <f aca="false">MIN(MAX(P11-BP11,0),CI11-CJ11-CK11)</f>
        <v>0</v>
      </c>
      <c r="CM11" s="0" t="n">
        <f aca="false">CJ11+CK11+CL11</f>
        <v>0</v>
      </c>
      <c r="CN11" s="0" t="n">
        <f aca="false">CI11-CM11</f>
        <v>3000000</v>
      </c>
      <c r="CO11" s="0" t="n">
        <f aca="false">BH11+CJ11</f>
        <v>184509.027003086</v>
      </c>
      <c r="CP11" s="0" t="n">
        <f aca="false">BJ11+CK11</f>
        <v>1103598.35175819</v>
      </c>
      <c r="CQ11" s="0" t="n">
        <f aca="false">BP11+CL11</f>
        <v>210591.360740833</v>
      </c>
      <c r="CR11" s="0" t="n">
        <f aca="false">BV11</f>
        <v>187500</v>
      </c>
      <c r="CS11" s="0" t="n">
        <f aca="false">AT11-BL11-BR11-BX11-CC11</f>
        <v>247837246.093392</v>
      </c>
      <c r="CT11" s="0" t="n">
        <f aca="false">AU11-BM11-BS11-BY11-CD11</f>
        <v>40000000</v>
      </c>
      <c r="CU11" s="0" t="n">
        <f aca="false">AV11-BN11-BT11-BZ11-CE11</f>
        <v>30000000</v>
      </c>
      <c r="CV11" s="0" t="n">
        <f aca="false">MAX(0,CS11+CT11+CU11-AW11)</f>
        <v>0</v>
      </c>
      <c r="CW11" s="0" t="n">
        <f aca="false">MIN(CU11,CV11)</f>
        <v>0</v>
      </c>
      <c r="CX11" s="0" t="n">
        <f aca="false">MIN(CT11,CV11-CW11)</f>
        <v>0</v>
      </c>
      <c r="CY11" s="0" t="n">
        <f aca="false">MIN(CS11,CV11-CW11-CX11)</f>
        <v>0</v>
      </c>
      <c r="CZ11" s="0" t="n">
        <f aca="false">IF(CS11-CY11&lt;Inputs!$B$19,0,CS11-CY11)</f>
        <v>247837246.093392</v>
      </c>
      <c r="DA11" s="0" t="n">
        <f aca="false">IF(CT11-CX11&lt;Inputs!$B$19,0,CT11-CX11)</f>
        <v>40000000</v>
      </c>
      <c r="DB11" s="0" t="n">
        <f aca="false">IF(CU11-CW11&lt;Inputs!$B$19,0,CU11-CW11)</f>
        <v>30000000</v>
      </c>
      <c r="DC11" s="0" t="n">
        <f aca="false">N11-CO11</f>
        <v>0</v>
      </c>
      <c r="DD11" s="0" t="n">
        <f aca="false">O11-CP11</f>
        <v>0</v>
      </c>
      <c r="DE11" s="0" t="n">
        <f aca="false">P11-CQ11</f>
        <v>0</v>
      </c>
      <c r="DF11" s="0" t="n">
        <f aca="false">Q11-CR11</f>
        <v>0</v>
      </c>
      <c r="DG11" s="0" t="n">
        <f aca="false">IF(CZ11+DA11+DB11&lt;=Inputs!$B$19,1,0)</f>
        <v>0</v>
      </c>
      <c r="DH11" s="0" t="n">
        <f aca="false">DG11*CN11</f>
        <v>0</v>
      </c>
      <c r="DI11" s="0" t="n">
        <f aca="false">DG11*(AS11+DH11)</f>
        <v>0</v>
      </c>
      <c r="DJ11" s="0" t="n">
        <f aca="false">DG11*MIN(DC11,DI11)</f>
        <v>0</v>
      </c>
      <c r="DK11" s="0" t="n">
        <f aca="false">DG11*MIN(DD11,DI11-DJ11)</f>
        <v>0</v>
      </c>
      <c r="DL11" s="0" t="n">
        <f aca="false">DG11*MIN(DE11,DI11-DJ11-DK11)</f>
        <v>0</v>
      </c>
      <c r="DM11" s="0" t="n">
        <f aca="false">DG11*MIN(DF11,DI11-DJ11-DK11-DL11)</f>
        <v>0</v>
      </c>
      <c r="DN11" s="0" t="n">
        <f aca="false">DJ11+DK11+DL11+DM11</f>
        <v>0</v>
      </c>
      <c r="DO11" s="0" t="n">
        <f aca="false">CN11-DH11</f>
        <v>3000000</v>
      </c>
      <c r="DP11" s="0" t="n">
        <f aca="false">DC11-DJ11</f>
        <v>0</v>
      </c>
      <c r="DQ11" s="0" t="n">
        <f aca="false">DD11-DK11</f>
        <v>0</v>
      </c>
      <c r="DR11" s="0" t="n">
        <f aca="false">DE11-DL11</f>
        <v>0</v>
      </c>
      <c r="DS11" s="0" t="n">
        <f aca="false">DF11-DM11</f>
        <v>0</v>
      </c>
      <c r="DT11" s="0" t="n">
        <f aca="false">CO11+DJ11</f>
        <v>184509.027003086</v>
      </c>
      <c r="DU11" s="0" t="n">
        <f aca="false">CP11+DK11</f>
        <v>1103598.35175819</v>
      </c>
      <c r="DV11" s="0" t="n">
        <f aca="false">AP11+BL11+BR11+BX11+CC11</f>
        <v>8429093.04155823</v>
      </c>
      <c r="DW11" s="0" t="n">
        <f aca="false">CQ11+DL11</f>
        <v>210591.360740833</v>
      </c>
      <c r="DX11" s="0" t="n">
        <f aca="false">AQ11+BM11+BS11+BY11+CD11</f>
        <v>0</v>
      </c>
      <c r="DY11" s="0" t="n">
        <f aca="false">CR11+DM11</f>
        <v>187500</v>
      </c>
      <c r="DZ11" s="0" t="n">
        <f aca="false">AR11+BN11+BT11+BZ11+CE11</f>
        <v>0</v>
      </c>
      <c r="EA11" s="0" t="n">
        <f aca="false">DI11-DN11</f>
        <v>0</v>
      </c>
      <c r="EB11" s="0" t="n">
        <f aca="false">CH11+EA11</f>
        <v>996843.552540441</v>
      </c>
      <c r="EC11" s="0" t="n">
        <f aca="false">R11-I11-MAX(-M11,0)-J11-K11-L11</f>
        <v>996843.552540441</v>
      </c>
      <c r="ED11" s="0" t="n">
        <f aca="false">R11+S11+CM11+DH11-CG11-DT11-DU11-DW11-DY11-DV11-DX11-DZ11-EB11</f>
        <v>0</v>
      </c>
      <c r="EE11" s="0" t="n">
        <f aca="false">IF(AND(EB11&gt;0.000001,DP11+DQ11+DR11+DS11&gt;0.000001),1,0)</f>
        <v>0</v>
      </c>
    </row>
    <row r="12" customFormat="false" ht="15" hidden="false" customHeight="false" outlineLevel="0" collapsed="false">
      <c r="A12" s="0" t="n">
        <f aca="false">ROW()-5</f>
        <v>7</v>
      </c>
      <c r="B12" s="0" t="n">
        <f aca="false">Inputs!$B$11+(Inputs!$B$12-Inputs!$B$11)*(1-EXP(-A12/Inputs!$B$13))+Inputs!$B$8</f>
        <v>0.0403436837532595</v>
      </c>
      <c r="C12" s="0" t="n">
        <f aca="false">CZ11</f>
        <v>247837246.093392</v>
      </c>
      <c r="D12" s="0" t="n">
        <f aca="false">DA11</f>
        <v>40000000</v>
      </c>
      <c r="E12" s="0" t="n">
        <f aca="false">DB11</f>
        <v>30000000</v>
      </c>
      <c r="F12" s="0" t="n">
        <f aca="false">IF(Inputs!$B$22=1,B12+Inputs!$B$23,Inputs!$B$23)/12</f>
        <v>0.00427864031277163</v>
      </c>
      <c r="G12" s="0" t="n">
        <f aca="false">IF(Inputs!$B$27=1,B12+Inputs!$B$28,Inputs!$B$28)/12</f>
        <v>0.00523697364610496</v>
      </c>
      <c r="H12" s="0" t="n">
        <f aca="false">IF(Inputs!$B$32=1,B12+Inputs!$B$33,Inputs!$B$33)/12</f>
        <v>0.00625</v>
      </c>
      <c r="I12" s="0" t="n">
        <f aca="false">Pool!BT12*Inputs!$B$14/12</f>
        <v>179616.013803123</v>
      </c>
      <c r="J12" s="0" t="n">
        <f aca="false">C12*F12</f>
        <v>1060406.43214149</v>
      </c>
      <c r="K12" s="0" t="n">
        <f aca="false">D12*G12</f>
        <v>209478.945844199</v>
      </c>
      <c r="L12" s="0" t="n">
        <f aca="false">E12*H12</f>
        <v>187500</v>
      </c>
      <c r="M12" s="0" t="n">
        <f aca="false">Inputs!$B$17*(C12*Inputs!$B$22+D12*Inputs!$B$27+E12*Inputs!$B$32)*(B12-Inputs!$B$18)/12</f>
        <v>0</v>
      </c>
      <c r="N12" s="0" t="n">
        <f aca="false">DP11+I12+MAX(-M12,0)</f>
        <v>179616.013803123</v>
      </c>
      <c r="O12" s="0" t="n">
        <f aca="false">DQ11+J12</f>
        <v>1060406.43214149</v>
      </c>
      <c r="P12" s="0" t="n">
        <f aca="false">DR11+K12</f>
        <v>209478.945844199</v>
      </c>
      <c r="Q12" s="0" t="n">
        <f aca="false">DS11+L12</f>
        <v>187500</v>
      </c>
      <c r="R12" s="0" t="n">
        <f aca="false">Pool!BV12+MAX(M12,0)</f>
        <v>2613883.21670694</v>
      </c>
      <c r="S12" s="0" t="n">
        <f aca="false">Pool!BW12+Pool!BX12+Pool!BZ12</f>
        <v>8934484.61516466</v>
      </c>
      <c r="T12" s="0" t="n">
        <f aca="false">MAX(T11,BG11)</f>
        <v>1</v>
      </c>
      <c r="U12" s="0" t="n">
        <f aca="false">MIN(C12,S12)</f>
        <v>8934484.61516466</v>
      </c>
      <c r="V12" s="0" t="n">
        <f aca="false">MIN(D12,S12-U12)</f>
        <v>0</v>
      </c>
      <c r="W12" s="0" t="n">
        <f aca="false">MIN(E12,S12-U12-V12)</f>
        <v>0</v>
      </c>
      <c r="X12" s="0" t="n">
        <f aca="false">IF(C12-(0)&gt;Inputs!$B$19,1,0)</f>
        <v>1</v>
      </c>
      <c r="Y12" s="0" t="n">
        <f aca="false">IF(D12-(0)&gt;Inputs!$B$19,1,0)</f>
        <v>1</v>
      </c>
      <c r="Z12" s="0" t="n">
        <f aca="false">IF(E12-(0)&gt;Inputs!$B$19,1,0)</f>
        <v>1</v>
      </c>
      <c r="AA12" s="0" t="n">
        <f aca="false">IF((X12*C12+Y12*D12+Z12*E12)&gt;0,MIN(C12-(0),S12*X12*C12/(X12*C12+Y12*D12+Z12*E12)),0)</f>
        <v>6966767.07812762</v>
      </c>
      <c r="AB12" s="0" t="n">
        <f aca="false">IF((X12*C12+Y12*D12+Z12*E12)&gt;0,MIN(D12-(0),S12*Y12*D12/(X12*C12+Y12*D12+Z12*E12)),0)</f>
        <v>1124410.02116402</v>
      </c>
      <c r="AC12" s="0" t="n">
        <f aca="false">IF((X12*C12+Y12*D12+Z12*E12)&gt;0,MIN(E12-(0),S12*Z12*E12/(X12*C12+Y12*D12+Z12*E12)),0)</f>
        <v>843307.515873018</v>
      </c>
      <c r="AD12" s="0" t="n">
        <f aca="false">IF(C12-(AA12)&gt;Inputs!$B$19,1,0)</f>
        <v>1</v>
      </c>
      <c r="AE12" s="0" t="n">
        <f aca="false">IF(D12-(AB12)&gt;Inputs!$B$19,1,0)</f>
        <v>1</v>
      </c>
      <c r="AF12" s="0" t="n">
        <f aca="false">IF(E12-(AC12)&gt;Inputs!$B$19,1,0)</f>
        <v>1</v>
      </c>
      <c r="AG12" s="0" t="n">
        <f aca="false">IF((AD12*C12+AE12*D12+AF12*E12)&gt;0,MIN(C12-(AA12),(S12-(AA12+AB12+AC12))*AD12*C12/(AD12*C12+AE12*D12+AF12*E12)),0)</f>
        <v>0</v>
      </c>
      <c r="AH12" s="0" t="n">
        <f aca="false">IF((AD12*C12+AE12*D12+AF12*E12)&gt;0,MIN(D12-(AB12),(S12-(AA12+AB12+AC12))*AE12*D12/(AD12*C12+AE12*D12+AF12*E12)),0)</f>
        <v>0</v>
      </c>
      <c r="AI12" s="0" t="n">
        <f aca="false">IF((AD12*C12+AE12*D12+AF12*E12)&gt;0,MIN(E12-(AC12),(S12-(AA12+AB12+AC12))*AF12*E12/(AD12*C12+AE12*D12+AF12*E12)),0)</f>
        <v>0</v>
      </c>
      <c r="AJ12" s="0" t="n">
        <f aca="false">IF(C12-(AA12+AG12)&gt;Inputs!$B$19,1,0)</f>
        <v>1</v>
      </c>
      <c r="AK12" s="0" t="n">
        <f aca="false">IF(D12-(AB12+AH12)&gt;Inputs!$B$19,1,0)</f>
        <v>1</v>
      </c>
      <c r="AL12" s="0" t="n">
        <f aca="false">IF(E12-(AC12+AI12)&gt;Inputs!$B$19,1,0)</f>
        <v>1</v>
      </c>
      <c r="AM12" s="0" t="n">
        <f aca="false">IF((AJ12*C12+AK12*D12+AL12*E12)&gt;0,MIN(C12-(AA12+AG12),(S12-(AA12+AB12+AC12+AG12+AH12+AI12))*AJ12*C12/(AJ12*C12+AK12*D12+AL12*E12)),0)</f>
        <v>0</v>
      </c>
      <c r="AN12" s="0" t="n">
        <f aca="false">IF((AJ12*C12+AK12*D12+AL12*E12)&gt;0,MIN(D12-(AB12+AH12),(S12-(AA12+AB12+AC12+AG12+AH12+AI12))*AK12*D12/(AJ12*C12+AK12*D12+AL12*E12)),0)</f>
        <v>0</v>
      </c>
      <c r="AO12" s="0" t="n">
        <f aca="false">IF((AJ12*C12+AK12*D12+AL12*E12)&gt;0,MIN(E12-(AC12+AI12),(S12-(AA12+AB12+AC12+AG12+AH12+AI12))*AL12*E12/(AJ12*C12+AK12*D12+AL12*E12)),0)</f>
        <v>0</v>
      </c>
      <c r="AP12" s="0" t="n">
        <f aca="false">IF(T12=1,U12,AA12+AG12+AM12)</f>
        <v>8934484.61516466</v>
      </c>
      <c r="AQ12" s="0" t="n">
        <f aca="false">IF(T12=1,V12,AB12+AH12+AN12)</f>
        <v>0</v>
      </c>
      <c r="AR12" s="0" t="n">
        <f aca="false">IF(T12=1,W12,AC12+AI12+AO12)</f>
        <v>0</v>
      </c>
      <c r="AS12" s="0" t="n">
        <f aca="false">S12-AP12-AQ12-AR12</f>
        <v>0</v>
      </c>
      <c r="AT12" s="0" t="n">
        <f aca="false">C12-AP12</f>
        <v>238902761.478228</v>
      </c>
      <c r="AU12" s="0" t="n">
        <f aca="false">D12-AQ12</f>
        <v>40000000</v>
      </c>
      <c r="AV12" s="0" t="n">
        <f aca="false">E12-AR12</f>
        <v>30000000</v>
      </c>
      <c r="AW12" s="0" t="n">
        <f aca="false">Pool!CB12</f>
        <v>336271237.118058</v>
      </c>
      <c r="AX12" s="0" t="n">
        <f aca="false">IF((AT12)&gt;Inputs!$B$19,AW12/(AT12),1000000000)</f>
        <v>1.40756529994612</v>
      </c>
      <c r="AY12" s="0" t="n">
        <f aca="false">IF((J12)&gt;0.000000001,(R12-I12-MAX(-M12,0))/(J12),1000000000)</f>
        <v>2.29559829997241</v>
      </c>
      <c r="AZ12" s="0" t="n">
        <f aca="false">IF(OR(AX12&lt;Inputs!$B$24,AY12&lt;Inputs!$B$25),1,0)</f>
        <v>0</v>
      </c>
      <c r="BA12" s="0" t="n">
        <f aca="false">IF((AT12+AU12)&gt;Inputs!$B$19,AW12/(AT12+AU12),1000000000)</f>
        <v>1.20569346583651</v>
      </c>
      <c r="BB12" s="0" t="n">
        <f aca="false">IF((J12+K12)&gt;0.000000001,(R12-I12-MAX(-M12,0))/(J12+K12),1000000000)</f>
        <v>1.91691883779706</v>
      </c>
      <c r="BC12" s="0" t="n">
        <f aca="false">IF(OR(BA12&lt;Inputs!$B$29,BB12&lt;Inputs!$B$30),1,0)</f>
        <v>0</v>
      </c>
      <c r="BD12" s="0" t="n">
        <f aca="false">IF((AT12+AU12+AV12)&gt;Inputs!$B$19,AW12/(AT12+AU12+AV12),1000000000)</f>
        <v>1.08859899959735</v>
      </c>
      <c r="BE12" s="0" t="n">
        <f aca="false">IF((J12+K12+L12)&gt;0.000000001,(R12-I12-MAX(-M12,0))/(J12+K12+L12),1000000000)</f>
        <v>1.67029753397712</v>
      </c>
      <c r="BF12" s="0" t="n">
        <f aca="false">IF(OR(BD12&lt;Inputs!$B$34,BE12&lt;Inputs!$B$35),1,0)</f>
        <v>0</v>
      </c>
      <c r="BG12" s="0" t="n">
        <f aca="false">MAX(AZ12,BC12,BF12)</f>
        <v>0</v>
      </c>
      <c r="BH12" s="0" t="n">
        <f aca="false">MIN(R12,N12)</f>
        <v>179616.013803123</v>
      </c>
      <c r="BI12" s="0" t="n">
        <f aca="false">R12-BH12</f>
        <v>2434267.20290381</v>
      </c>
      <c r="BJ12" s="0" t="n">
        <f aca="false">MIN(BI12,O12)</f>
        <v>1060406.43214149</v>
      </c>
      <c r="BK12" s="0" t="n">
        <f aca="false">BI12-BJ12</f>
        <v>1373860.77076232</v>
      </c>
      <c r="BL12" s="0" t="n">
        <f aca="false">AZ12*MIN(AT12,BK12)</f>
        <v>0</v>
      </c>
      <c r="BM12" s="0" t="n">
        <f aca="false">AZ12*MIN(AU12,BK12-BL12)</f>
        <v>0</v>
      </c>
      <c r="BN12" s="0" t="n">
        <f aca="false">AZ12*MIN(AV12,BK12-BL12-BM12)</f>
        <v>0</v>
      </c>
      <c r="BO12" s="0" t="n">
        <f aca="false">BK12-BL12-BM12-BN12</f>
        <v>1373860.77076232</v>
      </c>
      <c r="BP12" s="0" t="n">
        <f aca="false">MIN(BO12,P12)</f>
        <v>209478.945844199</v>
      </c>
      <c r="BQ12" s="0" t="n">
        <f aca="false">BO12-BP12</f>
        <v>1164381.82491812</v>
      </c>
      <c r="BR12" s="0" t="n">
        <f aca="false">BC12*MIN((AT12-BL12),BQ12)</f>
        <v>0</v>
      </c>
      <c r="BS12" s="0" t="n">
        <f aca="false">BC12*MIN((AU12-BM12),BQ12-BR12)</f>
        <v>0</v>
      </c>
      <c r="BT12" s="0" t="n">
        <f aca="false">BC12*MIN((AV12-BN12),BQ12-BR12-BS12)</f>
        <v>0</v>
      </c>
      <c r="BU12" s="0" t="n">
        <f aca="false">BQ12-BR12-BS12-BT12</f>
        <v>1164381.82491812</v>
      </c>
      <c r="BV12" s="0" t="n">
        <f aca="false">MIN(BU12,Q12)</f>
        <v>187500</v>
      </c>
      <c r="BW12" s="0" t="n">
        <f aca="false">BU12-BV12</f>
        <v>976881.824918123</v>
      </c>
      <c r="BX12" s="0" t="n">
        <f aca="false">BF12*MIN((AT12-BL12-BR12),BW12)</f>
        <v>0</v>
      </c>
      <c r="BY12" s="0" t="n">
        <f aca="false">BF12*MIN((AU12-BM12-BS12),BW12-BX12)</f>
        <v>0</v>
      </c>
      <c r="BZ12" s="0" t="n">
        <f aca="false">BF12*MIN((AV12-BN12-BT12),BW12-BX12-BY12)</f>
        <v>0</v>
      </c>
      <c r="CA12" s="0" t="n">
        <f aca="false">BW12-BX12-BY12-BZ12</f>
        <v>976881.824918123</v>
      </c>
      <c r="CB12" s="0" t="n">
        <f aca="false">MAX(0,AT12+AU12+AV12-BL12-BM12-BN12-BR12-BS12-BT12-BX12-BY12-BZ12-AW12)</f>
        <v>0</v>
      </c>
      <c r="CC12" s="0" t="n">
        <f aca="false">1*MIN((AT12-BL12-BR12-BX12),MIN(CA12,CB12))</f>
        <v>0</v>
      </c>
      <c r="CD12" s="0" t="n">
        <f aca="false">1*MIN((AU12-BM12-BS12-BY12),MIN(CA12,CB12)-CC12)</f>
        <v>0</v>
      </c>
      <c r="CE12" s="0" t="n">
        <f aca="false">1*MIN((AV12-BN12-BT12-BZ12),MIN(CA12,CB12)-CC12-CD12)</f>
        <v>0</v>
      </c>
      <c r="CF12" s="0" t="n">
        <f aca="false">CA12-CC12-CD12-CE12</f>
        <v>976881.824918123</v>
      </c>
      <c r="CG12" s="0" t="n">
        <f aca="false">IF(C12+D12+E12&gt;Inputs!$B$19,MIN(CF12,MAX(0,Inputs!$B$15-DO11)),0)</f>
        <v>0</v>
      </c>
      <c r="CH12" s="0" t="n">
        <f aca="false">CF12-CG12</f>
        <v>976881.824918123</v>
      </c>
      <c r="CI12" s="0" t="n">
        <f aca="false">DO11+CG12</f>
        <v>3000000</v>
      </c>
      <c r="CJ12" s="0" t="n">
        <f aca="false">MIN(MAX(N12-BH12,0),CI12)</f>
        <v>0</v>
      </c>
      <c r="CK12" s="0" t="n">
        <f aca="false">MIN(MAX(O12-BJ12,0),CI12-CJ12)</f>
        <v>0</v>
      </c>
      <c r="CL12" s="0" t="n">
        <f aca="false">MIN(MAX(P12-BP12,0),CI12-CJ12-CK12)</f>
        <v>0</v>
      </c>
      <c r="CM12" s="0" t="n">
        <f aca="false">CJ12+CK12+CL12</f>
        <v>0</v>
      </c>
      <c r="CN12" s="0" t="n">
        <f aca="false">CI12-CM12</f>
        <v>3000000</v>
      </c>
      <c r="CO12" s="0" t="n">
        <f aca="false">BH12+CJ12</f>
        <v>179616.013803123</v>
      </c>
      <c r="CP12" s="0" t="n">
        <f aca="false">BJ12+CK12</f>
        <v>1060406.43214149</v>
      </c>
      <c r="CQ12" s="0" t="n">
        <f aca="false">BP12+CL12</f>
        <v>209478.945844199</v>
      </c>
      <c r="CR12" s="0" t="n">
        <f aca="false">BV12</f>
        <v>187500</v>
      </c>
      <c r="CS12" s="0" t="n">
        <f aca="false">AT12-BL12-BR12-BX12-CC12</f>
        <v>238902761.478228</v>
      </c>
      <c r="CT12" s="0" t="n">
        <f aca="false">AU12-BM12-BS12-BY12-CD12</f>
        <v>40000000</v>
      </c>
      <c r="CU12" s="0" t="n">
        <f aca="false">AV12-BN12-BT12-BZ12-CE12</f>
        <v>30000000</v>
      </c>
      <c r="CV12" s="0" t="n">
        <f aca="false">MAX(0,CS12+CT12+CU12-AW12)</f>
        <v>0</v>
      </c>
      <c r="CW12" s="0" t="n">
        <f aca="false">MIN(CU12,CV12)</f>
        <v>0</v>
      </c>
      <c r="CX12" s="0" t="n">
        <f aca="false">MIN(CT12,CV12-CW12)</f>
        <v>0</v>
      </c>
      <c r="CY12" s="0" t="n">
        <f aca="false">MIN(CS12,CV12-CW12-CX12)</f>
        <v>0</v>
      </c>
      <c r="CZ12" s="0" t="n">
        <f aca="false">IF(CS12-CY12&lt;Inputs!$B$19,0,CS12-CY12)</f>
        <v>238902761.478228</v>
      </c>
      <c r="DA12" s="0" t="n">
        <f aca="false">IF(CT12-CX12&lt;Inputs!$B$19,0,CT12-CX12)</f>
        <v>40000000</v>
      </c>
      <c r="DB12" s="0" t="n">
        <f aca="false">IF(CU12-CW12&lt;Inputs!$B$19,0,CU12-CW12)</f>
        <v>30000000</v>
      </c>
      <c r="DC12" s="0" t="n">
        <f aca="false">N12-CO12</f>
        <v>0</v>
      </c>
      <c r="DD12" s="0" t="n">
        <f aca="false">O12-CP12</f>
        <v>0</v>
      </c>
      <c r="DE12" s="0" t="n">
        <f aca="false">P12-CQ12</f>
        <v>0</v>
      </c>
      <c r="DF12" s="0" t="n">
        <f aca="false">Q12-CR12</f>
        <v>0</v>
      </c>
      <c r="DG12" s="0" t="n">
        <f aca="false">IF(CZ12+DA12+DB12&lt;=Inputs!$B$19,1,0)</f>
        <v>0</v>
      </c>
      <c r="DH12" s="0" t="n">
        <f aca="false">DG12*CN12</f>
        <v>0</v>
      </c>
      <c r="DI12" s="0" t="n">
        <f aca="false">DG12*(AS12+DH12)</f>
        <v>0</v>
      </c>
      <c r="DJ12" s="0" t="n">
        <f aca="false">DG12*MIN(DC12,DI12)</f>
        <v>0</v>
      </c>
      <c r="DK12" s="0" t="n">
        <f aca="false">DG12*MIN(DD12,DI12-DJ12)</f>
        <v>0</v>
      </c>
      <c r="DL12" s="0" t="n">
        <f aca="false">DG12*MIN(DE12,DI12-DJ12-DK12)</f>
        <v>0</v>
      </c>
      <c r="DM12" s="0" t="n">
        <f aca="false">DG12*MIN(DF12,DI12-DJ12-DK12-DL12)</f>
        <v>0</v>
      </c>
      <c r="DN12" s="0" t="n">
        <f aca="false">DJ12+DK12+DL12+DM12</f>
        <v>0</v>
      </c>
      <c r="DO12" s="0" t="n">
        <f aca="false">CN12-DH12</f>
        <v>3000000</v>
      </c>
      <c r="DP12" s="0" t="n">
        <f aca="false">DC12-DJ12</f>
        <v>0</v>
      </c>
      <c r="DQ12" s="0" t="n">
        <f aca="false">DD12-DK12</f>
        <v>0</v>
      </c>
      <c r="DR12" s="0" t="n">
        <f aca="false">DE12-DL12</f>
        <v>0</v>
      </c>
      <c r="DS12" s="0" t="n">
        <f aca="false">DF12-DM12</f>
        <v>0</v>
      </c>
      <c r="DT12" s="0" t="n">
        <f aca="false">CO12+DJ12</f>
        <v>179616.013803123</v>
      </c>
      <c r="DU12" s="0" t="n">
        <f aca="false">CP12+DK12</f>
        <v>1060406.43214149</v>
      </c>
      <c r="DV12" s="0" t="n">
        <f aca="false">AP12+BL12+BR12+BX12+CC12</f>
        <v>8934484.61516466</v>
      </c>
      <c r="DW12" s="0" t="n">
        <f aca="false">CQ12+DL12</f>
        <v>209478.945844199</v>
      </c>
      <c r="DX12" s="0" t="n">
        <f aca="false">AQ12+BM12+BS12+BY12+CD12</f>
        <v>0</v>
      </c>
      <c r="DY12" s="0" t="n">
        <f aca="false">CR12+DM12</f>
        <v>187500</v>
      </c>
      <c r="DZ12" s="0" t="n">
        <f aca="false">AR12+BN12+BT12+BZ12+CE12</f>
        <v>0</v>
      </c>
      <c r="EA12" s="0" t="n">
        <f aca="false">DI12-DN12</f>
        <v>0</v>
      </c>
      <c r="EB12" s="0" t="n">
        <f aca="false">CH12+EA12</f>
        <v>976881.824918123</v>
      </c>
      <c r="EC12" s="0" t="n">
        <f aca="false">R12-I12-MAX(-M12,0)-J12-K12-L12</f>
        <v>976881.824918123</v>
      </c>
      <c r="ED12" s="0" t="n">
        <f aca="false">R12+S12+CM12+DH12-CG12-DT12-DU12-DW12-DY12-DV12-DX12-DZ12-EB12</f>
        <v>0</v>
      </c>
      <c r="EE12" s="0" t="n">
        <f aca="false">IF(AND(EB12&gt;0.000001,DP12+DQ12+DR12+DS12&gt;0.000001),1,0)</f>
        <v>0</v>
      </c>
    </row>
    <row r="13" customFormat="false" ht="15" hidden="false" customHeight="false" outlineLevel="0" collapsed="false">
      <c r="A13" s="0" t="n">
        <f aca="false">ROW()-5</f>
        <v>8</v>
      </c>
      <c r="B13" s="0" t="n">
        <f aca="false">Inputs!$B$11+(Inputs!$B$12-Inputs!$B$11)*(1-EXP(-A13/Inputs!$B$13))+Inputs!$B$8</f>
        <v>0.0400235787610248</v>
      </c>
      <c r="C13" s="0" t="n">
        <f aca="false">CZ12</f>
        <v>238902761.478228</v>
      </c>
      <c r="D13" s="0" t="n">
        <f aca="false">DA12</f>
        <v>40000000</v>
      </c>
      <c r="E13" s="0" t="n">
        <f aca="false">DB12</f>
        <v>30000000</v>
      </c>
      <c r="F13" s="0" t="n">
        <f aca="false">IF(Inputs!$B$22=1,B13+Inputs!$B$23,Inputs!$B$23)/12</f>
        <v>0.00425196489675207</v>
      </c>
      <c r="G13" s="0" t="n">
        <f aca="false">IF(Inputs!$B$27=1,B13+Inputs!$B$28,Inputs!$B$28)/12</f>
        <v>0.0052102982300854</v>
      </c>
      <c r="H13" s="0" t="n">
        <f aca="false">IF(Inputs!$B$32=1,B13+Inputs!$B$33,Inputs!$B$33)/12</f>
        <v>0.00625</v>
      </c>
      <c r="I13" s="0" t="n">
        <f aca="false">Pool!BT13*Inputs!$B$14/12</f>
        <v>174789.490178691</v>
      </c>
      <c r="J13" s="0" t="n">
        <f aca="false">C13*F13</f>
        <v>1015806.15554256</v>
      </c>
      <c r="K13" s="0" t="n">
        <f aca="false">D13*G13</f>
        <v>208411.929203416</v>
      </c>
      <c r="L13" s="0" t="n">
        <f aca="false">E13*H13</f>
        <v>187500</v>
      </c>
      <c r="M13" s="0" t="n">
        <f aca="false">Inputs!$B$17*(C13*Inputs!$B$22+D13*Inputs!$B$27+E13*Inputs!$B$32)*(B13-Inputs!$B$18)/12</f>
        <v>0</v>
      </c>
      <c r="N13" s="0" t="n">
        <f aca="false">DP12+I13+MAX(-M13,0)</f>
        <v>174789.490178691</v>
      </c>
      <c r="O13" s="0" t="n">
        <f aca="false">DQ12+J13</f>
        <v>1015806.15554256</v>
      </c>
      <c r="P13" s="0" t="n">
        <f aca="false">DR12+K13</f>
        <v>208411.929203416</v>
      </c>
      <c r="Q13" s="0" t="n">
        <f aca="false">DS12+L13</f>
        <v>187500</v>
      </c>
      <c r="R13" s="0" t="n">
        <f aca="false">Pool!BV13+MAX(M13,0)</f>
        <v>2545655.29351094</v>
      </c>
      <c r="S13" s="0" t="n">
        <f aca="false">Pool!BW13+Pool!BX13+Pool!BZ13</f>
        <v>8817487.38189333</v>
      </c>
      <c r="T13" s="0" t="n">
        <f aca="false">MAX(T12,BG12)</f>
        <v>1</v>
      </c>
      <c r="U13" s="0" t="n">
        <f aca="false">MIN(C13,S13)</f>
        <v>8817487.38189333</v>
      </c>
      <c r="V13" s="0" t="n">
        <f aca="false">MIN(D13,S13-U13)</f>
        <v>0</v>
      </c>
      <c r="W13" s="0" t="n">
        <f aca="false">MIN(E13,S13-U13-V13)</f>
        <v>0</v>
      </c>
      <c r="X13" s="0" t="n">
        <f aca="false">IF(C13-(0)&gt;Inputs!$B$19,1,0)</f>
        <v>1</v>
      </c>
      <c r="Y13" s="0" t="n">
        <f aca="false">IF(D13-(0)&gt;Inputs!$B$19,1,0)</f>
        <v>1</v>
      </c>
      <c r="Z13" s="0" t="n">
        <f aca="false">IF(E13-(0)&gt;Inputs!$B$19,1,0)</f>
        <v>1</v>
      </c>
      <c r="AA13" s="0" t="n">
        <f aca="false">IF((X13*C13+Y13*D13+Z13*E13)&gt;0,MIN(C13-(0),S13*X13*C13/(X13*C13+Y13*D13+Z13*E13)),0)</f>
        <v>6819369.5477281</v>
      </c>
      <c r="AB13" s="0" t="n">
        <f aca="false">IF((X13*C13+Y13*D13+Z13*E13)&gt;0,MIN(D13-(0),S13*Y13*D13/(X13*C13+Y13*D13+Z13*E13)),0)</f>
        <v>1141781.61952298</v>
      </c>
      <c r="AC13" s="0" t="n">
        <f aca="false">IF((X13*C13+Y13*D13+Z13*E13)&gt;0,MIN(E13-(0),S13*Z13*E13/(X13*C13+Y13*D13+Z13*E13)),0)</f>
        <v>856336.214642239</v>
      </c>
      <c r="AD13" s="0" t="n">
        <f aca="false">IF(C13-(AA13)&gt;Inputs!$B$19,1,0)</f>
        <v>1</v>
      </c>
      <c r="AE13" s="0" t="n">
        <f aca="false">IF(D13-(AB13)&gt;Inputs!$B$19,1,0)</f>
        <v>1</v>
      </c>
      <c r="AF13" s="0" t="n">
        <f aca="false">IF(E13-(AC13)&gt;Inputs!$B$19,1,0)</f>
        <v>1</v>
      </c>
      <c r="AG13" s="0" t="n">
        <f aca="false">IF((AD13*C13+AE13*D13+AF13*E13)&gt;0,MIN(C13-(AA13),(S13-(AA13+AB13+AC13))*AD13*C13/(AD13*C13+AE13*D13+AF13*E13)),0)</f>
        <v>0</v>
      </c>
      <c r="AH13" s="0" t="n">
        <f aca="false">IF((AD13*C13+AE13*D13+AF13*E13)&gt;0,MIN(D13-(AB13),(S13-(AA13+AB13+AC13))*AE13*D13/(AD13*C13+AE13*D13+AF13*E13)),0)</f>
        <v>0</v>
      </c>
      <c r="AI13" s="0" t="n">
        <f aca="false">IF((AD13*C13+AE13*D13+AF13*E13)&gt;0,MIN(E13-(AC13),(S13-(AA13+AB13+AC13))*AF13*E13/(AD13*C13+AE13*D13+AF13*E13)),0)</f>
        <v>0</v>
      </c>
      <c r="AJ13" s="0" t="n">
        <f aca="false">IF(C13-(AA13+AG13)&gt;Inputs!$B$19,1,0)</f>
        <v>1</v>
      </c>
      <c r="AK13" s="0" t="n">
        <f aca="false">IF(D13-(AB13+AH13)&gt;Inputs!$B$19,1,0)</f>
        <v>1</v>
      </c>
      <c r="AL13" s="0" t="n">
        <f aca="false">IF(E13-(AC13+AI13)&gt;Inputs!$B$19,1,0)</f>
        <v>1</v>
      </c>
      <c r="AM13" s="0" t="n">
        <f aca="false">IF((AJ13*C13+AK13*D13+AL13*E13)&gt;0,MIN(C13-(AA13+AG13),(S13-(AA13+AB13+AC13+AG13+AH13+AI13))*AJ13*C13/(AJ13*C13+AK13*D13+AL13*E13)),0)</f>
        <v>0</v>
      </c>
      <c r="AN13" s="0" t="n">
        <f aca="false">IF((AJ13*C13+AK13*D13+AL13*E13)&gt;0,MIN(D13-(AB13+AH13),(S13-(AA13+AB13+AC13+AG13+AH13+AI13))*AK13*D13/(AJ13*C13+AK13*D13+AL13*E13)),0)</f>
        <v>0</v>
      </c>
      <c r="AO13" s="0" t="n">
        <f aca="false">IF((AJ13*C13+AK13*D13+AL13*E13)&gt;0,MIN(E13-(AC13+AI13),(S13-(AA13+AB13+AC13+AG13+AH13+AI13))*AL13*E13/(AJ13*C13+AK13*D13+AL13*E13)),0)</f>
        <v>0</v>
      </c>
      <c r="AP13" s="0" t="n">
        <f aca="false">IF(T13=1,U13,AA13+AG13+AM13)</f>
        <v>8817487.38189333</v>
      </c>
      <c r="AQ13" s="0" t="n">
        <f aca="false">IF(T13=1,V13,AB13+AH13+AN13)</f>
        <v>0</v>
      </c>
      <c r="AR13" s="0" t="n">
        <f aca="false">IF(T13=1,W13,AC13+AI13+AO13)</f>
        <v>0</v>
      </c>
      <c r="AS13" s="0" t="n">
        <f aca="false">S13-AP13-AQ13-AR13</f>
        <v>0</v>
      </c>
      <c r="AT13" s="0" t="n">
        <f aca="false">C13-AP13</f>
        <v>230085274.096334</v>
      </c>
      <c r="AU13" s="0" t="n">
        <f aca="false">D13-AQ13</f>
        <v>40000000</v>
      </c>
      <c r="AV13" s="0" t="n">
        <f aca="false">E13-AR13</f>
        <v>30000000</v>
      </c>
      <c r="AW13" s="0" t="n">
        <f aca="false">Pool!CB13</f>
        <v>327116149.846801</v>
      </c>
      <c r="AX13" s="0" t="n">
        <f aca="false">IF((AT13)&gt;Inputs!$B$19,AW13/(AT13),1000000000)</f>
        <v>1.42171701831661</v>
      </c>
      <c r="AY13" s="0" t="n">
        <f aca="false">IF((J13)&gt;0.000000001,(R13-I13-MAX(-M13,0))/(J13),1000000000)</f>
        <v>2.33397463718453</v>
      </c>
      <c r="AZ13" s="0" t="n">
        <f aca="false">IF(OR(AX13&lt;Inputs!$B$24,AY13&lt;Inputs!$B$25),1,0)</f>
        <v>0</v>
      </c>
      <c r="BA13" s="0" t="n">
        <f aca="false">IF((AT13+AU13)&gt;Inputs!$B$19,AW13/(AT13+AU13),1000000000)</f>
        <v>1.21115877546928</v>
      </c>
      <c r="BB13" s="0" t="n">
        <f aca="false">IF((J13+K13)&gt;0.000000001,(R13-I13-MAX(-M13,0))/(J13+K13),1000000000)</f>
        <v>1.93663680750494</v>
      </c>
      <c r="BC13" s="0" t="n">
        <f aca="false">IF(OR(BA13&lt;Inputs!$B$29,BB13&lt;Inputs!$B$30),1,0)</f>
        <v>0</v>
      </c>
      <c r="BD13" s="0" t="n">
        <f aca="false">IF((AT13+AU13+AV13)&gt;Inputs!$B$19,AW13/(AT13+AU13+AV13),1000000000)</f>
        <v>1.09007731496278</v>
      </c>
      <c r="BE13" s="0" t="n">
        <f aca="false">IF((J13+K13+L13)&gt;0.000000001,(R13-I13-MAX(-M13,0))/(J13+K13+L13),1000000000)</f>
        <v>1.67941873731742</v>
      </c>
      <c r="BF13" s="0" t="n">
        <f aca="false">IF(OR(BD13&lt;Inputs!$B$34,BE13&lt;Inputs!$B$35),1,0)</f>
        <v>0</v>
      </c>
      <c r="BG13" s="0" t="n">
        <f aca="false">MAX(AZ13,BC13,BF13)</f>
        <v>0</v>
      </c>
      <c r="BH13" s="0" t="n">
        <f aca="false">MIN(R13,N13)</f>
        <v>174789.490178691</v>
      </c>
      <c r="BI13" s="0" t="n">
        <f aca="false">R13-BH13</f>
        <v>2370865.80333225</v>
      </c>
      <c r="BJ13" s="0" t="n">
        <f aca="false">MIN(BI13,O13)</f>
        <v>1015806.15554256</v>
      </c>
      <c r="BK13" s="0" t="n">
        <f aca="false">BI13-BJ13</f>
        <v>1355059.6477897</v>
      </c>
      <c r="BL13" s="0" t="n">
        <f aca="false">AZ13*MIN(AT13,BK13)</f>
        <v>0</v>
      </c>
      <c r="BM13" s="0" t="n">
        <f aca="false">AZ13*MIN(AU13,BK13-BL13)</f>
        <v>0</v>
      </c>
      <c r="BN13" s="0" t="n">
        <f aca="false">AZ13*MIN(AV13,BK13-BL13-BM13)</f>
        <v>0</v>
      </c>
      <c r="BO13" s="0" t="n">
        <f aca="false">BK13-BL13-BM13-BN13</f>
        <v>1355059.6477897</v>
      </c>
      <c r="BP13" s="0" t="n">
        <f aca="false">MIN(BO13,P13)</f>
        <v>208411.929203416</v>
      </c>
      <c r="BQ13" s="0" t="n">
        <f aca="false">BO13-BP13</f>
        <v>1146647.71858628</v>
      </c>
      <c r="BR13" s="0" t="n">
        <f aca="false">BC13*MIN((AT13-BL13),BQ13)</f>
        <v>0</v>
      </c>
      <c r="BS13" s="0" t="n">
        <f aca="false">BC13*MIN((AU13-BM13),BQ13-BR13)</f>
        <v>0</v>
      </c>
      <c r="BT13" s="0" t="n">
        <f aca="false">BC13*MIN((AV13-BN13),BQ13-BR13-BS13)</f>
        <v>0</v>
      </c>
      <c r="BU13" s="0" t="n">
        <f aca="false">BQ13-BR13-BS13-BT13</f>
        <v>1146647.71858628</v>
      </c>
      <c r="BV13" s="0" t="n">
        <f aca="false">MIN(BU13,Q13)</f>
        <v>187500</v>
      </c>
      <c r="BW13" s="0" t="n">
        <f aca="false">BU13-BV13</f>
        <v>959147.71858628</v>
      </c>
      <c r="BX13" s="0" t="n">
        <f aca="false">BF13*MIN((AT13-BL13-BR13),BW13)</f>
        <v>0</v>
      </c>
      <c r="BY13" s="0" t="n">
        <f aca="false">BF13*MIN((AU13-BM13-BS13),BW13-BX13)</f>
        <v>0</v>
      </c>
      <c r="BZ13" s="0" t="n">
        <f aca="false">BF13*MIN((AV13-BN13-BT13),BW13-BX13-BY13)</f>
        <v>0</v>
      </c>
      <c r="CA13" s="0" t="n">
        <f aca="false">BW13-BX13-BY13-BZ13</f>
        <v>959147.71858628</v>
      </c>
      <c r="CB13" s="0" t="n">
        <f aca="false">MAX(0,AT13+AU13+AV13-BL13-BM13-BN13-BR13-BS13-BT13-BX13-BY13-BZ13-AW13)</f>
        <v>0</v>
      </c>
      <c r="CC13" s="0" t="n">
        <f aca="false">1*MIN((AT13-BL13-BR13-BX13),MIN(CA13,CB13))</f>
        <v>0</v>
      </c>
      <c r="CD13" s="0" t="n">
        <f aca="false">1*MIN((AU13-BM13-BS13-BY13),MIN(CA13,CB13)-CC13)</f>
        <v>0</v>
      </c>
      <c r="CE13" s="0" t="n">
        <f aca="false">1*MIN((AV13-BN13-BT13-BZ13),MIN(CA13,CB13)-CC13-CD13)</f>
        <v>0</v>
      </c>
      <c r="CF13" s="0" t="n">
        <f aca="false">CA13-CC13-CD13-CE13</f>
        <v>959147.71858628</v>
      </c>
      <c r="CG13" s="0" t="n">
        <f aca="false">IF(C13+D13+E13&gt;Inputs!$B$19,MIN(CF13,MAX(0,Inputs!$B$15-DO12)),0)</f>
        <v>0</v>
      </c>
      <c r="CH13" s="0" t="n">
        <f aca="false">CF13-CG13</f>
        <v>959147.71858628</v>
      </c>
      <c r="CI13" s="0" t="n">
        <f aca="false">DO12+CG13</f>
        <v>3000000</v>
      </c>
      <c r="CJ13" s="0" t="n">
        <f aca="false">MIN(MAX(N13-BH13,0),CI13)</f>
        <v>0</v>
      </c>
      <c r="CK13" s="0" t="n">
        <f aca="false">MIN(MAX(O13-BJ13,0),CI13-CJ13)</f>
        <v>0</v>
      </c>
      <c r="CL13" s="0" t="n">
        <f aca="false">MIN(MAX(P13-BP13,0),CI13-CJ13-CK13)</f>
        <v>0</v>
      </c>
      <c r="CM13" s="0" t="n">
        <f aca="false">CJ13+CK13+CL13</f>
        <v>0</v>
      </c>
      <c r="CN13" s="0" t="n">
        <f aca="false">CI13-CM13</f>
        <v>3000000</v>
      </c>
      <c r="CO13" s="0" t="n">
        <f aca="false">BH13+CJ13</f>
        <v>174789.490178691</v>
      </c>
      <c r="CP13" s="0" t="n">
        <f aca="false">BJ13+CK13</f>
        <v>1015806.15554256</v>
      </c>
      <c r="CQ13" s="0" t="n">
        <f aca="false">BP13+CL13</f>
        <v>208411.929203416</v>
      </c>
      <c r="CR13" s="0" t="n">
        <f aca="false">BV13</f>
        <v>187500</v>
      </c>
      <c r="CS13" s="0" t="n">
        <f aca="false">AT13-BL13-BR13-BX13-CC13</f>
        <v>230085274.096334</v>
      </c>
      <c r="CT13" s="0" t="n">
        <f aca="false">AU13-BM13-BS13-BY13-CD13</f>
        <v>40000000</v>
      </c>
      <c r="CU13" s="0" t="n">
        <f aca="false">AV13-BN13-BT13-BZ13-CE13</f>
        <v>30000000</v>
      </c>
      <c r="CV13" s="0" t="n">
        <f aca="false">MAX(0,CS13+CT13+CU13-AW13)</f>
        <v>0</v>
      </c>
      <c r="CW13" s="0" t="n">
        <f aca="false">MIN(CU13,CV13)</f>
        <v>0</v>
      </c>
      <c r="CX13" s="0" t="n">
        <f aca="false">MIN(CT13,CV13-CW13)</f>
        <v>0</v>
      </c>
      <c r="CY13" s="0" t="n">
        <f aca="false">MIN(CS13,CV13-CW13-CX13)</f>
        <v>0</v>
      </c>
      <c r="CZ13" s="0" t="n">
        <f aca="false">IF(CS13-CY13&lt;Inputs!$B$19,0,CS13-CY13)</f>
        <v>230085274.096334</v>
      </c>
      <c r="DA13" s="0" t="n">
        <f aca="false">IF(CT13-CX13&lt;Inputs!$B$19,0,CT13-CX13)</f>
        <v>40000000</v>
      </c>
      <c r="DB13" s="0" t="n">
        <f aca="false">IF(CU13-CW13&lt;Inputs!$B$19,0,CU13-CW13)</f>
        <v>30000000</v>
      </c>
      <c r="DC13" s="0" t="n">
        <f aca="false">N13-CO13</f>
        <v>0</v>
      </c>
      <c r="DD13" s="0" t="n">
        <f aca="false">O13-CP13</f>
        <v>0</v>
      </c>
      <c r="DE13" s="0" t="n">
        <f aca="false">P13-CQ13</f>
        <v>0</v>
      </c>
      <c r="DF13" s="0" t="n">
        <f aca="false">Q13-CR13</f>
        <v>0</v>
      </c>
      <c r="DG13" s="0" t="n">
        <f aca="false">IF(CZ13+DA13+DB13&lt;=Inputs!$B$19,1,0)</f>
        <v>0</v>
      </c>
      <c r="DH13" s="0" t="n">
        <f aca="false">DG13*CN13</f>
        <v>0</v>
      </c>
      <c r="DI13" s="0" t="n">
        <f aca="false">DG13*(AS13+DH13)</f>
        <v>0</v>
      </c>
      <c r="DJ13" s="0" t="n">
        <f aca="false">DG13*MIN(DC13,DI13)</f>
        <v>0</v>
      </c>
      <c r="DK13" s="0" t="n">
        <f aca="false">DG13*MIN(DD13,DI13-DJ13)</f>
        <v>0</v>
      </c>
      <c r="DL13" s="0" t="n">
        <f aca="false">DG13*MIN(DE13,DI13-DJ13-DK13)</f>
        <v>0</v>
      </c>
      <c r="DM13" s="0" t="n">
        <f aca="false">DG13*MIN(DF13,DI13-DJ13-DK13-DL13)</f>
        <v>0</v>
      </c>
      <c r="DN13" s="0" t="n">
        <f aca="false">DJ13+DK13+DL13+DM13</f>
        <v>0</v>
      </c>
      <c r="DO13" s="0" t="n">
        <f aca="false">CN13-DH13</f>
        <v>3000000</v>
      </c>
      <c r="DP13" s="0" t="n">
        <f aca="false">DC13-DJ13</f>
        <v>0</v>
      </c>
      <c r="DQ13" s="0" t="n">
        <f aca="false">DD13-DK13</f>
        <v>0</v>
      </c>
      <c r="DR13" s="0" t="n">
        <f aca="false">DE13-DL13</f>
        <v>0</v>
      </c>
      <c r="DS13" s="0" t="n">
        <f aca="false">DF13-DM13</f>
        <v>0</v>
      </c>
      <c r="DT13" s="0" t="n">
        <f aca="false">CO13+DJ13</f>
        <v>174789.490178691</v>
      </c>
      <c r="DU13" s="0" t="n">
        <f aca="false">CP13+DK13</f>
        <v>1015806.15554256</v>
      </c>
      <c r="DV13" s="0" t="n">
        <f aca="false">AP13+BL13+BR13+BX13+CC13</f>
        <v>8817487.38189333</v>
      </c>
      <c r="DW13" s="0" t="n">
        <f aca="false">CQ13+DL13</f>
        <v>208411.929203416</v>
      </c>
      <c r="DX13" s="0" t="n">
        <f aca="false">AQ13+BM13+BS13+BY13+CD13</f>
        <v>0</v>
      </c>
      <c r="DY13" s="0" t="n">
        <f aca="false">CR13+DM13</f>
        <v>187500</v>
      </c>
      <c r="DZ13" s="0" t="n">
        <f aca="false">AR13+BN13+BT13+BZ13+CE13</f>
        <v>0</v>
      </c>
      <c r="EA13" s="0" t="n">
        <f aca="false">DI13-DN13</f>
        <v>0</v>
      </c>
      <c r="EB13" s="0" t="n">
        <f aca="false">CH13+EA13</f>
        <v>959147.71858628</v>
      </c>
      <c r="EC13" s="0" t="n">
        <f aca="false">R13-I13-MAX(-M13,0)-J13-K13-L13</f>
        <v>959147.71858628</v>
      </c>
      <c r="ED13" s="0" t="n">
        <f aca="false">R13+S13+CM13+DH13-CG13-DT13-DU13-DW13-DY13-DV13-DX13-DZ13-EB13</f>
        <v>0</v>
      </c>
      <c r="EE13" s="0" t="n">
        <f aca="false">IF(AND(EB13&gt;0.000001,DP13+DQ13+DR13+DS13&gt;0.000001),1,0)</f>
        <v>0</v>
      </c>
    </row>
    <row r="14" customFormat="false" ht="15" hidden="false" customHeight="false" outlineLevel="0" collapsed="false">
      <c r="A14" s="0" t="n">
        <f aca="false">ROW()-5</f>
        <v>9</v>
      </c>
      <c r="B14" s="0" t="n">
        <f aca="false">Inputs!$B$11+(Inputs!$B$12-Inputs!$B$11)*(1-EXP(-A14/Inputs!$B$13))+Inputs!$B$8</f>
        <v>0.0397165374273052</v>
      </c>
      <c r="C14" s="0" t="n">
        <f aca="false">CZ13</f>
        <v>230085274.096334</v>
      </c>
      <c r="D14" s="0" t="n">
        <f aca="false">DA13</f>
        <v>40000000</v>
      </c>
      <c r="E14" s="0" t="n">
        <f aca="false">DB13</f>
        <v>30000000</v>
      </c>
      <c r="F14" s="0" t="n">
        <f aca="false">IF(Inputs!$B$22=1,B14+Inputs!$B$23,Inputs!$B$23)/12</f>
        <v>0.0042263781189421</v>
      </c>
      <c r="G14" s="0" t="n">
        <f aca="false">IF(Inputs!$B$27=1,B14+Inputs!$B$28,Inputs!$B$28)/12</f>
        <v>0.00518471145227543</v>
      </c>
      <c r="H14" s="0" t="n">
        <f aca="false">IF(Inputs!$B$32=1,B14+Inputs!$B$33,Inputs!$B$33)/12</f>
        <v>0.00625</v>
      </c>
      <c r="I14" s="0" t="n">
        <f aca="false">Pool!BT14*Inputs!$B$14/12</f>
        <v>170028.65880292</v>
      </c>
      <c r="J14" s="0" t="n">
        <f aca="false">C14*F14</f>
        <v>972427.367931543</v>
      </c>
      <c r="K14" s="0" t="n">
        <f aca="false">D14*G14</f>
        <v>207388.458091017</v>
      </c>
      <c r="L14" s="0" t="n">
        <f aca="false">E14*H14</f>
        <v>187500</v>
      </c>
      <c r="M14" s="0" t="n">
        <f aca="false">Inputs!$B$17*(C14*Inputs!$B$22+D14*Inputs!$B$27+E14*Inputs!$B$32)*(B14-Inputs!$B$18)/12</f>
        <v>0</v>
      </c>
      <c r="N14" s="0" t="n">
        <f aca="false">DP13+I14+MAX(-M14,0)</f>
        <v>170028.65880292</v>
      </c>
      <c r="O14" s="0" t="n">
        <f aca="false">DQ13+J14</f>
        <v>972427.367931543</v>
      </c>
      <c r="P14" s="0" t="n">
        <f aca="false">DR13+K14</f>
        <v>207388.458091017</v>
      </c>
      <c r="Q14" s="0" t="n">
        <f aca="false">DS13+L14</f>
        <v>187500</v>
      </c>
      <c r="R14" s="0" t="n">
        <f aca="false">Pool!BV14+MAX(M14,0)</f>
        <v>2478347.40437335</v>
      </c>
      <c r="S14" s="0" t="n">
        <f aca="false">Pool!BW14+Pool!BX14+Pool!BZ14</f>
        <v>8701878.74416993</v>
      </c>
      <c r="T14" s="0" t="n">
        <f aca="false">MAX(T13,BG13)</f>
        <v>1</v>
      </c>
      <c r="U14" s="0" t="n">
        <f aca="false">MIN(C14,S14)</f>
        <v>8701878.74416993</v>
      </c>
      <c r="V14" s="0" t="n">
        <f aca="false">MIN(D14,S14-U14)</f>
        <v>0</v>
      </c>
      <c r="W14" s="0" t="n">
        <f aca="false">MIN(E14,S14-U14-V14)</f>
        <v>0</v>
      </c>
      <c r="X14" s="0" t="n">
        <f aca="false">IF(C14-(0)&gt;Inputs!$B$19,1,0)</f>
        <v>1</v>
      </c>
      <c r="Y14" s="0" t="n">
        <f aca="false">IF(D14-(0)&gt;Inputs!$B$19,1,0)</f>
        <v>1</v>
      </c>
      <c r="Z14" s="0" t="n">
        <f aca="false">IF(E14-(0)&gt;Inputs!$B$19,1,0)</f>
        <v>1</v>
      </c>
      <c r="AA14" s="0" t="n">
        <f aca="false">IF((X14*C14+Y14*D14+Z14*E14)&gt;0,MIN(C14-(0),S14*X14*C14/(X14*C14+Y14*D14+Z14*E14)),0)</f>
        <v>6672017.35251647</v>
      </c>
      <c r="AB14" s="0" t="n">
        <f aca="false">IF((X14*C14+Y14*D14+Z14*E14)&gt;0,MIN(D14-(0),S14*Y14*D14/(X14*C14+Y14*D14+Z14*E14)),0)</f>
        <v>1159920.79523055</v>
      </c>
      <c r="AC14" s="0" t="n">
        <f aca="false">IF((X14*C14+Y14*D14+Z14*E14)&gt;0,MIN(E14-(0),S14*Z14*E14/(X14*C14+Y14*D14+Z14*E14)),0)</f>
        <v>869940.596422911</v>
      </c>
      <c r="AD14" s="0" t="n">
        <f aca="false">IF(C14-(AA14)&gt;Inputs!$B$19,1,0)</f>
        <v>1</v>
      </c>
      <c r="AE14" s="0" t="n">
        <f aca="false">IF(D14-(AB14)&gt;Inputs!$B$19,1,0)</f>
        <v>1</v>
      </c>
      <c r="AF14" s="0" t="n">
        <f aca="false">IF(E14-(AC14)&gt;Inputs!$B$19,1,0)</f>
        <v>1</v>
      </c>
      <c r="AG14" s="0" t="n">
        <f aca="false">IF((AD14*C14+AE14*D14+AF14*E14)&gt;0,MIN(C14-(AA14),(S14-(AA14+AB14+AC14))*AD14*C14/(AD14*C14+AE14*D14+AF14*E14)),0)</f>
        <v>0</v>
      </c>
      <c r="AH14" s="0" t="n">
        <f aca="false">IF((AD14*C14+AE14*D14+AF14*E14)&gt;0,MIN(D14-(AB14),(S14-(AA14+AB14+AC14))*AE14*D14/(AD14*C14+AE14*D14+AF14*E14)),0)</f>
        <v>0</v>
      </c>
      <c r="AI14" s="0" t="n">
        <f aca="false">IF((AD14*C14+AE14*D14+AF14*E14)&gt;0,MIN(E14-(AC14),(S14-(AA14+AB14+AC14))*AF14*E14/(AD14*C14+AE14*D14+AF14*E14)),0)</f>
        <v>0</v>
      </c>
      <c r="AJ14" s="0" t="n">
        <f aca="false">IF(C14-(AA14+AG14)&gt;Inputs!$B$19,1,0)</f>
        <v>1</v>
      </c>
      <c r="AK14" s="0" t="n">
        <f aca="false">IF(D14-(AB14+AH14)&gt;Inputs!$B$19,1,0)</f>
        <v>1</v>
      </c>
      <c r="AL14" s="0" t="n">
        <f aca="false">IF(E14-(AC14+AI14)&gt;Inputs!$B$19,1,0)</f>
        <v>1</v>
      </c>
      <c r="AM14" s="0" t="n">
        <f aca="false">IF((AJ14*C14+AK14*D14+AL14*E14)&gt;0,MIN(C14-(AA14+AG14),(S14-(AA14+AB14+AC14+AG14+AH14+AI14))*AJ14*C14/(AJ14*C14+AK14*D14+AL14*E14)),0)</f>
        <v>0</v>
      </c>
      <c r="AN14" s="0" t="n">
        <f aca="false">IF((AJ14*C14+AK14*D14+AL14*E14)&gt;0,MIN(D14-(AB14+AH14),(S14-(AA14+AB14+AC14+AG14+AH14+AI14))*AK14*D14/(AJ14*C14+AK14*D14+AL14*E14)),0)</f>
        <v>0</v>
      </c>
      <c r="AO14" s="0" t="n">
        <f aca="false">IF((AJ14*C14+AK14*D14+AL14*E14)&gt;0,MIN(E14-(AC14+AI14),(S14-(AA14+AB14+AC14+AG14+AH14+AI14))*AL14*E14/(AJ14*C14+AK14*D14+AL14*E14)),0)</f>
        <v>0</v>
      </c>
      <c r="AP14" s="0" t="n">
        <f aca="false">IF(T14=1,U14,AA14+AG14+AM14)</f>
        <v>8701878.74416993</v>
      </c>
      <c r="AQ14" s="0" t="n">
        <f aca="false">IF(T14=1,V14,AB14+AH14+AN14)</f>
        <v>0</v>
      </c>
      <c r="AR14" s="0" t="n">
        <f aca="false">IF(T14=1,W14,AC14+AI14+AO14)</f>
        <v>0</v>
      </c>
      <c r="AS14" s="0" t="n">
        <f aca="false">S14-AP14-AQ14-AR14</f>
        <v>0</v>
      </c>
      <c r="AT14" s="0" t="n">
        <f aca="false">C14-AP14</f>
        <v>221383395.352164</v>
      </c>
      <c r="AU14" s="0" t="n">
        <f aca="false">D14-AQ14</f>
        <v>40000000</v>
      </c>
      <c r="AV14" s="0" t="n">
        <f aca="false">E14-AR14</f>
        <v>30000000</v>
      </c>
      <c r="AW14" s="0" t="n">
        <f aca="false">Pool!CB14</f>
        <v>318085866.595346</v>
      </c>
      <c r="AX14" s="0" t="n">
        <f aca="false">IF((AT14)&gt;Inputs!$B$19,AW14/(AT14),1000000000)</f>
        <v>1.43680995627225</v>
      </c>
      <c r="AY14" s="0" t="n">
        <f aca="false">IF((J14)&gt;0.000000001,(R14-I14-MAX(-M14,0))/(J14),1000000000)</f>
        <v>2.37376982764324</v>
      </c>
      <c r="AZ14" s="0" t="n">
        <f aca="false">IF(OR(AX14&lt;Inputs!$B$24,AY14&lt;Inputs!$B$25),1,0)</f>
        <v>0</v>
      </c>
      <c r="BA14" s="0" t="n">
        <f aca="false">IF((AT14+AU14)&gt;Inputs!$B$19,AW14/(AT14+AU14),1000000000)</f>
        <v>1.21693218563783</v>
      </c>
      <c r="BB14" s="0" t="n">
        <f aca="false">IF((J14+K14)&gt;0.000000001,(R14-I14-MAX(-M14,0))/(J14+K14),1000000000)</f>
        <v>1.95650769777544</v>
      </c>
      <c r="BC14" s="0" t="n">
        <f aca="false">IF(OR(BA14&lt;Inputs!$B$29,BB14&lt;Inputs!$B$30),1,0)</f>
        <v>0</v>
      </c>
      <c r="BD14" s="0" t="n">
        <f aca="false">IF((AT14+AU14+AV14)&gt;Inputs!$B$19,AW14/(AT14+AU14+AV14),1000000000)</f>
        <v>1.0916403325279</v>
      </c>
      <c r="BE14" s="0" t="n">
        <f aca="false">IF((J14+K14+L14)&gt;0.000000001,(R14-I14-MAX(-M14,0))/(J14+K14+L14),1000000000)</f>
        <v>1.68821182468515</v>
      </c>
      <c r="BF14" s="0" t="n">
        <f aca="false">IF(OR(BD14&lt;Inputs!$B$34,BE14&lt;Inputs!$B$35),1,0)</f>
        <v>0</v>
      </c>
      <c r="BG14" s="0" t="n">
        <f aca="false">MAX(AZ14,BC14,BF14)</f>
        <v>0</v>
      </c>
      <c r="BH14" s="0" t="n">
        <f aca="false">MIN(R14,N14)</f>
        <v>170028.65880292</v>
      </c>
      <c r="BI14" s="0" t="n">
        <f aca="false">R14-BH14</f>
        <v>2308318.74557043</v>
      </c>
      <c r="BJ14" s="0" t="n">
        <f aca="false">MIN(BI14,O14)</f>
        <v>972427.367931543</v>
      </c>
      <c r="BK14" s="0" t="n">
        <f aca="false">BI14-BJ14</f>
        <v>1335891.37763889</v>
      </c>
      <c r="BL14" s="0" t="n">
        <f aca="false">AZ14*MIN(AT14,BK14)</f>
        <v>0</v>
      </c>
      <c r="BM14" s="0" t="n">
        <f aca="false">AZ14*MIN(AU14,BK14-BL14)</f>
        <v>0</v>
      </c>
      <c r="BN14" s="0" t="n">
        <f aca="false">AZ14*MIN(AV14,BK14-BL14-BM14)</f>
        <v>0</v>
      </c>
      <c r="BO14" s="0" t="n">
        <f aca="false">BK14-BL14-BM14-BN14</f>
        <v>1335891.37763889</v>
      </c>
      <c r="BP14" s="0" t="n">
        <f aca="false">MIN(BO14,P14)</f>
        <v>207388.458091017</v>
      </c>
      <c r="BQ14" s="0" t="n">
        <f aca="false">BO14-BP14</f>
        <v>1128502.91954787</v>
      </c>
      <c r="BR14" s="0" t="n">
        <f aca="false">BC14*MIN((AT14-BL14),BQ14)</f>
        <v>0</v>
      </c>
      <c r="BS14" s="0" t="n">
        <f aca="false">BC14*MIN((AU14-BM14),BQ14-BR14)</f>
        <v>0</v>
      </c>
      <c r="BT14" s="0" t="n">
        <f aca="false">BC14*MIN((AV14-BN14),BQ14-BR14-BS14)</f>
        <v>0</v>
      </c>
      <c r="BU14" s="0" t="n">
        <f aca="false">BQ14-BR14-BS14-BT14</f>
        <v>1128502.91954787</v>
      </c>
      <c r="BV14" s="0" t="n">
        <f aca="false">MIN(BU14,Q14)</f>
        <v>187500</v>
      </c>
      <c r="BW14" s="0" t="n">
        <f aca="false">BU14-BV14</f>
        <v>941002.91954787</v>
      </c>
      <c r="BX14" s="0" t="n">
        <f aca="false">BF14*MIN((AT14-BL14-BR14),BW14)</f>
        <v>0</v>
      </c>
      <c r="BY14" s="0" t="n">
        <f aca="false">BF14*MIN((AU14-BM14-BS14),BW14-BX14)</f>
        <v>0</v>
      </c>
      <c r="BZ14" s="0" t="n">
        <f aca="false">BF14*MIN((AV14-BN14-BT14),BW14-BX14-BY14)</f>
        <v>0</v>
      </c>
      <c r="CA14" s="0" t="n">
        <f aca="false">BW14-BX14-BY14-BZ14</f>
        <v>941002.91954787</v>
      </c>
      <c r="CB14" s="0" t="n">
        <f aca="false">MAX(0,AT14+AU14+AV14-BL14-BM14-BN14-BR14-BS14-BT14-BX14-BY14-BZ14-AW14)</f>
        <v>0</v>
      </c>
      <c r="CC14" s="0" t="n">
        <f aca="false">1*MIN((AT14-BL14-BR14-BX14),MIN(CA14,CB14))</f>
        <v>0</v>
      </c>
      <c r="CD14" s="0" t="n">
        <f aca="false">1*MIN((AU14-BM14-BS14-BY14),MIN(CA14,CB14)-CC14)</f>
        <v>0</v>
      </c>
      <c r="CE14" s="0" t="n">
        <f aca="false">1*MIN((AV14-BN14-BT14-BZ14),MIN(CA14,CB14)-CC14-CD14)</f>
        <v>0</v>
      </c>
      <c r="CF14" s="0" t="n">
        <f aca="false">CA14-CC14-CD14-CE14</f>
        <v>941002.91954787</v>
      </c>
      <c r="CG14" s="0" t="n">
        <f aca="false">IF(C14+D14+E14&gt;Inputs!$B$19,MIN(CF14,MAX(0,Inputs!$B$15-DO13)),0)</f>
        <v>0</v>
      </c>
      <c r="CH14" s="0" t="n">
        <f aca="false">CF14-CG14</f>
        <v>941002.91954787</v>
      </c>
      <c r="CI14" s="0" t="n">
        <f aca="false">DO13+CG14</f>
        <v>3000000</v>
      </c>
      <c r="CJ14" s="0" t="n">
        <f aca="false">MIN(MAX(N14-BH14,0),CI14)</f>
        <v>0</v>
      </c>
      <c r="CK14" s="0" t="n">
        <f aca="false">MIN(MAX(O14-BJ14,0),CI14-CJ14)</f>
        <v>0</v>
      </c>
      <c r="CL14" s="0" t="n">
        <f aca="false">MIN(MAX(P14-BP14,0),CI14-CJ14-CK14)</f>
        <v>0</v>
      </c>
      <c r="CM14" s="0" t="n">
        <f aca="false">CJ14+CK14+CL14</f>
        <v>0</v>
      </c>
      <c r="CN14" s="0" t="n">
        <f aca="false">CI14-CM14</f>
        <v>3000000</v>
      </c>
      <c r="CO14" s="0" t="n">
        <f aca="false">BH14+CJ14</f>
        <v>170028.65880292</v>
      </c>
      <c r="CP14" s="0" t="n">
        <f aca="false">BJ14+CK14</f>
        <v>972427.367931543</v>
      </c>
      <c r="CQ14" s="0" t="n">
        <f aca="false">BP14+CL14</f>
        <v>207388.458091017</v>
      </c>
      <c r="CR14" s="0" t="n">
        <f aca="false">BV14</f>
        <v>187500</v>
      </c>
      <c r="CS14" s="0" t="n">
        <f aca="false">AT14-BL14-BR14-BX14-CC14</f>
        <v>221383395.352164</v>
      </c>
      <c r="CT14" s="0" t="n">
        <f aca="false">AU14-BM14-BS14-BY14-CD14</f>
        <v>40000000</v>
      </c>
      <c r="CU14" s="0" t="n">
        <f aca="false">AV14-BN14-BT14-BZ14-CE14</f>
        <v>30000000</v>
      </c>
      <c r="CV14" s="0" t="n">
        <f aca="false">MAX(0,CS14+CT14+CU14-AW14)</f>
        <v>0</v>
      </c>
      <c r="CW14" s="0" t="n">
        <f aca="false">MIN(CU14,CV14)</f>
        <v>0</v>
      </c>
      <c r="CX14" s="0" t="n">
        <f aca="false">MIN(CT14,CV14-CW14)</f>
        <v>0</v>
      </c>
      <c r="CY14" s="0" t="n">
        <f aca="false">MIN(CS14,CV14-CW14-CX14)</f>
        <v>0</v>
      </c>
      <c r="CZ14" s="0" t="n">
        <f aca="false">IF(CS14-CY14&lt;Inputs!$B$19,0,CS14-CY14)</f>
        <v>221383395.352164</v>
      </c>
      <c r="DA14" s="0" t="n">
        <f aca="false">IF(CT14-CX14&lt;Inputs!$B$19,0,CT14-CX14)</f>
        <v>40000000</v>
      </c>
      <c r="DB14" s="0" t="n">
        <f aca="false">IF(CU14-CW14&lt;Inputs!$B$19,0,CU14-CW14)</f>
        <v>30000000</v>
      </c>
      <c r="DC14" s="0" t="n">
        <f aca="false">N14-CO14</f>
        <v>0</v>
      </c>
      <c r="DD14" s="0" t="n">
        <f aca="false">O14-CP14</f>
        <v>0</v>
      </c>
      <c r="DE14" s="0" t="n">
        <f aca="false">P14-CQ14</f>
        <v>0</v>
      </c>
      <c r="DF14" s="0" t="n">
        <f aca="false">Q14-CR14</f>
        <v>0</v>
      </c>
      <c r="DG14" s="0" t="n">
        <f aca="false">IF(CZ14+DA14+DB14&lt;=Inputs!$B$19,1,0)</f>
        <v>0</v>
      </c>
      <c r="DH14" s="0" t="n">
        <f aca="false">DG14*CN14</f>
        <v>0</v>
      </c>
      <c r="DI14" s="0" t="n">
        <f aca="false">DG14*(AS14+DH14)</f>
        <v>0</v>
      </c>
      <c r="DJ14" s="0" t="n">
        <f aca="false">DG14*MIN(DC14,DI14)</f>
        <v>0</v>
      </c>
      <c r="DK14" s="0" t="n">
        <f aca="false">DG14*MIN(DD14,DI14-DJ14)</f>
        <v>0</v>
      </c>
      <c r="DL14" s="0" t="n">
        <f aca="false">DG14*MIN(DE14,DI14-DJ14-DK14)</f>
        <v>0</v>
      </c>
      <c r="DM14" s="0" t="n">
        <f aca="false">DG14*MIN(DF14,DI14-DJ14-DK14-DL14)</f>
        <v>0</v>
      </c>
      <c r="DN14" s="0" t="n">
        <f aca="false">DJ14+DK14+DL14+DM14</f>
        <v>0</v>
      </c>
      <c r="DO14" s="0" t="n">
        <f aca="false">CN14-DH14</f>
        <v>3000000</v>
      </c>
      <c r="DP14" s="0" t="n">
        <f aca="false">DC14-DJ14</f>
        <v>0</v>
      </c>
      <c r="DQ14" s="0" t="n">
        <f aca="false">DD14-DK14</f>
        <v>0</v>
      </c>
      <c r="DR14" s="0" t="n">
        <f aca="false">DE14-DL14</f>
        <v>0</v>
      </c>
      <c r="DS14" s="0" t="n">
        <f aca="false">DF14-DM14</f>
        <v>0</v>
      </c>
      <c r="DT14" s="0" t="n">
        <f aca="false">CO14+DJ14</f>
        <v>170028.65880292</v>
      </c>
      <c r="DU14" s="0" t="n">
        <f aca="false">CP14+DK14</f>
        <v>972427.367931543</v>
      </c>
      <c r="DV14" s="0" t="n">
        <f aca="false">AP14+BL14+BR14+BX14+CC14</f>
        <v>8701878.74416993</v>
      </c>
      <c r="DW14" s="0" t="n">
        <f aca="false">CQ14+DL14</f>
        <v>207388.458091017</v>
      </c>
      <c r="DX14" s="0" t="n">
        <f aca="false">AQ14+BM14+BS14+BY14+CD14</f>
        <v>0</v>
      </c>
      <c r="DY14" s="0" t="n">
        <f aca="false">CR14+DM14</f>
        <v>187500</v>
      </c>
      <c r="DZ14" s="0" t="n">
        <f aca="false">AR14+BN14+BT14+BZ14+CE14</f>
        <v>0</v>
      </c>
      <c r="EA14" s="0" t="n">
        <f aca="false">DI14-DN14</f>
        <v>0</v>
      </c>
      <c r="EB14" s="0" t="n">
        <f aca="false">CH14+EA14</f>
        <v>941002.91954787</v>
      </c>
      <c r="EC14" s="0" t="n">
        <f aca="false">R14-I14-MAX(-M14,0)-J14-K14-L14</f>
        <v>941002.91954787</v>
      </c>
      <c r="ED14" s="0" t="n">
        <f aca="false">R14+S14+CM14+DH14-CG14-DT14-DU14-DW14-DY14-DV14-DX14-DZ14-EB14</f>
        <v>0</v>
      </c>
      <c r="EE14" s="0" t="n">
        <f aca="false">IF(AND(EB14&gt;0.000001,DP14+DQ14+DR14+DS14&gt;0.000001),1,0)</f>
        <v>0</v>
      </c>
    </row>
    <row r="15" customFormat="false" ht="15" hidden="false" customHeight="false" outlineLevel="0" collapsed="false">
      <c r="A15" s="0" t="n">
        <f aca="false">ROW()-5</f>
        <v>10</v>
      </c>
      <c r="B15" s="0" t="n">
        <f aca="false">Inputs!$B$11+(Inputs!$B$12-Inputs!$B$11)*(1-EXP(-A15/Inputs!$B$13))+Inputs!$B$8</f>
        <v>0.0394220266171047</v>
      </c>
      <c r="C15" s="0" t="n">
        <f aca="false">CZ14</f>
        <v>221383395.352164</v>
      </c>
      <c r="D15" s="0" t="n">
        <f aca="false">DA14</f>
        <v>40000000</v>
      </c>
      <c r="E15" s="0" t="n">
        <f aca="false">DB14</f>
        <v>30000000</v>
      </c>
      <c r="F15" s="0" t="n">
        <f aca="false">IF(Inputs!$B$22=1,B15+Inputs!$B$23,Inputs!$B$23)/12</f>
        <v>0.00420183555142539</v>
      </c>
      <c r="G15" s="0" t="n">
        <f aca="false">IF(Inputs!$B$27=1,B15+Inputs!$B$28,Inputs!$B$28)/12</f>
        <v>0.00516016888475872</v>
      </c>
      <c r="H15" s="0" t="n">
        <f aca="false">IF(Inputs!$B$32=1,B15+Inputs!$B$33,Inputs!$B$33)/12</f>
        <v>0.00625</v>
      </c>
      <c r="I15" s="0" t="n">
        <f aca="false">Pool!BT15*Inputs!$B$14/12</f>
        <v>165332.731541907</v>
      </c>
      <c r="J15" s="0" t="n">
        <f aca="false">C15*F15</f>
        <v>930216.621085986</v>
      </c>
      <c r="K15" s="0" t="n">
        <f aca="false">D15*G15</f>
        <v>206406.755390349</v>
      </c>
      <c r="L15" s="0" t="n">
        <f aca="false">E15*H15</f>
        <v>187500</v>
      </c>
      <c r="M15" s="0" t="n">
        <f aca="false">Inputs!$B$17*(C15*Inputs!$B$22+D15*Inputs!$B$27+E15*Inputs!$B$32)*(B15-Inputs!$B$18)/12</f>
        <v>0</v>
      </c>
      <c r="N15" s="0" t="n">
        <f aca="false">DP14+I15+MAX(-M15,0)</f>
        <v>165332.731541907</v>
      </c>
      <c r="O15" s="0" t="n">
        <f aca="false">DQ14+J15</f>
        <v>930216.621085986</v>
      </c>
      <c r="P15" s="0" t="n">
        <f aca="false">DR14+K15</f>
        <v>206406.755390349</v>
      </c>
      <c r="Q15" s="0" t="n">
        <f aca="false">DS14+L15</f>
        <v>187500</v>
      </c>
      <c r="R15" s="0" t="n">
        <f aca="false">Pool!BV15+MAX(M15,0)</f>
        <v>2411948.55914067</v>
      </c>
      <c r="S15" s="0" t="n">
        <f aca="false">Pool!BW15+Pool!BX15+Pool!BZ15</f>
        <v>8587642.74837467</v>
      </c>
      <c r="T15" s="0" t="n">
        <f aca="false">MAX(T14,BG14)</f>
        <v>1</v>
      </c>
      <c r="U15" s="0" t="n">
        <f aca="false">MIN(C15,S15)</f>
        <v>8587642.74837467</v>
      </c>
      <c r="V15" s="0" t="n">
        <f aca="false">MIN(D15,S15-U15)</f>
        <v>0</v>
      </c>
      <c r="W15" s="0" t="n">
        <f aca="false">MIN(E15,S15-U15-V15)</f>
        <v>0</v>
      </c>
      <c r="X15" s="0" t="n">
        <f aca="false">IF(C15-(0)&gt;Inputs!$B$19,1,0)</f>
        <v>1</v>
      </c>
      <c r="Y15" s="0" t="n">
        <f aca="false">IF(D15-(0)&gt;Inputs!$B$19,1,0)</f>
        <v>1</v>
      </c>
      <c r="Z15" s="0" t="n">
        <f aca="false">IF(E15-(0)&gt;Inputs!$B$19,1,0)</f>
        <v>1</v>
      </c>
      <c r="AA15" s="0" t="n">
        <f aca="false">IF((X15*C15+Y15*D15+Z15*E15)&gt;0,MIN(C15-(0),S15*X15*C15/(X15*C15+Y15*D15+Z15*E15)),0)</f>
        <v>6524604.83346638</v>
      </c>
      <c r="AB15" s="0" t="n">
        <f aca="false">IF((X15*C15+Y15*D15+Z15*E15)&gt;0,MIN(D15-(0),S15*Y15*D15/(X15*C15+Y15*D15+Z15*E15)),0)</f>
        <v>1178878.80851902</v>
      </c>
      <c r="AC15" s="0" t="n">
        <f aca="false">IF((X15*C15+Y15*D15+Z15*E15)&gt;0,MIN(E15-(0),S15*Z15*E15/(X15*C15+Y15*D15+Z15*E15)),0)</f>
        <v>884159.106389266</v>
      </c>
      <c r="AD15" s="0" t="n">
        <f aca="false">IF(C15-(AA15)&gt;Inputs!$B$19,1,0)</f>
        <v>1</v>
      </c>
      <c r="AE15" s="0" t="n">
        <f aca="false">IF(D15-(AB15)&gt;Inputs!$B$19,1,0)</f>
        <v>1</v>
      </c>
      <c r="AF15" s="0" t="n">
        <f aca="false">IF(E15-(AC15)&gt;Inputs!$B$19,1,0)</f>
        <v>1</v>
      </c>
      <c r="AG15" s="0" t="n">
        <f aca="false">IF((AD15*C15+AE15*D15+AF15*E15)&gt;0,MIN(C15-(AA15),(S15-(AA15+AB15+AC15))*AD15*C15/(AD15*C15+AE15*D15+AF15*E15)),0)</f>
        <v>0</v>
      </c>
      <c r="AH15" s="0" t="n">
        <f aca="false">IF((AD15*C15+AE15*D15+AF15*E15)&gt;0,MIN(D15-(AB15),(S15-(AA15+AB15+AC15))*AE15*D15/(AD15*C15+AE15*D15+AF15*E15)),0)</f>
        <v>0</v>
      </c>
      <c r="AI15" s="0" t="n">
        <f aca="false">IF((AD15*C15+AE15*D15+AF15*E15)&gt;0,MIN(E15-(AC15),(S15-(AA15+AB15+AC15))*AF15*E15/(AD15*C15+AE15*D15+AF15*E15)),0)</f>
        <v>0</v>
      </c>
      <c r="AJ15" s="0" t="n">
        <f aca="false">IF(C15-(AA15+AG15)&gt;Inputs!$B$19,1,0)</f>
        <v>1</v>
      </c>
      <c r="AK15" s="0" t="n">
        <f aca="false">IF(D15-(AB15+AH15)&gt;Inputs!$B$19,1,0)</f>
        <v>1</v>
      </c>
      <c r="AL15" s="0" t="n">
        <f aca="false">IF(E15-(AC15+AI15)&gt;Inputs!$B$19,1,0)</f>
        <v>1</v>
      </c>
      <c r="AM15" s="0" t="n">
        <f aca="false">IF((AJ15*C15+AK15*D15+AL15*E15)&gt;0,MIN(C15-(AA15+AG15),(S15-(AA15+AB15+AC15+AG15+AH15+AI15))*AJ15*C15/(AJ15*C15+AK15*D15+AL15*E15)),0)</f>
        <v>0</v>
      </c>
      <c r="AN15" s="0" t="n">
        <f aca="false">IF((AJ15*C15+AK15*D15+AL15*E15)&gt;0,MIN(D15-(AB15+AH15),(S15-(AA15+AB15+AC15+AG15+AH15+AI15))*AK15*D15/(AJ15*C15+AK15*D15+AL15*E15)),0)</f>
        <v>0</v>
      </c>
      <c r="AO15" s="0" t="n">
        <f aca="false">IF((AJ15*C15+AK15*D15+AL15*E15)&gt;0,MIN(E15-(AC15+AI15),(S15-(AA15+AB15+AC15+AG15+AH15+AI15))*AL15*E15/(AJ15*C15+AK15*D15+AL15*E15)),0)</f>
        <v>0</v>
      </c>
      <c r="AP15" s="0" t="n">
        <f aca="false">IF(T15=1,U15,AA15+AG15+AM15)</f>
        <v>8587642.74837467</v>
      </c>
      <c r="AQ15" s="0" t="n">
        <f aca="false">IF(T15=1,V15,AB15+AH15+AN15)</f>
        <v>0</v>
      </c>
      <c r="AR15" s="0" t="n">
        <f aca="false">IF(T15=1,W15,AC15+AI15+AO15)</f>
        <v>0</v>
      </c>
      <c r="AS15" s="0" t="n">
        <f aca="false">S15-AP15-AQ15-AR15</f>
        <v>0</v>
      </c>
      <c r="AT15" s="0" t="n">
        <f aca="false">C15-AP15</f>
        <v>212795752.60379</v>
      </c>
      <c r="AU15" s="0" t="n">
        <f aca="false">D15-AQ15</f>
        <v>40000000</v>
      </c>
      <c r="AV15" s="0" t="n">
        <f aca="false">E15-AR15</f>
        <v>30000000</v>
      </c>
      <c r="AW15" s="0" t="n">
        <f aca="false">Pool!CB15</f>
        <v>309178889.361701</v>
      </c>
      <c r="AX15" s="0" t="n">
        <f aca="false">IF((AT15)&gt;Inputs!$B$19,AW15/(AT15),1000000000)</f>
        <v>1.45293731467174</v>
      </c>
      <c r="AY15" s="0" t="n">
        <f aca="false">IF((J15)&gt;0.000000001,(R15-I15-MAX(-M15,0))/(J15),1000000000)</f>
        <v>2.41515339187977</v>
      </c>
      <c r="AZ15" s="0" t="n">
        <f aca="false">IF(OR(AX15&lt;Inputs!$B$24,AY15&lt;Inputs!$B$25),1,0)</f>
        <v>0</v>
      </c>
      <c r="BA15" s="0" t="n">
        <f aca="false">IF((AT15+AU15)&gt;Inputs!$B$19,AW15/(AT15+AU15),1000000000)</f>
        <v>1.22303830731793</v>
      </c>
      <c r="BB15" s="0" t="n">
        <f aca="false">IF((J15+K15)&gt;0.000000001,(R15-I15-MAX(-M15,0))/(J15+K15),1000000000)</f>
        <v>1.97657014108185</v>
      </c>
      <c r="BC15" s="0" t="n">
        <f aca="false">IF(OR(BA15&lt;Inputs!$B$29,BB15&lt;Inputs!$B$30),1,0)</f>
        <v>0</v>
      </c>
      <c r="BD15" s="0" t="n">
        <f aca="false">IF((AT15+AU15+AV15)&gt;Inputs!$B$19,AW15/(AT15+AU15+AV15),1000000000)</f>
        <v>1.09329396398282</v>
      </c>
      <c r="BE15" s="0" t="n">
        <f aca="false">IF((J15+K15+L15)&gt;0.000000001,(R15-I15-MAX(-M15,0))/(J15+K15+L15),1000000000)</f>
        <v>1.69668164425682</v>
      </c>
      <c r="BF15" s="0" t="n">
        <f aca="false">IF(OR(BD15&lt;Inputs!$B$34,BE15&lt;Inputs!$B$35),1,0)</f>
        <v>0</v>
      </c>
      <c r="BG15" s="0" t="n">
        <f aca="false">MAX(AZ15,BC15,BF15)</f>
        <v>0</v>
      </c>
      <c r="BH15" s="0" t="n">
        <f aca="false">MIN(R15,N15)</f>
        <v>165332.731541907</v>
      </c>
      <c r="BI15" s="0" t="n">
        <f aca="false">R15-BH15</f>
        <v>2246615.82759876</v>
      </c>
      <c r="BJ15" s="0" t="n">
        <f aca="false">MIN(BI15,O15)</f>
        <v>930216.621085986</v>
      </c>
      <c r="BK15" s="0" t="n">
        <f aca="false">BI15-BJ15</f>
        <v>1316399.20651278</v>
      </c>
      <c r="BL15" s="0" t="n">
        <f aca="false">AZ15*MIN(AT15,BK15)</f>
        <v>0</v>
      </c>
      <c r="BM15" s="0" t="n">
        <f aca="false">AZ15*MIN(AU15,BK15-BL15)</f>
        <v>0</v>
      </c>
      <c r="BN15" s="0" t="n">
        <f aca="false">AZ15*MIN(AV15,BK15-BL15-BM15)</f>
        <v>0</v>
      </c>
      <c r="BO15" s="0" t="n">
        <f aca="false">BK15-BL15-BM15-BN15</f>
        <v>1316399.20651278</v>
      </c>
      <c r="BP15" s="0" t="n">
        <f aca="false">MIN(BO15,P15)</f>
        <v>206406.755390349</v>
      </c>
      <c r="BQ15" s="0" t="n">
        <f aca="false">BO15-BP15</f>
        <v>1109992.45112243</v>
      </c>
      <c r="BR15" s="0" t="n">
        <f aca="false">BC15*MIN((AT15-BL15),BQ15)</f>
        <v>0</v>
      </c>
      <c r="BS15" s="0" t="n">
        <f aca="false">BC15*MIN((AU15-BM15),BQ15-BR15)</f>
        <v>0</v>
      </c>
      <c r="BT15" s="0" t="n">
        <f aca="false">BC15*MIN((AV15-BN15),BQ15-BR15-BS15)</f>
        <v>0</v>
      </c>
      <c r="BU15" s="0" t="n">
        <f aca="false">BQ15-BR15-BS15-BT15</f>
        <v>1109992.45112243</v>
      </c>
      <c r="BV15" s="0" t="n">
        <f aca="false">MIN(BU15,Q15)</f>
        <v>187500</v>
      </c>
      <c r="BW15" s="0" t="n">
        <f aca="false">BU15-BV15</f>
        <v>922492.451122427</v>
      </c>
      <c r="BX15" s="0" t="n">
        <f aca="false">BF15*MIN((AT15-BL15-BR15),BW15)</f>
        <v>0</v>
      </c>
      <c r="BY15" s="0" t="n">
        <f aca="false">BF15*MIN((AU15-BM15-BS15),BW15-BX15)</f>
        <v>0</v>
      </c>
      <c r="BZ15" s="0" t="n">
        <f aca="false">BF15*MIN((AV15-BN15-BT15),BW15-BX15-BY15)</f>
        <v>0</v>
      </c>
      <c r="CA15" s="0" t="n">
        <f aca="false">BW15-BX15-BY15-BZ15</f>
        <v>922492.451122427</v>
      </c>
      <c r="CB15" s="0" t="n">
        <f aca="false">MAX(0,AT15+AU15+AV15-BL15-BM15-BN15-BR15-BS15-BT15-BX15-BY15-BZ15-AW15)</f>
        <v>0</v>
      </c>
      <c r="CC15" s="0" t="n">
        <f aca="false">1*MIN((AT15-BL15-BR15-BX15),MIN(CA15,CB15))</f>
        <v>0</v>
      </c>
      <c r="CD15" s="0" t="n">
        <f aca="false">1*MIN((AU15-BM15-BS15-BY15),MIN(CA15,CB15)-CC15)</f>
        <v>0</v>
      </c>
      <c r="CE15" s="0" t="n">
        <f aca="false">1*MIN((AV15-BN15-BT15-BZ15),MIN(CA15,CB15)-CC15-CD15)</f>
        <v>0</v>
      </c>
      <c r="CF15" s="0" t="n">
        <f aca="false">CA15-CC15-CD15-CE15</f>
        <v>922492.451122427</v>
      </c>
      <c r="CG15" s="0" t="n">
        <f aca="false">IF(C15+D15+E15&gt;Inputs!$B$19,MIN(CF15,MAX(0,Inputs!$B$15-DO14)),0)</f>
        <v>0</v>
      </c>
      <c r="CH15" s="0" t="n">
        <f aca="false">CF15-CG15</f>
        <v>922492.451122427</v>
      </c>
      <c r="CI15" s="0" t="n">
        <f aca="false">DO14+CG15</f>
        <v>3000000</v>
      </c>
      <c r="CJ15" s="0" t="n">
        <f aca="false">MIN(MAX(N15-BH15,0),CI15)</f>
        <v>0</v>
      </c>
      <c r="CK15" s="0" t="n">
        <f aca="false">MIN(MAX(O15-BJ15,0),CI15-CJ15)</f>
        <v>0</v>
      </c>
      <c r="CL15" s="0" t="n">
        <f aca="false">MIN(MAX(P15-BP15,0),CI15-CJ15-CK15)</f>
        <v>0</v>
      </c>
      <c r="CM15" s="0" t="n">
        <f aca="false">CJ15+CK15+CL15</f>
        <v>0</v>
      </c>
      <c r="CN15" s="0" t="n">
        <f aca="false">CI15-CM15</f>
        <v>3000000</v>
      </c>
      <c r="CO15" s="0" t="n">
        <f aca="false">BH15+CJ15</f>
        <v>165332.731541907</v>
      </c>
      <c r="CP15" s="0" t="n">
        <f aca="false">BJ15+CK15</f>
        <v>930216.621085986</v>
      </c>
      <c r="CQ15" s="0" t="n">
        <f aca="false">BP15+CL15</f>
        <v>206406.755390349</v>
      </c>
      <c r="CR15" s="0" t="n">
        <f aca="false">BV15</f>
        <v>187500</v>
      </c>
      <c r="CS15" s="0" t="n">
        <f aca="false">AT15-BL15-BR15-BX15-CC15</f>
        <v>212795752.60379</v>
      </c>
      <c r="CT15" s="0" t="n">
        <f aca="false">AU15-BM15-BS15-BY15-CD15</f>
        <v>40000000</v>
      </c>
      <c r="CU15" s="0" t="n">
        <f aca="false">AV15-BN15-BT15-BZ15-CE15</f>
        <v>30000000</v>
      </c>
      <c r="CV15" s="0" t="n">
        <f aca="false">MAX(0,CS15+CT15+CU15-AW15)</f>
        <v>0</v>
      </c>
      <c r="CW15" s="0" t="n">
        <f aca="false">MIN(CU15,CV15)</f>
        <v>0</v>
      </c>
      <c r="CX15" s="0" t="n">
        <f aca="false">MIN(CT15,CV15-CW15)</f>
        <v>0</v>
      </c>
      <c r="CY15" s="0" t="n">
        <f aca="false">MIN(CS15,CV15-CW15-CX15)</f>
        <v>0</v>
      </c>
      <c r="CZ15" s="0" t="n">
        <f aca="false">IF(CS15-CY15&lt;Inputs!$B$19,0,CS15-CY15)</f>
        <v>212795752.60379</v>
      </c>
      <c r="DA15" s="0" t="n">
        <f aca="false">IF(CT15-CX15&lt;Inputs!$B$19,0,CT15-CX15)</f>
        <v>40000000</v>
      </c>
      <c r="DB15" s="0" t="n">
        <f aca="false">IF(CU15-CW15&lt;Inputs!$B$19,0,CU15-CW15)</f>
        <v>30000000</v>
      </c>
      <c r="DC15" s="0" t="n">
        <f aca="false">N15-CO15</f>
        <v>0</v>
      </c>
      <c r="DD15" s="0" t="n">
        <f aca="false">O15-CP15</f>
        <v>0</v>
      </c>
      <c r="DE15" s="0" t="n">
        <f aca="false">P15-CQ15</f>
        <v>0</v>
      </c>
      <c r="DF15" s="0" t="n">
        <f aca="false">Q15-CR15</f>
        <v>0</v>
      </c>
      <c r="DG15" s="0" t="n">
        <f aca="false">IF(CZ15+DA15+DB15&lt;=Inputs!$B$19,1,0)</f>
        <v>0</v>
      </c>
      <c r="DH15" s="0" t="n">
        <f aca="false">DG15*CN15</f>
        <v>0</v>
      </c>
      <c r="DI15" s="0" t="n">
        <f aca="false">DG15*(AS15+DH15)</f>
        <v>0</v>
      </c>
      <c r="DJ15" s="0" t="n">
        <f aca="false">DG15*MIN(DC15,DI15)</f>
        <v>0</v>
      </c>
      <c r="DK15" s="0" t="n">
        <f aca="false">DG15*MIN(DD15,DI15-DJ15)</f>
        <v>0</v>
      </c>
      <c r="DL15" s="0" t="n">
        <f aca="false">DG15*MIN(DE15,DI15-DJ15-DK15)</f>
        <v>0</v>
      </c>
      <c r="DM15" s="0" t="n">
        <f aca="false">DG15*MIN(DF15,DI15-DJ15-DK15-DL15)</f>
        <v>0</v>
      </c>
      <c r="DN15" s="0" t="n">
        <f aca="false">DJ15+DK15+DL15+DM15</f>
        <v>0</v>
      </c>
      <c r="DO15" s="0" t="n">
        <f aca="false">CN15-DH15</f>
        <v>3000000</v>
      </c>
      <c r="DP15" s="0" t="n">
        <f aca="false">DC15-DJ15</f>
        <v>0</v>
      </c>
      <c r="DQ15" s="0" t="n">
        <f aca="false">DD15-DK15</f>
        <v>0</v>
      </c>
      <c r="DR15" s="0" t="n">
        <f aca="false">DE15-DL15</f>
        <v>0</v>
      </c>
      <c r="DS15" s="0" t="n">
        <f aca="false">DF15-DM15</f>
        <v>0</v>
      </c>
      <c r="DT15" s="0" t="n">
        <f aca="false">CO15+DJ15</f>
        <v>165332.731541907</v>
      </c>
      <c r="DU15" s="0" t="n">
        <f aca="false">CP15+DK15</f>
        <v>930216.621085986</v>
      </c>
      <c r="DV15" s="0" t="n">
        <f aca="false">AP15+BL15+BR15+BX15+CC15</f>
        <v>8587642.74837467</v>
      </c>
      <c r="DW15" s="0" t="n">
        <f aca="false">CQ15+DL15</f>
        <v>206406.755390349</v>
      </c>
      <c r="DX15" s="0" t="n">
        <f aca="false">AQ15+BM15+BS15+BY15+CD15</f>
        <v>0</v>
      </c>
      <c r="DY15" s="0" t="n">
        <f aca="false">CR15+DM15</f>
        <v>187500</v>
      </c>
      <c r="DZ15" s="0" t="n">
        <f aca="false">AR15+BN15+BT15+BZ15+CE15</f>
        <v>0</v>
      </c>
      <c r="EA15" s="0" t="n">
        <f aca="false">DI15-DN15</f>
        <v>0</v>
      </c>
      <c r="EB15" s="0" t="n">
        <f aca="false">CH15+EA15</f>
        <v>922492.451122427</v>
      </c>
      <c r="EC15" s="0" t="n">
        <f aca="false">R15-I15-MAX(-M15,0)-J15-K15-L15</f>
        <v>922492.451122427</v>
      </c>
      <c r="ED15" s="0" t="n">
        <f aca="false">R15+S15+CM15+DH15-CG15-DT15-DU15-DW15-DY15-DV15-DX15-DZ15-EB15</f>
        <v>0</v>
      </c>
      <c r="EE15" s="0" t="n">
        <f aca="false">IF(AND(EB15&gt;0.000001,DP15+DQ15+DR15+DS15&gt;0.000001),1,0)</f>
        <v>0</v>
      </c>
    </row>
    <row r="16" customFormat="false" ht="15" hidden="false" customHeight="false" outlineLevel="0" collapsed="false">
      <c r="A16" s="0" t="n">
        <f aca="false">ROW()-5</f>
        <v>11</v>
      </c>
      <c r="B16" s="0" t="n">
        <f aca="false">Inputs!$B$11+(Inputs!$B$12-Inputs!$B$11)*(1-EXP(-A16/Inputs!$B$13))+Inputs!$B$8</f>
        <v>0.0391395349529556</v>
      </c>
      <c r="C16" s="0" t="n">
        <f aca="false">CZ15</f>
        <v>212795752.60379</v>
      </c>
      <c r="D16" s="0" t="n">
        <f aca="false">DA15</f>
        <v>40000000</v>
      </c>
      <c r="E16" s="0" t="n">
        <f aca="false">DB15</f>
        <v>30000000</v>
      </c>
      <c r="F16" s="0" t="n">
        <f aca="false">IF(Inputs!$B$22=1,B16+Inputs!$B$23,Inputs!$B$23)/12</f>
        <v>0.00417829457941297</v>
      </c>
      <c r="G16" s="0" t="n">
        <f aca="false">IF(Inputs!$B$27=1,B16+Inputs!$B$28,Inputs!$B$28)/12</f>
        <v>0.0051366279127463</v>
      </c>
      <c r="H16" s="0" t="n">
        <f aca="false">IF(Inputs!$B$32=1,B16+Inputs!$B$33,Inputs!$B$33)/12</f>
        <v>0.00625</v>
      </c>
      <c r="I16" s="0" t="n">
        <f aca="false">Pool!BT16*Inputs!$B$14/12</f>
        <v>160700.929350237</v>
      </c>
      <c r="J16" s="0" t="n">
        <f aca="false">C16*F16</f>
        <v>889123.339626518</v>
      </c>
      <c r="K16" s="0" t="n">
        <f aca="false">D16*G16</f>
        <v>205465.116509852</v>
      </c>
      <c r="L16" s="0" t="n">
        <f aca="false">E16*H16</f>
        <v>187500</v>
      </c>
      <c r="M16" s="0" t="n">
        <f aca="false">Inputs!$B$17*(C16*Inputs!$B$22+D16*Inputs!$B$27+E16*Inputs!$B$32)*(B16-Inputs!$B$18)/12</f>
        <v>0</v>
      </c>
      <c r="N16" s="0" t="n">
        <f aca="false">DP15+I16+MAX(-M16,0)</f>
        <v>160700.929350237</v>
      </c>
      <c r="O16" s="0" t="n">
        <f aca="false">DQ15+J16</f>
        <v>889123.339626518</v>
      </c>
      <c r="P16" s="0" t="n">
        <f aca="false">DR15+K16</f>
        <v>205465.116509852</v>
      </c>
      <c r="Q16" s="0" t="n">
        <f aca="false">DS15+L16</f>
        <v>187500</v>
      </c>
      <c r="R16" s="0" t="n">
        <f aca="false">Pool!BV16+MAX(M16,0)</f>
        <v>2346447.89413467</v>
      </c>
      <c r="S16" s="0" t="n">
        <f aca="false">Pool!BW16+Pool!BX16+Pool!BZ16</f>
        <v>8474763.6219541</v>
      </c>
      <c r="T16" s="0" t="n">
        <f aca="false">MAX(T15,BG15)</f>
        <v>1</v>
      </c>
      <c r="U16" s="0" t="n">
        <f aca="false">MIN(C16,S16)</f>
        <v>8474763.6219541</v>
      </c>
      <c r="V16" s="0" t="n">
        <f aca="false">MIN(D16,S16-U16)</f>
        <v>0</v>
      </c>
      <c r="W16" s="0" t="n">
        <f aca="false">MIN(E16,S16-U16-V16)</f>
        <v>0</v>
      </c>
      <c r="X16" s="0" t="n">
        <f aca="false">IF(C16-(0)&gt;Inputs!$B$19,1,0)</f>
        <v>1</v>
      </c>
      <c r="Y16" s="0" t="n">
        <f aca="false">IF(D16-(0)&gt;Inputs!$B$19,1,0)</f>
        <v>1</v>
      </c>
      <c r="Z16" s="0" t="n">
        <f aca="false">IF(E16-(0)&gt;Inputs!$B$19,1,0)</f>
        <v>1</v>
      </c>
      <c r="AA16" s="0" t="n">
        <f aca="false">IF((X16*C16+Y16*D16+Z16*E16)&gt;0,MIN(C16-(0),S16*X16*C16/(X16*C16+Y16*D16+Z16*E16)),0)</f>
        <v>6377018.34793672</v>
      </c>
      <c r="AB16" s="0" t="n">
        <f aca="false">IF((X16*C16+Y16*D16+Z16*E16)&gt;0,MIN(D16-(0),S16*Y16*D16/(X16*C16+Y16*D16+Z16*E16)),0)</f>
        <v>1198711.58515279</v>
      </c>
      <c r="AC16" s="0" t="n">
        <f aca="false">IF((X16*C16+Y16*D16+Z16*E16)&gt;0,MIN(E16-(0),S16*Z16*E16/(X16*C16+Y16*D16+Z16*E16)),0)</f>
        <v>899033.688864589</v>
      </c>
      <c r="AD16" s="0" t="n">
        <f aca="false">IF(C16-(AA16)&gt;Inputs!$B$19,1,0)</f>
        <v>1</v>
      </c>
      <c r="AE16" s="0" t="n">
        <f aca="false">IF(D16-(AB16)&gt;Inputs!$B$19,1,0)</f>
        <v>1</v>
      </c>
      <c r="AF16" s="0" t="n">
        <f aca="false">IF(E16-(AC16)&gt;Inputs!$B$19,1,0)</f>
        <v>1</v>
      </c>
      <c r="AG16" s="0" t="n">
        <f aca="false">IF((AD16*C16+AE16*D16+AF16*E16)&gt;0,MIN(C16-(AA16),(S16-(AA16+AB16+AC16))*AD16*C16/(AD16*C16+AE16*D16+AF16*E16)),0)</f>
        <v>0</v>
      </c>
      <c r="AH16" s="0" t="n">
        <f aca="false">IF((AD16*C16+AE16*D16+AF16*E16)&gt;0,MIN(D16-(AB16),(S16-(AA16+AB16+AC16))*AE16*D16/(AD16*C16+AE16*D16+AF16*E16)),0)</f>
        <v>0</v>
      </c>
      <c r="AI16" s="0" t="n">
        <f aca="false">IF((AD16*C16+AE16*D16+AF16*E16)&gt;0,MIN(E16-(AC16),(S16-(AA16+AB16+AC16))*AF16*E16/(AD16*C16+AE16*D16+AF16*E16)),0)</f>
        <v>0</v>
      </c>
      <c r="AJ16" s="0" t="n">
        <f aca="false">IF(C16-(AA16+AG16)&gt;Inputs!$B$19,1,0)</f>
        <v>1</v>
      </c>
      <c r="AK16" s="0" t="n">
        <f aca="false">IF(D16-(AB16+AH16)&gt;Inputs!$B$19,1,0)</f>
        <v>1</v>
      </c>
      <c r="AL16" s="0" t="n">
        <f aca="false">IF(E16-(AC16+AI16)&gt;Inputs!$B$19,1,0)</f>
        <v>1</v>
      </c>
      <c r="AM16" s="0" t="n">
        <f aca="false">IF((AJ16*C16+AK16*D16+AL16*E16)&gt;0,MIN(C16-(AA16+AG16),(S16-(AA16+AB16+AC16+AG16+AH16+AI16))*AJ16*C16/(AJ16*C16+AK16*D16+AL16*E16)),0)</f>
        <v>0</v>
      </c>
      <c r="AN16" s="0" t="n">
        <f aca="false">IF((AJ16*C16+AK16*D16+AL16*E16)&gt;0,MIN(D16-(AB16+AH16),(S16-(AA16+AB16+AC16+AG16+AH16+AI16))*AK16*D16/(AJ16*C16+AK16*D16+AL16*E16)),0)</f>
        <v>0</v>
      </c>
      <c r="AO16" s="0" t="n">
        <f aca="false">IF((AJ16*C16+AK16*D16+AL16*E16)&gt;0,MIN(E16-(AC16+AI16),(S16-(AA16+AB16+AC16+AG16+AH16+AI16))*AL16*E16/(AJ16*C16+AK16*D16+AL16*E16)),0)</f>
        <v>0</v>
      </c>
      <c r="AP16" s="0" t="n">
        <f aca="false">IF(T16=1,U16,AA16+AG16+AM16)</f>
        <v>8474763.6219541</v>
      </c>
      <c r="AQ16" s="0" t="n">
        <f aca="false">IF(T16=1,V16,AB16+AH16+AN16)</f>
        <v>0</v>
      </c>
      <c r="AR16" s="0" t="n">
        <f aca="false">IF(T16=1,W16,AC16+AI16+AO16)</f>
        <v>0</v>
      </c>
      <c r="AS16" s="0" t="n">
        <f aca="false">S16-AP16-AQ16-AR16</f>
        <v>0</v>
      </c>
      <c r="AT16" s="0" t="n">
        <f aca="false">C16-AP16</f>
        <v>204320988.981836</v>
      </c>
      <c r="AU16" s="0" t="n">
        <f aca="false">D16-AQ16</f>
        <v>40000000</v>
      </c>
      <c r="AV16" s="0" t="n">
        <f aca="false">E16-AR16</f>
        <v>30000000</v>
      </c>
      <c r="AW16" s="0" t="n">
        <f aca="false">Pool!CB16</f>
        <v>300393737.421125</v>
      </c>
      <c r="AX16" s="0" t="n">
        <f aca="false">IF((AT16)&gt;Inputs!$B$19,AW16/(AT16),1000000000)</f>
        <v>1.47020498930646</v>
      </c>
      <c r="AY16" s="0" t="n">
        <f aca="false">IF((J16)&gt;0.000000001,(R16-I16-MAX(-M16,0))/(J16),1000000000)</f>
        <v>2.45831693688591</v>
      </c>
      <c r="AZ16" s="0" t="n">
        <f aca="false">IF(OR(AX16&lt;Inputs!$B$24,AY16&lt;Inputs!$B$25),1,0)</f>
        <v>0</v>
      </c>
      <c r="BA16" s="0" t="n">
        <f aca="false">IF((AT16+AU16)&gt;Inputs!$B$19,AW16/(AT16+AU16),1000000000)</f>
        <v>1.22950442642264</v>
      </c>
      <c r="BB16" s="0" t="n">
        <f aca="false">IF((J16+K16)&gt;0.000000001,(R16-I16-MAX(-M16,0))/(J16+K16),1000000000)</f>
        <v>1.99686645015386</v>
      </c>
      <c r="BC16" s="0" t="n">
        <f aca="false">IF(OR(BA16&lt;Inputs!$B$29,BB16&lt;Inputs!$B$30),1,0)</f>
        <v>0</v>
      </c>
      <c r="BD16" s="0" t="n">
        <f aca="false">IF((AT16+AU16+AV16)&gt;Inputs!$B$19,AW16/(AT16+AU16+AV16),1000000000)</f>
        <v>1.09504467206852</v>
      </c>
      <c r="BE16" s="0" t="n">
        <f aca="false">IF((J16+K16+L16)&gt;0.000000001,(R16-I16-MAX(-M16,0))/(J16+K16+L16),1000000000)</f>
        <v>1.70483319955261</v>
      </c>
      <c r="BF16" s="0" t="n">
        <f aca="false">IF(OR(BD16&lt;Inputs!$B$34,BE16&lt;Inputs!$B$35),1,0)</f>
        <v>0</v>
      </c>
      <c r="BG16" s="0" t="n">
        <f aca="false">MAX(AZ16,BC16,BF16)</f>
        <v>0</v>
      </c>
      <c r="BH16" s="0" t="n">
        <f aca="false">MIN(R16,N16)</f>
        <v>160700.929350237</v>
      </c>
      <c r="BI16" s="0" t="n">
        <f aca="false">R16-BH16</f>
        <v>2185746.96478443</v>
      </c>
      <c r="BJ16" s="0" t="n">
        <f aca="false">MIN(BI16,O16)</f>
        <v>889123.339626518</v>
      </c>
      <c r="BK16" s="0" t="n">
        <f aca="false">BI16-BJ16</f>
        <v>1296623.62515791</v>
      </c>
      <c r="BL16" s="0" t="n">
        <f aca="false">AZ16*MIN(AT16,BK16)</f>
        <v>0</v>
      </c>
      <c r="BM16" s="0" t="n">
        <f aca="false">AZ16*MIN(AU16,BK16-BL16)</f>
        <v>0</v>
      </c>
      <c r="BN16" s="0" t="n">
        <f aca="false">AZ16*MIN(AV16,BK16-BL16-BM16)</f>
        <v>0</v>
      </c>
      <c r="BO16" s="0" t="n">
        <f aca="false">BK16-BL16-BM16-BN16</f>
        <v>1296623.62515791</v>
      </c>
      <c r="BP16" s="0" t="n">
        <f aca="false">MIN(BO16,P16)</f>
        <v>205465.116509852</v>
      </c>
      <c r="BQ16" s="0" t="n">
        <f aca="false">BO16-BP16</f>
        <v>1091158.50864806</v>
      </c>
      <c r="BR16" s="0" t="n">
        <f aca="false">BC16*MIN((AT16-BL16),BQ16)</f>
        <v>0</v>
      </c>
      <c r="BS16" s="0" t="n">
        <f aca="false">BC16*MIN((AU16-BM16),BQ16-BR16)</f>
        <v>0</v>
      </c>
      <c r="BT16" s="0" t="n">
        <f aca="false">BC16*MIN((AV16-BN16),BQ16-BR16-BS16)</f>
        <v>0</v>
      </c>
      <c r="BU16" s="0" t="n">
        <f aca="false">BQ16-BR16-BS16-BT16</f>
        <v>1091158.50864806</v>
      </c>
      <c r="BV16" s="0" t="n">
        <f aca="false">MIN(BU16,Q16)</f>
        <v>187500</v>
      </c>
      <c r="BW16" s="0" t="n">
        <f aca="false">BU16-BV16</f>
        <v>903658.508648061</v>
      </c>
      <c r="BX16" s="0" t="n">
        <f aca="false">BF16*MIN((AT16-BL16-BR16),BW16)</f>
        <v>0</v>
      </c>
      <c r="BY16" s="0" t="n">
        <f aca="false">BF16*MIN((AU16-BM16-BS16),BW16-BX16)</f>
        <v>0</v>
      </c>
      <c r="BZ16" s="0" t="n">
        <f aca="false">BF16*MIN((AV16-BN16-BT16),BW16-BX16-BY16)</f>
        <v>0</v>
      </c>
      <c r="CA16" s="0" t="n">
        <f aca="false">BW16-BX16-BY16-BZ16</f>
        <v>903658.508648061</v>
      </c>
      <c r="CB16" s="0" t="n">
        <f aca="false">MAX(0,AT16+AU16+AV16-BL16-BM16-BN16-BR16-BS16-BT16-BX16-BY16-BZ16-AW16)</f>
        <v>0</v>
      </c>
      <c r="CC16" s="0" t="n">
        <f aca="false">1*MIN((AT16-BL16-BR16-BX16),MIN(CA16,CB16))</f>
        <v>0</v>
      </c>
      <c r="CD16" s="0" t="n">
        <f aca="false">1*MIN((AU16-BM16-BS16-BY16),MIN(CA16,CB16)-CC16)</f>
        <v>0</v>
      </c>
      <c r="CE16" s="0" t="n">
        <f aca="false">1*MIN((AV16-BN16-BT16-BZ16),MIN(CA16,CB16)-CC16-CD16)</f>
        <v>0</v>
      </c>
      <c r="CF16" s="0" t="n">
        <f aca="false">CA16-CC16-CD16-CE16</f>
        <v>903658.508648061</v>
      </c>
      <c r="CG16" s="0" t="n">
        <f aca="false">IF(C16+D16+E16&gt;Inputs!$B$19,MIN(CF16,MAX(0,Inputs!$B$15-DO15)),0)</f>
        <v>0</v>
      </c>
      <c r="CH16" s="0" t="n">
        <f aca="false">CF16-CG16</f>
        <v>903658.508648061</v>
      </c>
      <c r="CI16" s="0" t="n">
        <f aca="false">DO15+CG16</f>
        <v>3000000</v>
      </c>
      <c r="CJ16" s="0" t="n">
        <f aca="false">MIN(MAX(N16-BH16,0),CI16)</f>
        <v>0</v>
      </c>
      <c r="CK16" s="0" t="n">
        <f aca="false">MIN(MAX(O16-BJ16,0),CI16-CJ16)</f>
        <v>0</v>
      </c>
      <c r="CL16" s="0" t="n">
        <f aca="false">MIN(MAX(P16-BP16,0),CI16-CJ16-CK16)</f>
        <v>0</v>
      </c>
      <c r="CM16" s="0" t="n">
        <f aca="false">CJ16+CK16+CL16</f>
        <v>0</v>
      </c>
      <c r="CN16" s="0" t="n">
        <f aca="false">CI16-CM16</f>
        <v>3000000</v>
      </c>
      <c r="CO16" s="0" t="n">
        <f aca="false">BH16+CJ16</f>
        <v>160700.929350237</v>
      </c>
      <c r="CP16" s="0" t="n">
        <f aca="false">BJ16+CK16</f>
        <v>889123.339626518</v>
      </c>
      <c r="CQ16" s="0" t="n">
        <f aca="false">BP16+CL16</f>
        <v>205465.116509852</v>
      </c>
      <c r="CR16" s="0" t="n">
        <f aca="false">BV16</f>
        <v>187500</v>
      </c>
      <c r="CS16" s="0" t="n">
        <f aca="false">AT16-BL16-BR16-BX16-CC16</f>
        <v>204320988.981836</v>
      </c>
      <c r="CT16" s="0" t="n">
        <f aca="false">AU16-BM16-BS16-BY16-CD16</f>
        <v>40000000</v>
      </c>
      <c r="CU16" s="0" t="n">
        <f aca="false">AV16-BN16-BT16-BZ16-CE16</f>
        <v>30000000</v>
      </c>
      <c r="CV16" s="0" t="n">
        <f aca="false">MAX(0,CS16+CT16+CU16-AW16)</f>
        <v>0</v>
      </c>
      <c r="CW16" s="0" t="n">
        <f aca="false">MIN(CU16,CV16)</f>
        <v>0</v>
      </c>
      <c r="CX16" s="0" t="n">
        <f aca="false">MIN(CT16,CV16-CW16)</f>
        <v>0</v>
      </c>
      <c r="CY16" s="0" t="n">
        <f aca="false">MIN(CS16,CV16-CW16-CX16)</f>
        <v>0</v>
      </c>
      <c r="CZ16" s="0" t="n">
        <f aca="false">IF(CS16-CY16&lt;Inputs!$B$19,0,CS16-CY16)</f>
        <v>204320988.981836</v>
      </c>
      <c r="DA16" s="0" t="n">
        <f aca="false">IF(CT16-CX16&lt;Inputs!$B$19,0,CT16-CX16)</f>
        <v>40000000</v>
      </c>
      <c r="DB16" s="0" t="n">
        <f aca="false">IF(CU16-CW16&lt;Inputs!$B$19,0,CU16-CW16)</f>
        <v>30000000</v>
      </c>
      <c r="DC16" s="0" t="n">
        <f aca="false">N16-CO16</f>
        <v>0</v>
      </c>
      <c r="DD16" s="0" t="n">
        <f aca="false">O16-CP16</f>
        <v>0</v>
      </c>
      <c r="DE16" s="0" t="n">
        <f aca="false">P16-CQ16</f>
        <v>0</v>
      </c>
      <c r="DF16" s="0" t="n">
        <f aca="false">Q16-CR16</f>
        <v>0</v>
      </c>
      <c r="DG16" s="0" t="n">
        <f aca="false">IF(CZ16+DA16+DB16&lt;=Inputs!$B$19,1,0)</f>
        <v>0</v>
      </c>
      <c r="DH16" s="0" t="n">
        <f aca="false">DG16*CN16</f>
        <v>0</v>
      </c>
      <c r="DI16" s="0" t="n">
        <f aca="false">DG16*(AS16+DH16)</f>
        <v>0</v>
      </c>
      <c r="DJ16" s="0" t="n">
        <f aca="false">DG16*MIN(DC16,DI16)</f>
        <v>0</v>
      </c>
      <c r="DK16" s="0" t="n">
        <f aca="false">DG16*MIN(DD16,DI16-DJ16)</f>
        <v>0</v>
      </c>
      <c r="DL16" s="0" t="n">
        <f aca="false">DG16*MIN(DE16,DI16-DJ16-DK16)</f>
        <v>0</v>
      </c>
      <c r="DM16" s="0" t="n">
        <f aca="false">DG16*MIN(DF16,DI16-DJ16-DK16-DL16)</f>
        <v>0</v>
      </c>
      <c r="DN16" s="0" t="n">
        <f aca="false">DJ16+DK16+DL16+DM16</f>
        <v>0</v>
      </c>
      <c r="DO16" s="0" t="n">
        <f aca="false">CN16-DH16</f>
        <v>3000000</v>
      </c>
      <c r="DP16" s="0" t="n">
        <f aca="false">DC16-DJ16</f>
        <v>0</v>
      </c>
      <c r="DQ16" s="0" t="n">
        <f aca="false">DD16-DK16</f>
        <v>0</v>
      </c>
      <c r="DR16" s="0" t="n">
        <f aca="false">DE16-DL16</f>
        <v>0</v>
      </c>
      <c r="DS16" s="0" t="n">
        <f aca="false">DF16-DM16</f>
        <v>0</v>
      </c>
      <c r="DT16" s="0" t="n">
        <f aca="false">CO16+DJ16</f>
        <v>160700.929350237</v>
      </c>
      <c r="DU16" s="0" t="n">
        <f aca="false">CP16+DK16</f>
        <v>889123.339626518</v>
      </c>
      <c r="DV16" s="0" t="n">
        <f aca="false">AP16+BL16+BR16+BX16+CC16</f>
        <v>8474763.6219541</v>
      </c>
      <c r="DW16" s="0" t="n">
        <f aca="false">CQ16+DL16</f>
        <v>205465.116509852</v>
      </c>
      <c r="DX16" s="0" t="n">
        <f aca="false">AQ16+BM16+BS16+BY16+CD16</f>
        <v>0</v>
      </c>
      <c r="DY16" s="0" t="n">
        <f aca="false">CR16+DM16</f>
        <v>187500</v>
      </c>
      <c r="DZ16" s="0" t="n">
        <f aca="false">AR16+BN16+BT16+BZ16+CE16</f>
        <v>0</v>
      </c>
      <c r="EA16" s="0" t="n">
        <f aca="false">DI16-DN16</f>
        <v>0</v>
      </c>
      <c r="EB16" s="0" t="n">
        <f aca="false">CH16+EA16</f>
        <v>903658.508648061</v>
      </c>
      <c r="EC16" s="0" t="n">
        <f aca="false">R16-I16-MAX(-M16,0)-J16-K16-L16</f>
        <v>903658.508648061</v>
      </c>
      <c r="ED16" s="0" t="n">
        <f aca="false">R16+S16+CM16+DH16-CG16-DT16-DU16-DW16-DY16-DV16-DX16-DZ16-EB16</f>
        <v>0</v>
      </c>
      <c r="EE16" s="0" t="n">
        <f aca="false">IF(AND(EB16&gt;0.000001,DP16+DQ16+DR16+DS16&gt;0.000001),1,0)</f>
        <v>0</v>
      </c>
    </row>
    <row r="17" customFormat="false" ht="15" hidden="false" customHeight="false" outlineLevel="0" collapsed="false">
      <c r="A17" s="0" t="n">
        <f aca="false">ROW()-5</f>
        <v>12</v>
      </c>
      <c r="B17" s="0" t="n">
        <f aca="false">Inputs!$B$11+(Inputs!$B$12-Inputs!$B$11)*(1-EXP(-A17/Inputs!$B$13))+Inputs!$B$8</f>
        <v>0.0388685719269827</v>
      </c>
      <c r="C17" s="0" t="n">
        <f aca="false">CZ16</f>
        <v>204320988.981836</v>
      </c>
      <c r="D17" s="0" t="n">
        <f aca="false">DA16</f>
        <v>40000000</v>
      </c>
      <c r="E17" s="0" t="n">
        <f aca="false">DB16</f>
        <v>30000000</v>
      </c>
      <c r="F17" s="0" t="n">
        <f aca="false">IF(Inputs!$B$22=1,B17+Inputs!$B$23,Inputs!$B$23)/12</f>
        <v>0.00415571432724855</v>
      </c>
      <c r="G17" s="0" t="n">
        <f aca="false">IF(Inputs!$B$27=1,B17+Inputs!$B$28,Inputs!$B$28)/12</f>
        <v>0.00511404766058189</v>
      </c>
      <c r="H17" s="0" t="n">
        <f aca="false">IF(Inputs!$B$32=1,B17+Inputs!$B$33,Inputs!$B$33)/12</f>
        <v>0.00625</v>
      </c>
      <c r="I17" s="0" t="n">
        <f aca="false">Pool!BT17*Inputs!$B$14/12</f>
        <v>156132.482167689</v>
      </c>
      <c r="J17" s="0" t="n">
        <f aca="false">C17*F17</f>
        <v>849099.661269408</v>
      </c>
      <c r="K17" s="0" t="n">
        <f aca="false">D17*G17</f>
        <v>204561.906423275</v>
      </c>
      <c r="L17" s="0" t="n">
        <f aca="false">E17*H17</f>
        <v>187500</v>
      </c>
      <c r="M17" s="0" t="n">
        <f aca="false">Inputs!$B$17*(C17*Inputs!$B$22+D17*Inputs!$B$27+E17*Inputs!$B$32)*(B17-Inputs!$B$18)/12</f>
        <v>0</v>
      </c>
      <c r="N17" s="0" t="n">
        <f aca="false">DP16+I17+MAX(-M17,0)</f>
        <v>156132.482167689</v>
      </c>
      <c r="O17" s="0" t="n">
        <f aca="false">DQ16+J17</f>
        <v>849099.661269408</v>
      </c>
      <c r="P17" s="0" t="n">
        <f aca="false">DR16+K17</f>
        <v>204561.906423275</v>
      </c>
      <c r="Q17" s="0" t="n">
        <f aca="false">DS16+L17</f>
        <v>187500</v>
      </c>
      <c r="R17" s="0" t="n">
        <f aca="false">Pool!BV17+MAX(M17,0)</f>
        <v>2281834.67071629</v>
      </c>
      <c r="S17" s="0" t="n">
        <f aca="false">Pool!BW17+Pool!BX17+Pool!BZ17</f>
        <v>8363225.7713761</v>
      </c>
      <c r="T17" s="0" t="n">
        <f aca="false">MAX(T16,BG16)</f>
        <v>1</v>
      </c>
      <c r="U17" s="0" t="n">
        <f aca="false">MIN(C17,S17)</f>
        <v>8363225.7713761</v>
      </c>
      <c r="V17" s="0" t="n">
        <f aca="false">MIN(D17,S17-U17)</f>
        <v>0</v>
      </c>
      <c r="W17" s="0" t="n">
        <f aca="false">MIN(E17,S17-U17-V17)</f>
        <v>0</v>
      </c>
      <c r="X17" s="0" t="n">
        <f aca="false">IF(C17-(0)&gt;Inputs!$B$19,1,0)</f>
        <v>1</v>
      </c>
      <c r="Y17" s="0" t="n">
        <f aca="false">IF(D17-(0)&gt;Inputs!$B$19,1,0)</f>
        <v>1</v>
      </c>
      <c r="Z17" s="0" t="n">
        <f aca="false">IF(E17-(0)&gt;Inputs!$B$19,1,0)</f>
        <v>1</v>
      </c>
      <c r="AA17" s="0" t="n">
        <f aca="false">IF((X17*C17+Y17*D17+Z17*E17)&gt;0,MIN(C17-(0),S17*X17*C17/(X17*C17+Y17*D17+Z17*E17)),0)</f>
        <v>6229135.31709048</v>
      </c>
      <c r="AB17" s="0" t="n">
        <f aca="false">IF((X17*C17+Y17*D17+Z17*E17)&gt;0,MIN(D17-(0),S17*Y17*D17/(X17*C17+Y17*D17+Z17*E17)),0)</f>
        <v>1219480.25959179</v>
      </c>
      <c r="AC17" s="0" t="n">
        <f aca="false">IF((X17*C17+Y17*D17+Z17*E17)&gt;0,MIN(E17-(0),S17*Z17*E17/(X17*C17+Y17*D17+Z17*E17)),0)</f>
        <v>914610.194693839</v>
      </c>
      <c r="AD17" s="0" t="n">
        <f aca="false">IF(C17-(AA17)&gt;Inputs!$B$19,1,0)</f>
        <v>1</v>
      </c>
      <c r="AE17" s="0" t="n">
        <f aca="false">IF(D17-(AB17)&gt;Inputs!$B$19,1,0)</f>
        <v>1</v>
      </c>
      <c r="AF17" s="0" t="n">
        <f aca="false">IF(E17-(AC17)&gt;Inputs!$B$19,1,0)</f>
        <v>1</v>
      </c>
      <c r="AG17" s="0" t="n">
        <f aca="false">IF((AD17*C17+AE17*D17+AF17*E17)&gt;0,MIN(C17-(AA17),(S17-(AA17+AB17+AC17))*AD17*C17/(AD17*C17+AE17*D17+AF17*E17)),0)</f>
        <v>0</v>
      </c>
      <c r="AH17" s="0" t="n">
        <f aca="false">IF((AD17*C17+AE17*D17+AF17*E17)&gt;0,MIN(D17-(AB17),(S17-(AA17+AB17+AC17))*AE17*D17/(AD17*C17+AE17*D17+AF17*E17)),0)</f>
        <v>0</v>
      </c>
      <c r="AI17" s="0" t="n">
        <f aca="false">IF((AD17*C17+AE17*D17+AF17*E17)&gt;0,MIN(E17-(AC17),(S17-(AA17+AB17+AC17))*AF17*E17/(AD17*C17+AE17*D17+AF17*E17)),0)</f>
        <v>0</v>
      </c>
      <c r="AJ17" s="0" t="n">
        <f aca="false">IF(C17-(AA17+AG17)&gt;Inputs!$B$19,1,0)</f>
        <v>1</v>
      </c>
      <c r="AK17" s="0" t="n">
        <f aca="false">IF(D17-(AB17+AH17)&gt;Inputs!$B$19,1,0)</f>
        <v>1</v>
      </c>
      <c r="AL17" s="0" t="n">
        <f aca="false">IF(E17-(AC17+AI17)&gt;Inputs!$B$19,1,0)</f>
        <v>1</v>
      </c>
      <c r="AM17" s="0" t="n">
        <f aca="false">IF((AJ17*C17+AK17*D17+AL17*E17)&gt;0,MIN(C17-(AA17+AG17),(S17-(AA17+AB17+AC17+AG17+AH17+AI17))*AJ17*C17/(AJ17*C17+AK17*D17+AL17*E17)),0)</f>
        <v>0</v>
      </c>
      <c r="AN17" s="0" t="n">
        <f aca="false">IF((AJ17*C17+AK17*D17+AL17*E17)&gt;0,MIN(D17-(AB17+AH17),(S17-(AA17+AB17+AC17+AG17+AH17+AI17))*AK17*D17/(AJ17*C17+AK17*D17+AL17*E17)),0)</f>
        <v>0</v>
      </c>
      <c r="AO17" s="0" t="n">
        <f aca="false">IF((AJ17*C17+AK17*D17+AL17*E17)&gt;0,MIN(E17-(AC17+AI17),(S17-(AA17+AB17+AC17+AG17+AH17+AI17))*AL17*E17/(AJ17*C17+AK17*D17+AL17*E17)),0)</f>
        <v>0</v>
      </c>
      <c r="AP17" s="0" t="n">
        <f aca="false">IF(T17=1,U17,AA17+AG17+AM17)</f>
        <v>8363225.7713761</v>
      </c>
      <c r="AQ17" s="0" t="n">
        <f aca="false">IF(T17=1,V17,AB17+AH17+AN17)</f>
        <v>0</v>
      </c>
      <c r="AR17" s="0" t="n">
        <f aca="false">IF(T17=1,W17,AC17+AI17+AO17)</f>
        <v>0</v>
      </c>
      <c r="AS17" s="0" t="n">
        <f aca="false">S17-AP17-AQ17-AR17</f>
        <v>0</v>
      </c>
      <c r="AT17" s="0" t="n">
        <f aca="false">C17-AP17</f>
        <v>195957763.21046</v>
      </c>
      <c r="AU17" s="0" t="n">
        <f aca="false">D17-AQ17</f>
        <v>40000000</v>
      </c>
      <c r="AV17" s="0" t="n">
        <f aca="false">E17-AR17</f>
        <v>30000000</v>
      </c>
      <c r="AW17" s="0" t="n">
        <f aca="false">Pool!CB17</f>
        <v>291728947.129753</v>
      </c>
      <c r="AX17" s="0" t="n">
        <f aca="false">IF((AT17)&gt;Inputs!$B$19,AW17/(AT17),1000000000)</f>
        <v>1.48873380850156</v>
      </c>
      <c r="AY17" s="0" t="n">
        <f aca="false">IF((J17)&gt;0.000000001,(R17-I17-MAX(-M17,0))/(J17),1000000000)</f>
        <v>2.50347784307283</v>
      </c>
      <c r="AZ17" s="0" t="n">
        <f aca="false">IF(OR(AX17&lt;Inputs!$B$24,AY17&lt;Inputs!$B$25),1,0)</f>
        <v>0</v>
      </c>
      <c r="BA17" s="0" t="n">
        <f aca="false">IF((AT17+AU17)&gt;Inputs!$B$19,AW17/(AT17+AU17),1000000000)</f>
        <v>1.23636087730476</v>
      </c>
      <c r="BB17" s="0" t="n">
        <f aca="false">IF((J17+K17)&gt;0.000000001,(R17-I17-MAX(-M17,0))/(J17+K17),1000000000)</f>
        <v>2.0174430326841</v>
      </c>
      <c r="BC17" s="0" t="n">
        <f aca="false">IF(OR(BA17&lt;Inputs!$B$29,BB17&lt;Inputs!$B$30),1,0)</f>
        <v>0</v>
      </c>
      <c r="BD17" s="0" t="n">
        <f aca="false">IF((AT17+AU17+AV17)&gt;Inputs!$B$19,AW17/(AT17+AU17+AV17),1000000000)</f>
        <v>1.09689953625795</v>
      </c>
      <c r="BE17" s="0" t="n">
        <f aca="false">IF((J17+K17+L17)&gt;0.000000001,(R17-I17-MAX(-M17,0))/(J17+K17+L17),1000000000)</f>
        <v>1.71267161655697</v>
      </c>
      <c r="BF17" s="0" t="n">
        <f aca="false">IF(OR(BD17&lt;Inputs!$B$34,BE17&lt;Inputs!$B$35),1,0)</f>
        <v>0</v>
      </c>
      <c r="BG17" s="0" t="n">
        <f aca="false">MAX(AZ17,BC17,BF17)</f>
        <v>0</v>
      </c>
      <c r="BH17" s="0" t="n">
        <f aca="false">MIN(R17,N17)</f>
        <v>156132.482167689</v>
      </c>
      <c r="BI17" s="0" t="n">
        <f aca="false">R17-BH17</f>
        <v>2125702.18854861</v>
      </c>
      <c r="BJ17" s="0" t="n">
        <f aca="false">MIN(BI17,O17)</f>
        <v>849099.661269408</v>
      </c>
      <c r="BK17" s="0" t="n">
        <f aca="false">BI17-BJ17</f>
        <v>1276602.5272792</v>
      </c>
      <c r="BL17" s="0" t="n">
        <f aca="false">AZ17*MIN(AT17,BK17)</f>
        <v>0</v>
      </c>
      <c r="BM17" s="0" t="n">
        <f aca="false">AZ17*MIN(AU17,BK17-BL17)</f>
        <v>0</v>
      </c>
      <c r="BN17" s="0" t="n">
        <f aca="false">AZ17*MIN(AV17,BK17-BL17-BM17)</f>
        <v>0</v>
      </c>
      <c r="BO17" s="0" t="n">
        <f aca="false">BK17-BL17-BM17-BN17</f>
        <v>1276602.5272792</v>
      </c>
      <c r="BP17" s="0" t="n">
        <f aca="false">MIN(BO17,P17)</f>
        <v>204561.906423275</v>
      </c>
      <c r="BQ17" s="0" t="n">
        <f aca="false">BO17-BP17</f>
        <v>1072040.62085592</v>
      </c>
      <c r="BR17" s="0" t="n">
        <f aca="false">BC17*MIN((AT17-BL17),BQ17)</f>
        <v>0</v>
      </c>
      <c r="BS17" s="0" t="n">
        <f aca="false">BC17*MIN((AU17-BM17),BQ17-BR17)</f>
        <v>0</v>
      </c>
      <c r="BT17" s="0" t="n">
        <f aca="false">BC17*MIN((AV17-BN17),BQ17-BR17-BS17)</f>
        <v>0</v>
      </c>
      <c r="BU17" s="0" t="n">
        <f aca="false">BQ17-BR17-BS17-BT17</f>
        <v>1072040.62085592</v>
      </c>
      <c r="BV17" s="0" t="n">
        <f aca="false">MIN(BU17,Q17)</f>
        <v>187500</v>
      </c>
      <c r="BW17" s="0" t="n">
        <f aca="false">BU17-BV17</f>
        <v>884540.620855922</v>
      </c>
      <c r="BX17" s="0" t="n">
        <f aca="false">BF17*MIN((AT17-BL17-BR17),BW17)</f>
        <v>0</v>
      </c>
      <c r="BY17" s="0" t="n">
        <f aca="false">BF17*MIN((AU17-BM17-BS17),BW17-BX17)</f>
        <v>0</v>
      </c>
      <c r="BZ17" s="0" t="n">
        <f aca="false">BF17*MIN((AV17-BN17-BT17),BW17-BX17-BY17)</f>
        <v>0</v>
      </c>
      <c r="CA17" s="0" t="n">
        <f aca="false">BW17-BX17-BY17-BZ17</f>
        <v>884540.620855922</v>
      </c>
      <c r="CB17" s="0" t="n">
        <f aca="false">MAX(0,AT17+AU17+AV17-BL17-BM17-BN17-BR17-BS17-BT17-BX17-BY17-BZ17-AW17)</f>
        <v>0</v>
      </c>
      <c r="CC17" s="0" t="n">
        <f aca="false">1*MIN((AT17-BL17-BR17-BX17),MIN(CA17,CB17))</f>
        <v>0</v>
      </c>
      <c r="CD17" s="0" t="n">
        <f aca="false">1*MIN((AU17-BM17-BS17-BY17),MIN(CA17,CB17)-CC17)</f>
        <v>0</v>
      </c>
      <c r="CE17" s="0" t="n">
        <f aca="false">1*MIN((AV17-BN17-BT17-BZ17),MIN(CA17,CB17)-CC17-CD17)</f>
        <v>0</v>
      </c>
      <c r="CF17" s="0" t="n">
        <f aca="false">CA17-CC17-CD17-CE17</f>
        <v>884540.620855922</v>
      </c>
      <c r="CG17" s="0" t="n">
        <f aca="false">IF(C17+D17+E17&gt;Inputs!$B$19,MIN(CF17,MAX(0,Inputs!$B$15-DO16)),0)</f>
        <v>0</v>
      </c>
      <c r="CH17" s="0" t="n">
        <f aca="false">CF17-CG17</f>
        <v>884540.620855922</v>
      </c>
      <c r="CI17" s="0" t="n">
        <f aca="false">DO16+CG17</f>
        <v>3000000</v>
      </c>
      <c r="CJ17" s="0" t="n">
        <f aca="false">MIN(MAX(N17-BH17,0),CI17)</f>
        <v>0</v>
      </c>
      <c r="CK17" s="0" t="n">
        <f aca="false">MIN(MAX(O17-BJ17,0),CI17-CJ17)</f>
        <v>0</v>
      </c>
      <c r="CL17" s="0" t="n">
        <f aca="false">MIN(MAX(P17-BP17,0),CI17-CJ17-CK17)</f>
        <v>0</v>
      </c>
      <c r="CM17" s="0" t="n">
        <f aca="false">CJ17+CK17+CL17</f>
        <v>0</v>
      </c>
      <c r="CN17" s="0" t="n">
        <f aca="false">CI17-CM17</f>
        <v>3000000</v>
      </c>
      <c r="CO17" s="0" t="n">
        <f aca="false">BH17+CJ17</f>
        <v>156132.482167689</v>
      </c>
      <c r="CP17" s="0" t="n">
        <f aca="false">BJ17+CK17</f>
        <v>849099.661269408</v>
      </c>
      <c r="CQ17" s="0" t="n">
        <f aca="false">BP17+CL17</f>
        <v>204561.906423275</v>
      </c>
      <c r="CR17" s="0" t="n">
        <f aca="false">BV17</f>
        <v>187500</v>
      </c>
      <c r="CS17" s="0" t="n">
        <f aca="false">AT17-BL17-BR17-BX17-CC17</f>
        <v>195957763.21046</v>
      </c>
      <c r="CT17" s="0" t="n">
        <f aca="false">AU17-BM17-BS17-BY17-CD17</f>
        <v>40000000</v>
      </c>
      <c r="CU17" s="0" t="n">
        <f aca="false">AV17-BN17-BT17-BZ17-CE17</f>
        <v>30000000</v>
      </c>
      <c r="CV17" s="0" t="n">
        <f aca="false">MAX(0,CS17+CT17+CU17-AW17)</f>
        <v>0</v>
      </c>
      <c r="CW17" s="0" t="n">
        <f aca="false">MIN(CU17,CV17)</f>
        <v>0</v>
      </c>
      <c r="CX17" s="0" t="n">
        <f aca="false">MIN(CT17,CV17-CW17)</f>
        <v>0</v>
      </c>
      <c r="CY17" s="0" t="n">
        <f aca="false">MIN(CS17,CV17-CW17-CX17)</f>
        <v>0</v>
      </c>
      <c r="CZ17" s="0" t="n">
        <f aca="false">IF(CS17-CY17&lt;Inputs!$B$19,0,CS17-CY17)</f>
        <v>195957763.21046</v>
      </c>
      <c r="DA17" s="0" t="n">
        <f aca="false">IF(CT17-CX17&lt;Inputs!$B$19,0,CT17-CX17)</f>
        <v>40000000</v>
      </c>
      <c r="DB17" s="0" t="n">
        <f aca="false">IF(CU17-CW17&lt;Inputs!$B$19,0,CU17-CW17)</f>
        <v>30000000</v>
      </c>
      <c r="DC17" s="0" t="n">
        <f aca="false">N17-CO17</f>
        <v>0</v>
      </c>
      <c r="DD17" s="0" t="n">
        <f aca="false">O17-CP17</f>
        <v>0</v>
      </c>
      <c r="DE17" s="0" t="n">
        <f aca="false">P17-CQ17</f>
        <v>0</v>
      </c>
      <c r="DF17" s="0" t="n">
        <f aca="false">Q17-CR17</f>
        <v>0</v>
      </c>
      <c r="DG17" s="0" t="n">
        <f aca="false">IF(CZ17+DA17+DB17&lt;=Inputs!$B$19,1,0)</f>
        <v>0</v>
      </c>
      <c r="DH17" s="0" t="n">
        <f aca="false">DG17*CN17</f>
        <v>0</v>
      </c>
      <c r="DI17" s="0" t="n">
        <f aca="false">DG17*(AS17+DH17)</f>
        <v>0</v>
      </c>
      <c r="DJ17" s="0" t="n">
        <f aca="false">DG17*MIN(DC17,DI17)</f>
        <v>0</v>
      </c>
      <c r="DK17" s="0" t="n">
        <f aca="false">DG17*MIN(DD17,DI17-DJ17)</f>
        <v>0</v>
      </c>
      <c r="DL17" s="0" t="n">
        <f aca="false">DG17*MIN(DE17,DI17-DJ17-DK17)</f>
        <v>0</v>
      </c>
      <c r="DM17" s="0" t="n">
        <f aca="false">DG17*MIN(DF17,DI17-DJ17-DK17-DL17)</f>
        <v>0</v>
      </c>
      <c r="DN17" s="0" t="n">
        <f aca="false">DJ17+DK17+DL17+DM17</f>
        <v>0</v>
      </c>
      <c r="DO17" s="0" t="n">
        <f aca="false">CN17-DH17</f>
        <v>3000000</v>
      </c>
      <c r="DP17" s="0" t="n">
        <f aca="false">DC17-DJ17</f>
        <v>0</v>
      </c>
      <c r="DQ17" s="0" t="n">
        <f aca="false">DD17-DK17</f>
        <v>0</v>
      </c>
      <c r="DR17" s="0" t="n">
        <f aca="false">DE17-DL17</f>
        <v>0</v>
      </c>
      <c r="DS17" s="0" t="n">
        <f aca="false">DF17-DM17</f>
        <v>0</v>
      </c>
      <c r="DT17" s="0" t="n">
        <f aca="false">CO17+DJ17</f>
        <v>156132.482167689</v>
      </c>
      <c r="DU17" s="0" t="n">
        <f aca="false">CP17+DK17</f>
        <v>849099.661269408</v>
      </c>
      <c r="DV17" s="0" t="n">
        <f aca="false">AP17+BL17+BR17+BX17+CC17</f>
        <v>8363225.7713761</v>
      </c>
      <c r="DW17" s="0" t="n">
        <f aca="false">CQ17+DL17</f>
        <v>204561.906423275</v>
      </c>
      <c r="DX17" s="0" t="n">
        <f aca="false">AQ17+BM17+BS17+BY17+CD17</f>
        <v>0</v>
      </c>
      <c r="DY17" s="0" t="n">
        <f aca="false">CR17+DM17</f>
        <v>187500</v>
      </c>
      <c r="DZ17" s="0" t="n">
        <f aca="false">AR17+BN17+BT17+BZ17+CE17</f>
        <v>0</v>
      </c>
      <c r="EA17" s="0" t="n">
        <f aca="false">DI17-DN17</f>
        <v>0</v>
      </c>
      <c r="EB17" s="0" t="n">
        <f aca="false">CH17+EA17</f>
        <v>884540.620855922</v>
      </c>
      <c r="EC17" s="0" t="n">
        <f aca="false">R17-I17-MAX(-M17,0)-J17-K17-L17</f>
        <v>884540.620855922</v>
      </c>
      <c r="ED17" s="0" t="n">
        <f aca="false">R17+S17+CM17+DH17-CG17-DT17-DU17-DW17-DY17-DV17-DX17-DZ17-EB17</f>
        <v>0</v>
      </c>
      <c r="EE17" s="0" t="n">
        <f aca="false">IF(AND(EB17&gt;0.000001,DP17+DQ17+DR17+DS17&gt;0.000001),1,0)</f>
        <v>0</v>
      </c>
    </row>
    <row r="18" customFormat="false" ht="15" hidden="false" customHeight="false" outlineLevel="0" collapsed="false">
      <c r="A18" s="0" t="n">
        <f aca="false">ROW()-5</f>
        <v>13</v>
      </c>
      <c r="B18" s="0" t="n">
        <f aca="false">Inputs!$B$11+(Inputs!$B$12-Inputs!$B$11)*(1-EXP(-A18/Inputs!$B$13))+Inputs!$B$8</f>
        <v>0.038608667049203</v>
      </c>
      <c r="C18" s="0" t="n">
        <f aca="false">CZ17</f>
        <v>195957763.21046</v>
      </c>
      <c r="D18" s="0" t="n">
        <f aca="false">DA17</f>
        <v>40000000</v>
      </c>
      <c r="E18" s="0" t="n">
        <f aca="false">DB17</f>
        <v>30000000</v>
      </c>
      <c r="F18" s="0" t="n">
        <f aca="false">IF(Inputs!$B$22=1,B18+Inputs!$B$23,Inputs!$B$23)/12</f>
        <v>0.00413405558743358</v>
      </c>
      <c r="G18" s="0" t="n">
        <f aca="false">IF(Inputs!$B$27=1,B18+Inputs!$B$28,Inputs!$B$28)/12</f>
        <v>0.00509238892076692</v>
      </c>
      <c r="H18" s="0" t="n">
        <f aca="false">IF(Inputs!$B$32=1,B18+Inputs!$B$33,Inputs!$B$33)/12</f>
        <v>0.00625</v>
      </c>
      <c r="I18" s="0" t="n">
        <f aca="false">Pool!BT18*Inputs!$B$14/12</f>
        <v>151626.628817109</v>
      </c>
      <c r="J18" s="0" t="n">
        <f aca="false">C18*F18</f>
        <v>810100.285901187</v>
      </c>
      <c r="K18" s="0" t="n">
        <f aca="false">D18*G18</f>
        <v>203695.556830677</v>
      </c>
      <c r="L18" s="0" t="n">
        <f aca="false">E18*H18</f>
        <v>187500</v>
      </c>
      <c r="M18" s="0" t="n">
        <f aca="false">Inputs!$B$17*(C18*Inputs!$B$22+D18*Inputs!$B$27+E18*Inputs!$B$32)*(B18-Inputs!$B$18)/12</f>
        <v>0</v>
      </c>
      <c r="N18" s="0" t="n">
        <f aca="false">DP17+I18+MAX(-M18,0)</f>
        <v>151626.628817109</v>
      </c>
      <c r="O18" s="0" t="n">
        <f aca="false">DQ17+J18</f>
        <v>810100.285901187</v>
      </c>
      <c r="P18" s="0" t="n">
        <f aca="false">DR17+K18</f>
        <v>203695.556830677</v>
      </c>
      <c r="Q18" s="0" t="n">
        <f aca="false">DS17+L18</f>
        <v>187500</v>
      </c>
      <c r="R18" s="0" t="n">
        <f aca="false">Pool!BV18+MAX(M18,0)</f>
        <v>2218098.27386583</v>
      </c>
      <c r="S18" s="0" t="n">
        <f aca="false">Pool!BW18+Pool!BX18+Pool!BZ18</f>
        <v>8253013.78010795</v>
      </c>
      <c r="T18" s="0" t="n">
        <f aca="false">MAX(T17,BG17)</f>
        <v>1</v>
      </c>
      <c r="U18" s="0" t="n">
        <f aca="false">MIN(C18,S18)</f>
        <v>8253013.78010795</v>
      </c>
      <c r="V18" s="0" t="n">
        <f aca="false">MIN(D18,S18-U18)</f>
        <v>0</v>
      </c>
      <c r="W18" s="0" t="n">
        <f aca="false">MIN(E18,S18-U18-V18)</f>
        <v>0</v>
      </c>
      <c r="X18" s="0" t="n">
        <f aca="false">IF(C18-(0)&gt;Inputs!$B$19,1,0)</f>
        <v>1</v>
      </c>
      <c r="Y18" s="0" t="n">
        <f aca="false">IF(D18-(0)&gt;Inputs!$B$19,1,0)</f>
        <v>1</v>
      </c>
      <c r="Z18" s="0" t="n">
        <f aca="false">IF(E18-(0)&gt;Inputs!$B$19,1,0)</f>
        <v>1</v>
      </c>
      <c r="AA18" s="0" t="n">
        <f aca="false">IF((X18*C18+Y18*D18+Z18*E18)&gt;0,MIN(C18-(0),S18*X18*C18/(X18*C18+Y18*D18+Z18*E18)),0)</f>
        <v>6080823.13737647</v>
      </c>
      <c r="AB18" s="0" t="n">
        <f aca="false">IF((X18*C18+Y18*D18+Z18*E18)&gt;0,MIN(D18-(0),S18*Y18*D18/(X18*C18+Y18*D18+Z18*E18)),0)</f>
        <v>1241251.79584656</v>
      </c>
      <c r="AC18" s="0" t="n">
        <f aca="false">IF((X18*C18+Y18*D18+Z18*E18)&gt;0,MIN(E18-(0),S18*Z18*E18/(X18*C18+Y18*D18+Z18*E18)),0)</f>
        <v>930938.846884923</v>
      </c>
      <c r="AD18" s="0" t="n">
        <f aca="false">IF(C18-(AA18)&gt;Inputs!$B$19,1,0)</f>
        <v>1</v>
      </c>
      <c r="AE18" s="0" t="n">
        <f aca="false">IF(D18-(AB18)&gt;Inputs!$B$19,1,0)</f>
        <v>1</v>
      </c>
      <c r="AF18" s="0" t="n">
        <f aca="false">IF(E18-(AC18)&gt;Inputs!$B$19,1,0)</f>
        <v>1</v>
      </c>
      <c r="AG18" s="0" t="n">
        <f aca="false">IF((AD18*C18+AE18*D18+AF18*E18)&gt;0,MIN(C18-(AA18),(S18-(AA18+AB18+AC18))*AD18*C18/(AD18*C18+AE18*D18+AF18*E18)),0)</f>
        <v>0</v>
      </c>
      <c r="AH18" s="0" t="n">
        <f aca="false">IF((AD18*C18+AE18*D18+AF18*E18)&gt;0,MIN(D18-(AB18),(S18-(AA18+AB18+AC18))*AE18*D18/(AD18*C18+AE18*D18+AF18*E18)),0)</f>
        <v>0</v>
      </c>
      <c r="AI18" s="0" t="n">
        <f aca="false">IF((AD18*C18+AE18*D18+AF18*E18)&gt;0,MIN(E18-(AC18),(S18-(AA18+AB18+AC18))*AF18*E18/(AD18*C18+AE18*D18+AF18*E18)),0)</f>
        <v>0</v>
      </c>
      <c r="AJ18" s="0" t="n">
        <f aca="false">IF(C18-(AA18+AG18)&gt;Inputs!$B$19,1,0)</f>
        <v>1</v>
      </c>
      <c r="AK18" s="0" t="n">
        <f aca="false">IF(D18-(AB18+AH18)&gt;Inputs!$B$19,1,0)</f>
        <v>1</v>
      </c>
      <c r="AL18" s="0" t="n">
        <f aca="false">IF(E18-(AC18+AI18)&gt;Inputs!$B$19,1,0)</f>
        <v>1</v>
      </c>
      <c r="AM18" s="0" t="n">
        <f aca="false">IF((AJ18*C18+AK18*D18+AL18*E18)&gt;0,MIN(C18-(AA18+AG18),(S18-(AA18+AB18+AC18+AG18+AH18+AI18))*AJ18*C18/(AJ18*C18+AK18*D18+AL18*E18)),0)</f>
        <v>0</v>
      </c>
      <c r="AN18" s="0" t="n">
        <f aca="false">IF((AJ18*C18+AK18*D18+AL18*E18)&gt;0,MIN(D18-(AB18+AH18),(S18-(AA18+AB18+AC18+AG18+AH18+AI18))*AK18*D18/(AJ18*C18+AK18*D18+AL18*E18)),0)</f>
        <v>0</v>
      </c>
      <c r="AO18" s="0" t="n">
        <f aca="false">IF((AJ18*C18+AK18*D18+AL18*E18)&gt;0,MIN(E18-(AC18+AI18),(S18-(AA18+AB18+AC18+AG18+AH18+AI18))*AL18*E18/(AJ18*C18+AK18*D18+AL18*E18)),0)</f>
        <v>0</v>
      </c>
      <c r="AP18" s="0" t="n">
        <f aca="false">IF(T18=1,U18,AA18+AG18+AM18)</f>
        <v>8253013.78010795</v>
      </c>
      <c r="AQ18" s="0" t="n">
        <f aca="false">IF(T18=1,V18,AB18+AH18+AN18)</f>
        <v>0</v>
      </c>
      <c r="AR18" s="0" t="n">
        <f aca="false">IF(T18=1,W18,AC18+AI18+AO18)</f>
        <v>0</v>
      </c>
      <c r="AS18" s="0" t="n">
        <f aca="false">S18-AP18-AQ18-AR18</f>
        <v>0</v>
      </c>
      <c r="AT18" s="0" t="n">
        <f aca="false">C18-AP18</f>
        <v>187704749.430352</v>
      </c>
      <c r="AU18" s="0" t="n">
        <f aca="false">D18-AQ18</f>
        <v>40000000</v>
      </c>
      <c r="AV18" s="0" t="n">
        <f aca="false">E18-AR18</f>
        <v>30000000</v>
      </c>
      <c r="AW18" s="0" t="n">
        <f aca="false">Pool!CB18</f>
        <v>283183071.730443</v>
      </c>
      <c r="AX18" s="0" t="n">
        <f aca="false">IF((AT18)&gt;Inputs!$B$19,AW18/(AT18),1000000000)</f>
        <v>1.50866226128987</v>
      </c>
      <c r="AY18" s="0" t="n">
        <f aca="false">IF((J18)&gt;0.000000001,(R18-I18-MAX(-M18,0))/(J18),1000000000)</f>
        <v>2.55088373749911</v>
      </c>
      <c r="AZ18" s="0" t="n">
        <f aca="false">IF(OR(AX18&lt;Inputs!$B$24,AY18&lt;Inputs!$B$25),1,0)</f>
        <v>0</v>
      </c>
      <c r="BA18" s="0" t="n">
        <f aca="false">IF((AT18+AU18)&gt;Inputs!$B$19,AW18/(AT18+AU18),1000000000)</f>
        <v>1.24364148064053</v>
      </c>
      <c r="BB18" s="0" t="n">
        <f aca="false">IF((J18+K18)&gt;0.000000001,(R18-I18-MAX(-M18,0))/(J18+K18),1000000000)</f>
        <v>2.0383508769184</v>
      </c>
      <c r="BC18" s="0" t="n">
        <f aca="false">IF(OR(BA18&lt;Inputs!$B$29,BB18&lt;Inputs!$B$30),1,0)</f>
        <v>0</v>
      </c>
      <c r="BD18" s="0" t="n">
        <f aca="false">IF((AT18+AU18+AV18)&gt;Inputs!$B$19,AW18/(AT18+AU18+AV18),1000000000)</f>
        <v>1.09886632806113</v>
      </c>
      <c r="BE18" s="0" t="n">
        <f aca="false">IF((J18+K18+L18)&gt;0.000000001,(R18-I18-MAX(-M18,0))/(J18+K18+L18),1000000000)</f>
        <v>1.72020211137114</v>
      </c>
      <c r="BF18" s="0" t="n">
        <f aca="false">IF(OR(BD18&lt;Inputs!$B$34,BE18&lt;Inputs!$B$35),1,0)</f>
        <v>0</v>
      </c>
      <c r="BG18" s="0" t="n">
        <f aca="false">MAX(AZ18,BC18,BF18)</f>
        <v>0</v>
      </c>
      <c r="BH18" s="0" t="n">
        <f aca="false">MIN(R18,N18)</f>
        <v>151626.628817109</v>
      </c>
      <c r="BI18" s="0" t="n">
        <f aca="false">R18-BH18</f>
        <v>2066471.64504872</v>
      </c>
      <c r="BJ18" s="0" t="n">
        <f aca="false">MIN(BI18,O18)</f>
        <v>810100.285901187</v>
      </c>
      <c r="BK18" s="0" t="n">
        <f aca="false">BI18-BJ18</f>
        <v>1256371.35914753</v>
      </c>
      <c r="BL18" s="0" t="n">
        <f aca="false">AZ18*MIN(AT18,BK18)</f>
        <v>0</v>
      </c>
      <c r="BM18" s="0" t="n">
        <f aca="false">AZ18*MIN(AU18,BK18-BL18)</f>
        <v>0</v>
      </c>
      <c r="BN18" s="0" t="n">
        <f aca="false">AZ18*MIN(AV18,BK18-BL18-BM18)</f>
        <v>0</v>
      </c>
      <c r="BO18" s="0" t="n">
        <f aca="false">BK18-BL18-BM18-BN18</f>
        <v>1256371.35914753</v>
      </c>
      <c r="BP18" s="0" t="n">
        <f aca="false">MIN(BO18,P18)</f>
        <v>203695.556830677</v>
      </c>
      <c r="BQ18" s="0" t="n">
        <f aca="false">BO18-BP18</f>
        <v>1052675.80231686</v>
      </c>
      <c r="BR18" s="0" t="n">
        <f aca="false">BC18*MIN((AT18-BL18),BQ18)</f>
        <v>0</v>
      </c>
      <c r="BS18" s="0" t="n">
        <f aca="false">BC18*MIN((AU18-BM18),BQ18-BR18)</f>
        <v>0</v>
      </c>
      <c r="BT18" s="0" t="n">
        <f aca="false">BC18*MIN((AV18-BN18),BQ18-BR18-BS18)</f>
        <v>0</v>
      </c>
      <c r="BU18" s="0" t="n">
        <f aca="false">BQ18-BR18-BS18-BT18</f>
        <v>1052675.80231686</v>
      </c>
      <c r="BV18" s="0" t="n">
        <f aca="false">MIN(BU18,Q18)</f>
        <v>187500</v>
      </c>
      <c r="BW18" s="0" t="n">
        <f aca="false">BU18-BV18</f>
        <v>865175.802316856</v>
      </c>
      <c r="BX18" s="0" t="n">
        <f aca="false">BF18*MIN((AT18-BL18-BR18),BW18)</f>
        <v>0</v>
      </c>
      <c r="BY18" s="0" t="n">
        <f aca="false">BF18*MIN((AU18-BM18-BS18),BW18-BX18)</f>
        <v>0</v>
      </c>
      <c r="BZ18" s="0" t="n">
        <f aca="false">BF18*MIN((AV18-BN18-BT18),BW18-BX18-BY18)</f>
        <v>0</v>
      </c>
      <c r="CA18" s="0" t="n">
        <f aca="false">BW18-BX18-BY18-BZ18</f>
        <v>865175.802316856</v>
      </c>
      <c r="CB18" s="0" t="n">
        <f aca="false">MAX(0,AT18+AU18+AV18-BL18-BM18-BN18-BR18-BS18-BT18-BX18-BY18-BZ18-AW18)</f>
        <v>0</v>
      </c>
      <c r="CC18" s="0" t="n">
        <f aca="false">1*MIN((AT18-BL18-BR18-BX18),MIN(CA18,CB18))</f>
        <v>0</v>
      </c>
      <c r="CD18" s="0" t="n">
        <f aca="false">1*MIN((AU18-BM18-BS18-BY18),MIN(CA18,CB18)-CC18)</f>
        <v>0</v>
      </c>
      <c r="CE18" s="0" t="n">
        <f aca="false">1*MIN((AV18-BN18-BT18-BZ18),MIN(CA18,CB18)-CC18-CD18)</f>
        <v>0</v>
      </c>
      <c r="CF18" s="0" t="n">
        <f aca="false">CA18-CC18-CD18-CE18</f>
        <v>865175.802316856</v>
      </c>
      <c r="CG18" s="0" t="n">
        <f aca="false">IF(C18+D18+E18&gt;Inputs!$B$19,MIN(CF18,MAX(0,Inputs!$B$15-DO17)),0)</f>
        <v>0</v>
      </c>
      <c r="CH18" s="0" t="n">
        <f aca="false">CF18-CG18</f>
        <v>865175.802316856</v>
      </c>
      <c r="CI18" s="0" t="n">
        <f aca="false">DO17+CG18</f>
        <v>3000000</v>
      </c>
      <c r="CJ18" s="0" t="n">
        <f aca="false">MIN(MAX(N18-BH18,0),CI18)</f>
        <v>0</v>
      </c>
      <c r="CK18" s="0" t="n">
        <f aca="false">MIN(MAX(O18-BJ18,0),CI18-CJ18)</f>
        <v>0</v>
      </c>
      <c r="CL18" s="0" t="n">
        <f aca="false">MIN(MAX(P18-BP18,0),CI18-CJ18-CK18)</f>
        <v>0</v>
      </c>
      <c r="CM18" s="0" t="n">
        <f aca="false">CJ18+CK18+CL18</f>
        <v>0</v>
      </c>
      <c r="CN18" s="0" t="n">
        <f aca="false">CI18-CM18</f>
        <v>3000000</v>
      </c>
      <c r="CO18" s="0" t="n">
        <f aca="false">BH18+CJ18</f>
        <v>151626.628817109</v>
      </c>
      <c r="CP18" s="0" t="n">
        <f aca="false">BJ18+CK18</f>
        <v>810100.285901187</v>
      </c>
      <c r="CQ18" s="0" t="n">
        <f aca="false">BP18+CL18</f>
        <v>203695.556830677</v>
      </c>
      <c r="CR18" s="0" t="n">
        <f aca="false">BV18</f>
        <v>187500</v>
      </c>
      <c r="CS18" s="0" t="n">
        <f aca="false">AT18-BL18-BR18-BX18-CC18</f>
        <v>187704749.430352</v>
      </c>
      <c r="CT18" s="0" t="n">
        <f aca="false">AU18-BM18-BS18-BY18-CD18</f>
        <v>40000000</v>
      </c>
      <c r="CU18" s="0" t="n">
        <f aca="false">AV18-BN18-BT18-BZ18-CE18</f>
        <v>30000000</v>
      </c>
      <c r="CV18" s="0" t="n">
        <f aca="false">MAX(0,CS18+CT18+CU18-AW18)</f>
        <v>0</v>
      </c>
      <c r="CW18" s="0" t="n">
        <f aca="false">MIN(CU18,CV18)</f>
        <v>0</v>
      </c>
      <c r="CX18" s="0" t="n">
        <f aca="false">MIN(CT18,CV18-CW18)</f>
        <v>0</v>
      </c>
      <c r="CY18" s="0" t="n">
        <f aca="false">MIN(CS18,CV18-CW18-CX18)</f>
        <v>0</v>
      </c>
      <c r="CZ18" s="0" t="n">
        <f aca="false">IF(CS18-CY18&lt;Inputs!$B$19,0,CS18-CY18)</f>
        <v>187704749.430352</v>
      </c>
      <c r="DA18" s="0" t="n">
        <f aca="false">IF(CT18-CX18&lt;Inputs!$B$19,0,CT18-CX18)</f>
        <v>40000000</v>
      </c>
      <c r="DB18" s="0" t="n">
        <f aca="false">IF(CU18-CW18&lt;Inputs!$B$19,0,CU18-CW18)</f>
        <v>30000000</v>
      </c>
      <c r="DC18" s="0" t="n">
        <f aca="false">N18-CO18</f>
        <v>0</v>
      </c>
      <c r="DD18" s="0" t="n">
        <f aca="false">O18-CP18</f>
        <v>0</v>
      </c>
      <c r="DE18" s="0" t="n">
        <f aca="false">P18-CQ18</f>
        <v>0</v>
      </c>
      <c r="DF18" s="0" t="n">
        <f aca="false">Q18-CR18</f>
        <v>0</v>
      </c>
      <c r="DG18" s="0" t="n">
        <f aca="false">IF(CZ18+DA18+DB18&lt;=Inputs!$B$19,1,0)</f>
        <v>0</v>
      </c>
      <c r="DH18" s="0" t="n">
        <f aca="false">DG18*CN18</f>
        <v>0</v>
      </c>
      <c r="DI18" s="0" t="n">
        <f aca="false">DG18*(AS18+DH18)</f>
        <v>0</v>
      </c>
      <c r="DJ18" s="0" t="n">
        <f aca="false">DG18*MIN(DC18,DI18)</f>
        <v>0</v>
      </c>
      <c r="DK18" s="0" t="n">
        <f aca="false">DG18*MIN(DD18,DI18-DJ18)</f>
        <v>0</v>
      </c>
      <c r="DL18" s="0" t="n">
        <f aca="false">DG18*MIN(DE18,DI18-DJ18-DK18)</f>
        <v>0</v>
      </c>
      <c r="DM18" s="0" t="n">
        <f aca="false">DG18*MIN(DF18,DI18-DJ18-DK18-DL18)</f>
        <v>0</v>
      </c>
      <c r="DN18" s="0" t="n">
        <f aca="false">DJ18+DK18+DL18+DM18</f>
        <v>0</v>
      </c>
      <c r="DO18" s="0" t="n">
        <f aca="false">CN18-DH18</f>
        <v>3000000</v>
      </c>
      <c r="DP18" s="0" t="n">
        <f aca="false">DC18-DJ18</f>
        <v>0</v>
      </c>
      <c r="DQ18" s="0" t="n">
        <f aca="false">DD18-DK18</f>
        <v>0</v>
      </c>
      <c r="DR18" s="0" t="n">
        <f aca="false">DE18-DL18</f>
        <v>0</v>
      </c>
      <c r="DS18" s="0" t="n">
        <f aca="false">DF18-DM18</f>
        <v>0</v>
      </c>
      <c r="DT18" s="0" t="n">
        <f aca="false">CO18+DJ18</f>
        <v>151626.628817109</v>
      </c>
      <c r="DU18" s="0" t="n">
        <f aca="false">CP18+DK18</f>
        <v>810100.285901187</v>
      </c>
      <c r="DV18" s="0" t="n">
        <f aca="false">AP18+BL18+BR18+BX18+CC18</f>
        <v>8253013.78010795</v>
      </c>
      <c r="DW18" s="0" t="n">
        <f aca="false">CQ18+DL18</f>
        <v>203695.556830677</v>
      </c>
      <c r="DX18" s="0" t="n">
        <f aca="false">AQ18+BM18+BS18+BY18+CD18</f>
        <v>0</v>
      </c>
      <c r="DY18" s="0" t="n">
        <f aca="false">CR18+DM18</f>
        <v>187500</v>
      </c>
      <c r="DZ18" s="0" t="n">
        <f aca="false">AR18+BN18+BT18+BZ18+CE18</f>
        <v>0</v>
      </c>
      <c r="EA18" s="0" t="n">
        <f aca="false">DI18-DN18</f>
        <v>0</v>
      </c>
      <c r="EB18" s="0" t="n">
        <f aca="false">CH18+EA18</f>
        <v>865175.802316856</v>
      </c>
      <c r="EC18" s="0" t="n">
        <f aca="false">R18-I18-MAX(-M18,0)-J18-K18-L18</f>
        <v>865175.802316856</v>
      </c>
      <c r="ED18" s="0" t="n">
        <f aca="false">R18+S18+CM18+DH18-CG18-DT18-DU18-DW18-DY18-DV18-DX18-DZ18-EB18</f>
        <v>0</v>
      </c>
      <c r="EE18" s="0" t="n">
        <f aca="false">IF(AND(EB18&gt;0.000001,DP18+DQ18+DR18+DS18&gt;0.000001),1,0)</f>
        <v>0</v>
      </c>
    </row>
    <row r="19" customFormat="false" ht="15" hidden="false" customHeight="false" outlineLevel="0" collapsed="false">
      <c r="A19" s="0" t="n">
        <f aca="false">ROW()-5</f>
        <v>14</v>
      </c>
      <c r="B19" s="0" t="n">
        <f aca="false">Inputs!$B$11+(Inputs!$B$12-Inputs!$B$11)*(1-EXP(-A19/Inputs!$B$13))+Inputs!$B$8</f>
        <v>0.0383593690305855</v>
      </c>
      <c r="C19" s="0" t="n">
        <f aca="false">CZ18</f>
        <v>187704749.430352</v>
      </c>
      <c r="D19" s="0" t="n">
        <f aca="false">DA18</f>
        <v>40000000</v>
      </c>
      <c r="E19" s="0" t="n">
        <f aca="false">DB18</f>
        <v>30000000</v>
      </c>
      <c r="F19" s="0" t="n">
        <f aca="false">IF(Inputs!$B$22=1,B19+Inputs!$B$23,Inputs!$B$23)/12</f>
        <v>0.00411328075254879</v>
      </c>
      <c r="G19" s="0" t="n">
        <f aca="false">IF(Inputs!$B$27=1,B19+Inputs!$B$28,Inputs!$B$28)/12</f>
        <v>0.00507161408588213</v>
      </c>
      <c r="H19" s="0" t="n">
        <f aca="false">IF(Inputs!$B$32=1,B19+Inputs!$B$33,Inputs!$B$33)/12</f>
        <v>0.00625</v>
      </c>
      <c r="I19" s="0" t="n">
        <f aca="false">Pool!BT19*Inputs!$B$14/12</f>
        <v>147182.616903438</v>
      </c>
      <c r="J19" s="0" t="n">
        <f aca="false">C19*F19</f>
        <v>772082.332993859</v>
      </c>
      <c r="K19" s="0" t="n">
        <f aca="false">D19*G19</f>
        <v>202864.563435285</v>
      </c>
      <c r="L19" s="0" t="n">
        <f aca="false">E19*H19</f>
        <v>187500</v>
      </c>
      <c r="M19" s="0" t="n">
        <f aca="false">Inputs!$B$17*(C19*Inputs!$B$22+D19*Inputs!$B$27+E19*Inputs!$B$32)*(B19-Inputs!$B$18)/12</f>
        <v>0</v>
      </c>
      <c r="N19" s="0" t="n">
        <f aca="false">DP18+I19+MAX(-M19,0)</f>
        <v>147182.616903438</v>
      </c>
      <c r="O19" s="0" t="n">
        <f aca="false">DQ18+J19</f>
        <v>772082.332993859</v>
      </c>
      <c r="P19" s="0" t="n">
        <f aca="false">DR18+K19</f>
        <v>202864.563435285</v>
      </c>
      <c r="Q19" s="0" t="n">
        <f aca="false">DS18+L19</f>
        <v>187500</v>
      </c>
      <c r="R19" s="0" t="n">
        <f aca="false">Pool!BV19+MAX(M19,0)</f>
        <v>2155228.21077906</v>
      </c>
      <c r="S19" s="0" t="n">
        <f aca="false">Pool!BW19+Pool!BX19+Pool!BZ19</f>
        <v>8144112.40661712</v>
      </c>
      <c r="T19" s="0" t="n">
        <f aca="false">MAX(T18,BG18)</f>
        <v>1</v>
      </c>
      <c r="U19" s="0" t="n">
        <f aca="false">MIN(C19,S19)</f>
        <v>8144112.40661712</v>
      </c>
      <c r="V19" s="0" t="n">
        <f aca="false">MIN(D19,S19-U19)</f>
        <v>0</v>
      </c>
      <c r="W19" s="0" t="n">
        <f aca="false">MIN(E19,S19-U19-V19)</f>
        <v>0</v>
      </c>
      <c r="X19" s="0" t="n">
        <f aca="false">IF(C19-(0)&gt;Inputs!$B$19,1,0)</f>
        <v>1</v>
      </c>
      <c r="Y19" s="0" t="n">
        <f aca="false">IF(D19-(0)&gt;Inputs!$B$19,1,0)</f>
        <v>1</v>
      </c>
      <c r="Z19" s="0" t="n">
        <f aca="false">IF(E19-(0)&gt;Inputs!$B$19,1,0)</f>
        <v>1</v>
      </c>
      <c r="AA19" s="0" t="n">
        <f aca="false">IF((X19*C19+Y19*D19+Z19*E19)&gt;0,MIN(C19-(0),S19*X19*C19/(X19*C19+Y19*D19+Z19*E19)),0)</f>
        <v>5931937.93283128</v>
      </c>
      <c r="AB19" s="0" t="n">
        <f aca="false">IF((X19*C19+Y19*D19+Z19*E19)&gt;0,MIN(D19-(0),S19*Y19*D19/(X19*C19+Y19*D19+Z19*E19)),0)</f>
        <v>1264099.69930619</v>
      </c>
      <c r="AC19" s="0" t="n">
        <f aca="false">IF((X19*C19+Y19*D19+Z19*E19)&gt;0,MIN(E19-(0),S19*Z19*E19/(X19*C19+Y19*D19+Z19*E19)),0)</f>
        <v>948074.774479643</v>
      </c>
      <c r="AD19" s="0" t="n">
        <f aca="false">IF(C19-(AA19)&gt;Inputs!$B$19,1,0)</f>
        <v>1</v>
      </c>
      <c r="AE19" s="0" t="n">
        <f aca="false">IF(D19-(AB19)&gt;Inputs!$B$19,1,0)</f>
        <v>1</v>
      </c>
      <c r="AF19" s="0" t="n">
        <f aca="false">IF(E19-(AC19)&gt;Inputs!$B$19,1,0)</f>
        <v>1</v>
      </c>
      <c r="AG19" s="0" t="n">
        <f aca="false">IF((AD19*C19+AE19*D19+AF19*E19)&gt;0,MIN(C19-(AA19),(S19-(AA19+AB19+AC19))*AD19*C19/(AD19*C19+AE19*D19+AF19*E19)),0)</f>
        <v>0</v>
      </c>
      <c r="AH19" s="0" t="n">
        <f aca="false">IF((AD19*C19+AE19*D19+AF19*E19)&gt;0,MIN(D19-(AB19),(S19-(AA19+AB19+AC19))*AE19*D19/(AD19*C19+AE19*D19+AF19*E19)),0)</f>
        <v>0</v>
      </c>
      <c r="AI19" s="0" t="n">
        <f aca="false">IF((AD19*C19+AE19*D19+AF19*E19)&gt;0,MIN(E19-(AC19),(S19-(AA19+AB19+AC19))*AF19*E19/(AD19*C19+AE19*D19+AF19*E19)),0)</f>
        <v>0</v>
      </c>
      <c r="AJ19" s="0" t="n">
        <f aca="false">IF(C19-(AA19+AG19)&gt;Inputs!$B$19,1,0)</f>
        <v>1</v>
      </c>
      <c r="AK19" s="0" t="n">
        <f aca="false">IF(D19-(AB19+AH19)&gt;Inputs!$B$19,1,0)</f>
        <v>1</v>
      </c>
      <c r="AL19" s="0" t="n">
        <f aca="false">IF(E19-(AC19+AI19)&gt;Inputs!$B$19,1,0)</f>
        <v>1</v>
      </c>
      <c r="AM19" s="0" t="n">
        <f aca="false">IF((AJ19*C19+AK19*D19+AL19*E19)&gt;0,MIN(C19-(AA19+AG19),(S19-(AA19+AB19+AC19+AG19+AH19+AI19))*AJ19*C19/(AJ19*C19+AK19*D19+AL19*E19)),0)</f>
        <v>0</v>
      </c>
      <c r="AN19" s="0" t="n">
        <f aca="false">IF((AJ19*C19+AK19*D19+AL19*E19)&gt;0,MIN(D19-(AB19+AH19),(S19-(AA19+AB19+AC19+AG19+AH19+AI19))*AK19*D19/(AJ19*C19+AK19*D19+AL19*E19)),0)</f>
        <v>0</v>
      </c>
      <c r="AO19" s="0" t="n">
        <f aca="false">IF((AJ19*C19+AK19*D19+AL19*E19)&gt;0,MIN(E19-(AC19+AI19),(S19-(AA19+AB19+AC19+AG19+AH19+AI19))*AL19*E19/(AJ19*C19+AK19*D19+AL19*E19)),0)</f>
        <v>0</v>
      </c>
      <c r="AP19" s="0" t="n">
        <f aca="false">IF(T19=1,U19,AA19+AG19+AM19)</f>
        <v>8144112.40661712</v>
      </c>
      <c r="AQ19" s="0" t="n">
        <f aca="false">IF(T19=1,V19,AB19+AH19+AN19)</f>
        <v>0</v>
      </c>
      <c r="AR19" s="0" t="n">
        <f aca="false">IF(T19=1,W19,AC19+AI19+AO19)</f>
        <v>0</v>
      </c>
      <c r="AS19" s="0" t="n">
        <f aca="false">S19-AP19-AQ19-AR19</f>
        <v>0</v>
      </c>
      <c r="AT19" s="0" t="n">
        <f aca="false">C19-AP19</f>
        <v>179560637.023734</v>
      </c>
      <c r="AU19" s="0" t="n">
        <f aca="false">D19-AQ19</f>
        <v>40000000</v>
      </c>
      <c r="AV19" s="0" t="n">
        <f aca="false">E19-AR19</f>
        <v>30000000</v>
      </c>
      <c r="AW19" s="0" t="n">
        <f aca="false">Pool!CB19</f>
        <v>274754681.160807</v>
      </c>
      <c r="AX19" s="0" t="n">
        <f aca="false">IF((AT19)&gt;Inputs!$B$19,AW19/(AT19),1000000000)</f>
        <v>1.53014984639696</v>
      </c>
      <c r="AY19" s="0" t="n">
        <f aca="false">IF((J19)&gt;0.000000001,(R19-I19-MAX(-M19,0))/(J19),1000000000)</f>
        <v>2.60081795433544</v>
      </c>
      <c r="AZ19" s="0" t="n">
        <f aca="false">IF(OR(AX19&lt;Inputs!$B$24,AY19&lt;Inputs!$B$25),1,0)</f>
        <v>0</v>
      </c>
      <c r="BA19" s="0" t="n">
        <f aca="false">IF((AT19+AU19)&gt;Inputs!$B$19,AW19/(AT19+AU19),1000000000)</f>
        <v>1.25138405902469</v>
      </c>
      <c r="BB19" s="0" t="n">
        <f aca="false">IF((J19+K19)&gt;0.000000001,(R19-I19-MAX(-M19,0))/(J19+K19),1000000000)</f>
        <v>2.05964612147628</v>
      </c>
      <c r="BC19" s="0" t="n">
        <f aca="false">IF(OR(BA19&lt;Inputs!$B$29,BB19&lt;Inputs!$B$30),1,0)</f>
        <v>0</v>
      </c>
      <c r="BD19" s="0" t="n">
        <f aca="false">IF((AT19+AU19+AV19)&gt;Inputs!$B$19,AW19/(AT19+AU19+AV19),1000000000)</f>
        <v>1.10095359764079</v>
      </c>
      <c r="BE19" s="0" t="n">
        <f aca="false">IF((J19+K19+L19)&gt;0.000000001,(R19-I19-MAX(-M19,0))/(J19+K19+L19),1000000000)</f>
        <v>1.72742995834393</v>
      </c>
      <c r="BF19" s="0" t="n">
        <f aca="false">IF(OR(BD19&lt;Inputs!$B$34,BE19&lt;Inputs!$B$35),1,0)</f>
        <v>0</v>
      </c>
      <c r="BG19" s="0" t="n">
        <f aca="false">MAX(AZ19,BC19,BF19)</f>
        <v>0</v>
      </c>
      <c r="BH19" s="0" t="n">
        <f aca="false">MIN(R19,N19)</f>
        <v>147182.616903438</v>
      </c>
      <c r="BI19" s="0" t="n">
        <f aca="false">R19-BH19</f>
        <v>2008045.59387562</v>
      </c>
      <c r="BJ19" s="0" t="n">
        <f aca="false">MIN(BI19,O19)</f>
        <v>772082.332993859</v>
      </c>
      <c r="BK19" s="0" t="n">
        <f aca="false">BI19-BJ19</f>
        <v>1235963.26088176</v>
      </c>
      <c r="BL19" s="0" t="n">
        <f aca="false">AZ19*MIN(AT19,BK19)</f>
        <v>0</v>
      </c>
      <c r="BM19" s="0" t="n">
        <f aca="false">AZ19*MIN(AU19,BK19-BL19)</f>
        <v>0</v>
      </c>
      <c r="BN19" s="0" t="n">
        <f aca="false">AZ19*MIN(AV19,BK19-BL19-BM19)</f>
        <v>0</v>
      </c>
      <c r="BO19" s="0" t="n">
        <f aca="false">BK19-BL19-BM19-BN19</f>
        <v>1235963.26088176</v>
      </c>
      <c r="BP19" s="0" t="n">
        <f aca="false">MIN(BO19,P19)</f>
        <v>202864.563435285</v>
      </c>
      <c r="BQ19" s="0" t="n">
        <f aca="false">BO19-BP19</f>
        <v>1033098.69744648</v>
      </c>
      <c r="BR19" s="0" t="n">
        <f aca="false">BC19*MIN((AT19-BL19),BQ19)</f>
        <v>0</v>
      </c>
      <c r="BS19" s="0" t="n">
        <f aca="false">BC19*MIN((AU19-BM19),BQ19-BR19)</f>
        <v>0</v>
      </c>
      <c r="BT19" s="0" t="n">
        <f aca="false">BC19*MIN((AV19-BN19),BQ19-BR19-BS19)</f>
        <v>0</v>
      </c>
      <c r="BU19" s="0" t="n">
        <f aca="false">BQ19-BR19-BS19-BT19</f>
        <v>1033098.69744648</v>
      </c>
      <c r="BV19" s="0" t="n">
        <f aca="false">MIN(BU19,Q19)</f>
        <v>187500</v>
      </c>
      <c r="BW19" s="0" t="n">
        <f aca="false">BU19-BV19</f>
        <v>845598.697446478</v>
      </c>
      <c r="BX19" s="0" t="n">
        <f aca="false">BF19*MIN((AT19-BL19-BR19),BW19)</f>
        <v>0</v>
      </c>
      <c r="BY19" s="0" t="n">
        <f aca="false">BF19*MIN((AU19-BM19-BS19),BW19-BX19)</f>
        <v>0</v>
      </c>
      <c r="BZ19" s="0" t="n">
        <f aca="false">BF19*MIN((AV19-BN19-BT19),BW19-BX19-BY19)</f>
        <v>0</v>
      </c>
      <c r="CA19" s="0" t="n">
        <f aca="false">BW19-BX19-BY19-BZ19</f>
        <v>845598.697446478</v>
      </c>
      <c r="CB19" s="0" t="n">
        <f aca="false">MAX(0,AT19+AU19+AV19-BL19-BM19-BN19-BR19-BS19-BT19-BX19-BY19-BZ19-AW19)</f>
        <v>0</v>
      </c>
      <c r="CC19" s="0" t="n">
        <f aca="false">1*MIN((AT19-BL19-BR19-BX19),MIN(CA19,CB19))</f>
        <v>0</v>
      </c>
      <c r="CD19" s="0" t="n">
        <f aca="false">1*MIN((AU19-BM19-BS19-BY19),MIN(CA19,CB19)-CC19)</f>
        <v>0</v>
      </c>
      <c r="CE19" s="0" t="n">
        <f aca="false">1*MIN((AV19-BN19-BT19-BZ19),MIN(CA19,CB19)-CC19-CD19)</f>
        <v>0</v>
      </c>
      <c r="CF19" s="0" t="n">
        <f aca="false">CA19-CC19-CD19-CE19</f>
        <v>845598.697446478</v>
      </c>
      <c r="CG19" s="0" t="n">
        <f aca="false">IF(C19+D19+E19&gt;Inputs!$B$19,MIN(CF19,MAX(0,Inputs!$B$15-DO18)),0)</f>
        <v>0</v>
      </c>
      <c r="CH19" s="0" t="n">
        <f aca="false">CF19-CG19</f>
        <v>845598.697446478</v>
      </c>
      <c r="CI19" s="0" t="n">
        <f aca="false">DO18+CG19</f>
        <v>3000000</v>
      </c>
      <c r="CJ19" s="0" t="n">
        <f aca="false">MIN(MAX(N19-BH19,0),CI19)</f>
        <v>0</v>
      </c>
      <c r="CK19" s="0" t="n">
        <f aca="false">MIN(MAX(O19-BJ19,0),CI19-CJ19)</f>
        <v>0</v>
      </c>
      <c r="CL19" s="0" t="n">
        <f aca="false">MIN(MAX(P19-BP19,0),CI19-CJ19-CK19)</f>
        <v>0</v>
      </c>
      <c r="CM19" s="0" t="n">
        <f aca="false">CJ19+CK19+CL19</f>
        <v>0</v>
      </c>
      <c r="CN19" s="0" t="n">
        <f aca="false">CI19-CM19</f>
        <v>3000000</v>
      </c>
      <c r="CO19" s="0" t="n">
        <f aca="false">BH19+CJ19</f>
        <v>147182.616903438</v>
      </c>
      <c r="CP19" s="0" t="n">
        <f aca="false">BJ19+CK19</f>
        <v>772082.332993859</v>
      </c>
      <c r="CQ19" s="0" t="n">
        <f aca="false">BP19+CL19</f>
        <v>202864.563435285</v>
      </c>
      <c r="CR19" s="0" t="n">
        <f aca="false">BV19</f>
        <v>187500</v>
      </c>
      <c r="CS19" s="0" t="n">
        <f aca="false">AT19-BL19-BR19-BX19-CC19</f>
        <v>179560637.023734</v>
      </c>
      <c r="CT19" s="0" t="n">
        <f aca="false">AU19-BM19-BS19-BY19-CD19</f>
        <v>40000000</v>
      </c>
      <c r="CU19" s="0" t="n">
        <f aca="false">AV19-BN19-BT19-BZ19-CE19</f>
        <v>30000000</v>
      </c>
      <c r="CV19" s="0" t="n">
        <f aca="false">MAX(0,CS19+CT19+CU19-AW19)</f>
        <v>0</v>
      </c>
      <c r="CW19" s="0" t="n">
        <f aca="false">MIN(CU19,CV19)</f>
        <v>0</v>
      </c>
      <c r="CX19" s="0" t="n">
        <f aca="false">MIN(CT19,CV19-CW19)</f>
        <v>0</v>
      </c>
      <c r="CY19" s="0" t="n">
        <f aca="false">MIN(CS19,CV19-CW19-CX19)</f>
        <v>0</v>
      </c>
      <c r="CZ19" s="0" t="n">
        <f aca="false">IF(CS19-CY19&lt;Inputs!$B$19,0,CS19-CY19)</f>
        <v>179560637.023734</v>
      </c>
      <c r="DA19" s="0" t="n">
        <f aca="false">IF(CT19-CX19&lt;Inputs!$B$19,0,CT19-CX19)</f>
        <v>40000000</v>
      </c>
      <c r="DB19" s="0" t="n">
        <f aca="false">IF(CU19-CW19&lt;Inputs!$B$19,0,CU19-CW19)</f>
        <v>30000000</v>
      </c>
      <c r="DC19" s="0" t="n">
        <f aca="false">N19-CO19</f>
        <v>0</v>
      </c>
      <c r="DD19" s="0" t="n">
        <f aca="false">O19-CP19</f>
        <v>0</v>
      </c>
      <c r="DE19" s="0" t="n">
        <f aca="false">P19-CQ19</f>
        <v>0</v>
      </c>
      <c r="DF19" s="0" t="n">
        <f aca="false">Q19-CR19</f>
        <v>0</v>
      </c>
      <c r="DG19" s="0" t="n">
        <f aca="false">IF(CZ19+DA19+DB19&lt;=Inputs!$B$19,1,0)</f>
        <v>0</v>
      </c>
      <c r="DH19" s="0" t="n">
        <f aca="false">DG19*CN19</f>
        <v>0</v>
      </c>
      <c r="DI19" s="0" t="n">
        <f aca="false">DG19*(AS19+DH19)</f>
        <v>0</v>
      </c>
      <c r="DJ19" s="0" t="n">
        <f aca="false">DG19*MIN(DC19,DI19)</f>
        <v>0</v>
      </c>
      <c r="DK19" s="0" t="n">
        <f aca="false">DG19*MIN(DD19,DI19-DJ19)</f>
        <v>0</v>
      </c>
      <c r="DL19" s="0" t="n">
        <f aca="false">DG19*MIN(DE19,DI19-DJ19-DK19)</f>
        <v>0</v>
      </c>
      <c r="DM19" s="0" t="n">
        <f aca="false">DG19*MIN(DF19,DI19-DJ19-DK19-DL19)</f>
        <v>0</v>
      </c>
      <c r="DN19" s="0" t="n">
        <f aca="false">DJ19+DK19+DL19+DM19</f>
        <v>0</v>
      </c>
      <c r="DO19" s="0" t="n">
        <f aca="false">CN19-DH19</f>
        <v>3000000</v>
      </c>
      <c r="DP19" s="0" t="n">
        <f aca="false">DC19-DJ19</f>
        <v>0</v>
      </c>
      <c r="DQ19" s="0" t="n">
        <f aca="false">DD19-DK19</f>
        <v>0</v>
      </c>
      <c r="DR19" s="0" t="n">
        <f aca="false">DE19-DL19</f>
        <v>0</v>
      </c>
      <c r="DS19" s="0" t="n">
        <f aca="false">DF19-DM19</f>
        <v>0</v>
      </c>
      <c r="DT19" s="0" t="n">
        <f aca="false">CO19+DJ19</f>
        <v>147182.616903438</v>
      </c>
      <c r="DU19" s="0" t="n">
        <f aca="false">CP19+DK19</f>
        <v>772082.332993859</v>
      </c>
      <c r="DV19" s="0" t="n">
        <f aca="false">AP19+BL19+BR19+BX19+CC19</f>
        <v>8144112.40661712</v>
      </c>
      <c r="DW19" s="0" t="n">
        <f aca="false">CQ19+DL19</f>
        <v>202864.563435285</v>
      </c>
      <c r="DX19" s="0" t="n">
        <f aca="false">AQ19+BM19+BS19+BY19+CD19</f>
        <v>0</v>
      </c>
      <c r="DY19" s="0" t="n">
        <f aca="false">CR19+DM19</f>
        <v>187500</v>
      </c>
      <c r="DZ19" s="0" t="n">
        <f aca="false">AR19+BN19+BT19+BZ19+CE19</f>
        <v>0</v>
      </c>
      <c r="EA19" s="0" t="n">
        <f aca="false">DI19-DN19</f>
        <v>0</v>
      </c>
      <c r="EB19" s="0" t="n">
        <f aca="false">CH19+EA19</f>
        <v>845598.697446478</v>
      </c>
      <c r="EC19" s="0" t="n">
        <f aca="false">R19-I19-MAX(-M19,0)-J19-K19-L19</f>
        <v>845598.697446478</v>
      </c>
      <c r="ED19" s="0" t="n">
        <f aca="false">R19+S19+CM19+DH19-CG19-DT19-DU19-DW19-DY19-DV19-DX19-DZ19-EB19</f>
        <v>0</v>
      </c>
      <c r="EE19" s="0" t="n">
        <f aca="false">IF(AND(EB19&gt;0.000001,DP19+DQ19+DR19+DS19&gt;0.000001),1,0)</f>
        <v>0</v>
      </c>
    </row>
    <row r="20" customFormat="false" ht="15" hidden="false" customHeight="false" outlineLevel="0" collapsed="false">
      <c r="A20" s="0" t="n">
        <f aca="false">ROW()-5</f>
        <v>15</v>
      </c>
      <c r="B20" s="0" t="n">
        <f aca="false">Inputs!$B$11+(Inputs!$B$12-Inputs!$B$11)*(1-EXP(-A20/Inputs!$B$13))+Inputs!$B$8</f>
        <v>0.0381202449994494</v>
      </c>
      <c r="C20" s="0" t="n">
        <f aca="false">CZ19</f>
        <v>179560637.023734</v>
      </c>
      <c r="D20" s="0" t="n">
        <f aca="false">DA19</f>
        <v>40000000</v>
      </c>
      <c r="E20" s="0" t="n">
        <f aca="false">DB19</f>
        <v>30000000</v>
      </c>
      <c r="F20" s="0" t="n">
        <f aca="false">IF(Inputs!$B$22=1,B20+Inputs!$B$23,Inputs!$B$23)/12</f>
        <v>0.00409335374995412</v>
      </c>
      <c r="G20" s="0" t="n">
        <f aca="false">IF(Inputs!$B$27=1,B20+Inputs!$B$28,Inputs!$B$28)/12</f>
        <v>0.00505168708328745</v>
      </c>
      <c r="H20" s="0" t="n">
        <f aca="false">IF(Inputs!$B$32=1,B20+Inputs!$B$33,Inputs!$B$33)/12</f>
        <v>0.00625</v>
      </c>
      <c r="I20" s="0" t="n">
        <f aca="false">Pool!BT20*Inputs!$B$14/12</f>
        <v>142799.702713876</v>
      </c>
      <c r="J20" s="0" t="n">
        <f aca="false">C20*F20</f>
        <v>735005.206905254</v>
      </c>
      <c r="K20" s="0" t="n">
        <f aca="false">D20*G20</f>
        <v>202067.483331498</v>
      </c>
      <c r="L20" s="0" t="n">
        <f aca="false">E20*H20</f>
        <v>187500</v>
      </c>
      <c r="M20" s="0" t="n">
        <f aca="false">Inputs!$B$17*(C20*Inputs!$B$22+D20*Inputs!$B$27+E20*Inputs!$B$32)*(B20-Inputs!$B$18)/12</f>
        <v>0</v>
      </c>
      <c r="N20" s="0" t="n">
        <f aca="false">DP19+I20+MAX(-M20,0)</f>
        <v>142799.702713876</v>
      </c>
      <c r="O20" s="0" t="n">
        <f aca="false">DQ19+J20</f>
        <v>735005.206905254</v>
      </c>
      <c r="P20" s="0" t="n">
        <f aca="false">DR19+K20</f>
        <v>202067.483331498</v>
      </c>
      <c r="Q20" s="0" t="n">
        <f aca="false">DS19+L20</f>
        <v>187500</v>
      </c>
      <c r="R20" s="0" t="n">
        <f aca="false">Pool!BV20+MAX(M20,0)</f>
        <v>2093214.10947933</v>
      </c>
      <c r="S20" s="0" t="n">
        <f aca="false">Pool!BW20+Pool!BX20+Pool!BZ20</f>
        <v>8036506.58239462</v>
      </c>
      <c r="T20" s="0" t="n">
        <f aca="false">MAX(T19,BG19)</f>
        <v>1</v>
      </c>
      <c r="U20" s="0" t="n">
        <f aca="false">MIN(C20,S20)</f>
        <v>8036506.58239462</v>
      </c>
      <c r="V20" s="0" t="n">
        <f aca="false">MIN(D20,S20-U20)</f>
        <v>0</v>
      </c>
      <c r="W20" s="0" t="n">
        <f aca="false">MIN(E20,S20-U20-V20)</f>
        <v>0</v>
      </c>
      <c r="X20" s="0" t="n">
        <f aca="false">IF(C20-(0)&gt;Inputs!$B$19,1,0)</f>
        <v>1</v>
      </c>
      <c r="Y20" s="0" t="n">
        <f aca="false">IF(D20-(0)&gt;Inputs!$B$19,1,0)</f>
        <v>1</v>
      </c>
      <c r="Z20" s="0" t="n">
        <f aca="false">IF(E20-(0)&gt;Inputs!$B$19,1,0)</f>
        <v>1</v>
      </c>
      <c r="AA20" s="0" t="n">
        <f aca="false">IF((X20*C20+Y20*D20+Z20*E20)&gt;0,MIN(C20-(0),S20*X20*C20/(X20*C20+Y20*D20+Z20*E20)),0)</f>
        <v>5782323.12030431</v>
      </c>
      <c r="AB20" s="0" t="n">
        <f aca="false">IF((X20*C20+Y20*D20+Z20*E20)&gt;0,MIN(D20-(0),S20*Y20*D20/(X20*C20+Y20*D20+Z20*E20)),0)</f>
        <v>1288104.83548017</v>
      </c>
      <c r="AC20" s="0" t="n">
        <f aca="false">IF((X20*C20+Y20*D20+Z20*E20)&gt;0,MIN(E20-(0),S20*Z20*E20/(X20*C20+Y20*D20+Z20*E20)),0)</f>
        <v>966078.62661013</v>
      </c>
      <c r="AD20" s="0" t="n">
        <f aca="false">IF(C20-(AA20)&gt;Inputs!$B$19,1,0)</f>
        <v>1</v>
      </c>
      <c r="AE20" s="0" t="n">
        <f aca="false">IF(D20-(AB20)&gt;Inputs!$B$19,1,0)</f>
        <v>1</v>
      </c>
      <c r="AF20" s="0" t="n">
        <f aca="false">IF(E20-(AC20)&gt;Inputs!$B$19,1,0)</f>
        <v>1</v>
      </c>
      <c r="AG20" s="0" t="n">
        <f aca="false">IF((AD20*C20+AE20*D20+AF20*E20)&gt;0,MIN(C20-(AA20),(S20-(AA20+AB20+AC20))*AD20*C20/(AD20*C20+AE20*D20+AF20*E20)),0)</f>
        <v>0</v>
      </c>
      <c r="AH20" s="0" t="n">
        <f aca="false">IF((AD20*C20+AE20*D20+AF20*E20)&gt;0,MIN(D20-(AB20),(S20-(AA20+AB20+AC20))*AE20*D20/(AD20*C20+AE20*D20+AF20*E20)),0)</f>
        <v>0</v>
      </c>
      <c r="AI20" s="0" t="n">
        <f aca="false">IF((AD20*C20+AE20*D20+AF20*E20)&gt;0,MIN(E20-(AC20),(S20-(AA20+AB20+AC20))*AF20*E20/(AD20*C20+AE20*D20+AF20*E20)),0)</f>
        <v>0</v>
      </c>
      <c r="AJ20" s="0" t="n">
        <f aca="false">IF(C20-(AA20+AG20)&gt;Inputs!$B$19,1,0)</f>
        <v>1</v>
      </c>
      <c r="AK20" s="0" t="n">
        <f aca="false">IF(D20-(AB20+AH20)&gt;Inputs!$B$19,1,0)</f>
        <v>1</v>
      </c>
      <c r="AL20" s="0" t="n">
        <f aca="false">IF(E20-(AC20+AI20)&gt;Inputs!$B$19,1,0)</f>
        <v>1</v>
      </c>
      <c r="AM20" s="0" t="n">
        <f aca="false">IF((AJ20*C20+AK20*D20+AL20*E20)&gt;0,MIN(C20-(AA20+AG20),(S20-(AA20+AB20+AC20+AG20+AH20+AI20))*AJ20*C20/(AJ20*C20+AK20*D20+AL20*E20)),0)</f>
        <v>0</v>
      </c>
      <c r="AN20" s="0" t="n">
        <f aca="false">IF((AJ20*C20+AK20*D20+AL20*E20)&gt;0,MIN(D20-(AB20+AH20),(S20-(AA20+AB20+AC20+AG20+AH20+AI20))*AK20*D20/(AJ20*C20+AK20*D20+AL20*E20)),0)</f>
        <v>0</v>
      </c>
      <c r="AO20" s="0" t="n">
        <f aca="false">IF((AJ20*C20+AK20*D20+AL20*E20)&gt;0,MIN(E20-(AC20+AI20),(S20-(AA20+AB20+AC20+AG20+AH20+AI20))*AL20*E20/(AJ20*C20+AK20*D20+AL20*E20)),0)</f>
        <v>0</v>
      </c>
      <c r="AP20" s="0" t="n">
        <f aca="false">IF(T20=1,U20,AA20+AG20+AM20)</f>
        <v>8036506.58239462</v>
      </c>
      <c r="AQ20" s="0" t="n">
        <f aca="false">IF(T20=1,V20,AB20+AH20+AN20)</f>
        <v>0</v>
      </c>
      <c r="AR20" s="0" t="n">
        <f aca="false">IF(T20=1,W20,AC20+AI20+AO20)</f>
        <v>0</v>
      </c>
      <c r="AS20" s="0" t="n">
        <f aca="false">S20-AP20-AQ20-AR20</f>
        <v>0</v>
      </c>
      <c r="AT20" s="0" t="n">
        <f aca="false">C20-AP20</f>
        <v>171524130.44134</v>
      </c>
      <c r="AU20" s="0" t="n">
        <f aca="false">D20-AQ20</f>
        <v>40000000</v>
      </c>
      <c r="AV20" s="0" t="n">
        <f aca="false">E20-AR20</f>
        <v>30000000</v>
      </c>
      <c r="AW20" s="0" t="n">
        <f aca="false">Pool!CB20</f>
        <v>266442361.863425</v>
      </c>
      <c r="AX20" s="0" t="n">
        <f aca="false">IF((AT20)&gt;Inputs!$B$19,AW20/(AT20),1000000000)</f>
        <v>1.55338121334798</v>
      </c>
      <c r="AY20" s="0" t="n">
        <f aca="false">IF((J20)&gt;0.000000001,(R20-I20-MAX(-M20,0))/(J20),1000000000)</f>
        <v>2.65360624447505</v>
      </c>
      <c r="AZ20" s="0" t="n">
        <f aca="false">IF(OR(AX20&lt;Inputs!$B$24,AY20&lt;Inputs!$B$25),1,0)</f>
        <v>0</v>
      </c>
      <c r="BA20" s="0" t="n">
        <f aca="false">IF((AT20+AU20)&gt;Inputs!$B$19,AW20/(AT20+AU20),1000000000)</f>
        <v>1.25963104685739</v>
      </c>
      <c r="BB20" s="0" t="n">
        <f aca="false">IF((J20+K20)&gt;0.000000001,(R20-I20-MAX(-M20,0))/(J20+K20),1000000000)</f>
        <v>2.08139072569993</v>
      </c>
      <c r="BC20" s="0" t="n">
        <f aca="false">IF(OR(BA20&lt;Inputs!$B$29,BB20&lt;Inputs!$B$30),1,0)</f>
        <v>0</v>
      </c>
      <c r="BD20" s="0" t="n">
        <f aca="false">IF((AT20+AU20+AV20)&gt;Inputs!$B$19,AW20/(AT20+AU20+AV20),1000000000)</f>
        <v>1.10317077377135</v>
      </c>
      <c r="BE20" s="0" t="n">
        <f aca="false">IF((J20+K20+L20)&gt;0.000000001,(R20-I20-MAX(-M20,0))/(J20+K20+L20),1000000000)</f>
        <v>1.7343604585977</v>
      </c>
      <c r="BF20" s="0" t="n">
        <f aca="false">IF(OR(BD20&lt;Inputs!$B$34,BE20&lt;Inputs!$B$35),1,0)</f>
        <v>0</v>
      </c>
      <c r="BG20" s="0" t="n">
        <f aca="false">MAX(AZ20,BC20,BF20)</f>
        <v>0</v>
      </c>
      <c r="BH20" s="0" t="n">
        <f aca="false">MIN(R20,N20)</f>
        <v>142799.702713876</v>
      </c>
      <c r="BI20" s="0" t="n">
        <f aca="false">R20-BH20</f>
        <v>1950414.40676546</v>
      </c>
      <c r="BJ20" s="0" t="n">
        <f aca="false">MIN(BI20,O20)</f>
        <v>735005.206905254</v>
      </c>
      <c r="BK20" s="0" t="n">
        <f aca="false">BI20-BJ20</f>
        <v>1215409.1998602</v>
      </c>
      <c r="BL20" s="0" t="n">
        <f aca="false">AZ20*MIN(AT20,BK20)</f>
        <v>0</v>
      </c>
      <c r="BM20" s="0" t="n">
        <f aca="false">AZ20*MIN(AU20,BK20-BL20)</f>
        <v>0</v>
      </c>
      <c r="BN20" s="0" t="n">
        <f aca="false">AZ20*MIN(AV20,BK20-BL20-BM20)</f>
        <v>0</v>
      </c>
      <c r="BO20" s="0" t="n">
        <f aca="false">BK20-BL20-BM20-BN20</f>
        <v>1215409.1998602</v>
      </c>
      <c r="BP20" s="0" t="n">
        <f aca="false">MIN(BO20,P20)</f>
        <v>202067.483331498</v>
      </c>
      <c r="BQ20" s="0" t="n">
        <f aca="false">BO20-BP20</f>
        <v>1013341.71652871</v>
      </c>
      <c r="BR20" s="0" t="n">
        <f aca="false">BC20*MIN((AT20-BL20),BQ20)</f>
        <v>0</v>
      </c>
      <c r="BS20" s="0" t="n">
        <f aca="false">BC20*MIN((AU20-BM20),BQ20-BR20)</f>
        <v>0</v>
      </c>
      <c r="BT20" s="0" t="n">
        <f aca="false">BC20*MIN((AV20-BN20),BQ20-BR20-BS20)</f>
        <v>0</v>
      </c>
      <c r="BU20" s="0" t="n">
        <f aca="false">BQ20-BR20-BS20-BT20</f>
        <v>1013341.71652871</v>
      </c>
      <c r="BV20" s="0" t="n">
        <f aca="false">MIN(BU20,Q20)</f>
        <v>187500</v>
      </c>
      <c r="BW20" s="0" t="n">
        <f aca="false">BU20-BV20</f>
        <v>825841.716528707</v>
      </c>
      <c r="BX20" s="0" t="n">
        <f aca="false">BF20*MIN((AT20-BL20-BR20),BW20)</f>
        <v>0</v>
      </c>
      <c r="BY20" s="0" t="n">
        <f aca="false">BF20*MIN((AU20-BM20-BS20),BW20-BX20)</f>
        <v>0</v>
      </c>
      <c r="BZ20" s="0" t="n">
        <f aca="false">BF20*MIN((AV20-BN20-BT20),BW20-BX20-BY20)</f>
        <v>0</v>
      </c>
      <c r="CA20" s="0" t="n">
        <f aca="false">BW20-BX20-BY20-BZ20</f>
        <v>825841.716528707</v>
      </c>
      <c r="CB20" s="0" t="n">
        <f aca="false">MAX(0,AT20+AU20+AV20-BL20-BM20-BN20-BR20-BS20-BT20-BX20-BY20-BZ20-AW20)</f>
        <v>0</v>
      </c>
      <c r="CC20" s="0" t="n">
        <f aca="false">1*MIN((AT20-BL20-BR20-BX20),MIN(CA20,CB20))</f>
        <v>0</v>
      </c>
      <c r="CD20" s="0" t="n">
        <f aca="false">1*MIN((AU20-BM20-BS20-BY20),MIN(CA20,CB20)-CC20)</f>
        <v>0</v>
      </c>
      <c r="CE20" s="0" t="n">
        <f aca="false">1*MIN((AV20-BN20-BT20-BZ20),MIN(CA20,CB20)-CC20-CD20)</f>
        <v>0</v>
      </c>
      <c r="CF20" s="0" t="n">
        <f aca="false">CA20-CC20-CD20-CE20</f>
        <v>825841.716528707</v>
      </c>
      <c r="CG20" s="0" t="n">
        <f aca="false">IF(C20+D20+E20&gt;Inputs!$B$19,MIN(CF20,MAX(0,Inputs!$B$15-DO19)),0)</f>
        <v>0</v>
      </c>
      <c r="CH20" s="0" t="n">
        <f aca="false">CF20-CG20</f>
        <v>825841.716528707</v>
      </c>
      <c r="CI20" s="0" t="n">
        <f aca="false">DO19+CG20</f>
        <v>3000000</v>
      </c>
      <c r="CJ20" s="0" t="n">
        <f aca="false">MIN(MAX(N20-BH20,0),CI20)</f>
        <v>0</v>
      </c>
      <c r="CK20" s="0" t="n">
        <f aca="false">MIN(MAX(O20-BJ20,0),CI20-CJ20)</f>
        <v>0</v>
      </c>
      <c r="CL20" s="0" t="n">
        <f aca="false">MIN(MAX(P20-BP20,0),CI20-CJ20-CK20)</f>
        <v>0</v>
      </c>
      <c r="CM20" s="0" t="n">
        <f aca="false">CJ20+CK20+CL20</f>
        <v>0</v>
      </c>
      <c r="CN20" s="0" t="n">
        <f aca="false">CI20-CM20</f>
        <v>3000000</v>
      </c>
      <c r="CO20" s="0" t="n">
        <f aca="false">BH20+CJ20</f>
        <v>142799.702713876</v>
      </c>
      <c r="CP20" s="0" t="n">
        <f aca="false">BJ20+CK20</f>
        <v>735005.206905254</v>
      </c>
      <c r="CQ20" s="0" t="n">
        <f aca="false">BP20+CL20</f>
        <v>202067.483331498</v>
      </c>
      <c r="CR20" s="0" t="n">
        <f aca="false">BV20</f>
        <v>187500</v>
      </c>
      <c r="CS20" s="0" t="n">
        <f aca="false">AT20-BL20-BR20-BX20-CC20</f>
        <v>171524130.44134</v>
      </c>
      <c r="CT20" s="0" t="n">
        <f aca="false">AU20-BM20-BS20-BY20-CD20</f>
        <v>40000000</v>
      </c>
      <c r="CU20" s="0" t="n">
        <f aca="false">AV20-BN20-BT20-BZ20-CE20</f>
        <v>30000000</v>
      </c>
      <c r="CV20" s="0" t="n">
        <f aca="false">MAX(0,CS20+CT20+CU20-AW20)</f>
        <v>0</v>
      </c>
      <c r="CW20" s="0" t="n">
        <f aca="false">MIN(CU20,CV20)</f>
        <v>0</v>
      </c>
      <c r="CX20" s="0" t="n">
        <f aca="false">MIN(CT20,CV20-CW20)</f>
        <v>0</v>
      </c>
      <c r="CY20" s="0" t="n">
        <f aca="false">MIN(CS20,CV20-CW20-CX20)</f>
        <v>0</v>
      </c>
      <c r="CZ20" s="0" t="n">
        <f aca="false">IF(CS20-CY20&lt;Inputs!$B$19,0,CS20-CY20)</f>
        <v>171524130.44134</v>
      </c>
      <c r="DA20" s="0" t="n">
        <f aca="false">IF(CT20-CX20&lt;Inputs!$B$19,0,CT20-CX20)</f>
        <v>40000000</v>
      </c>
      <c r="DB20" s="0" t="n">
        <f aca="false">IF(CU20-CW20&lt;Inputs!$B$19,0,CU20-CW20)</f>
        <v>30000000</v>
      </c>
      <c r="DC20" s="0" t="n">
        <f aca="false">N20-CO20</f>
        <v>0</v>
      </c>
      <c r="DD20" s="0" t="n">
        <f aca="false">O20-CP20</f>
        <v>0</v>
      </c>
      <c r="DE20" s="0" t="n">
        <f aca="false">P20-CQ20</f>
        <v>0</v>
      </c>
      <c r="DF20" s="0" t="n">
        <f aca="false">Q20-CR20</f>
        <v>0</v>
      </c>
      <c r="DG20" s="0" t="n">
        <f aca="false">IF(CZ20+DA20+DB20&lt;=Inputs!$B$19,1,0)</f>
        <v>0</v>
      </c>
      <c r="DH20" s="0" t="n">
        <f aca="false">DG20*CN20</f>
        <v>0</v>
      </c>
      <c r="DI20" s="0" t="n">
        <f aca="false">DG20*(AS20+DH20)</f>
        <v>0</v>
      </c>
      <c r="DJ20" s="0" t="n">
        <f aca="false">DG20*MIN(DC20,DI20)</f>
        <v>0</v>
      </c>
      <c r="DK20" s="0" t="n">
        <f aca="false">DG20*MIN(DD20,DI20-DJ20)</f>
        <v>0</v>
      </c>
      <c r="DL20" s="0" t="n">
        <f aca="false">DG20*MIN(DE20,DI20-DJ20-DK20)</f>
        <v>0</v>
      </c>
      <c r="DM20" s="0" t="n">
        <f aca="false">DG20*MIN(DF20,DI20-DJ20-DK20-DL20)</f>
        <v>0</v>
      </c>
      <c r="DN20" s="0" t="n">
        <f aca="false">DJ20+DK20+DL20+DM20</f>
        <v>0</v>
      </c>
      <c r="DO20" s="0" t="n">
        <f aca="false">CN20-DH20</f>
        <v>3000000</v>
      </c>
      <c r="DP20" s="0" t="n">
        <f aca="false">DC20-DJ20</f>
        <v>0</v>
      </c>
      <c r="DQ20" s="0" t="n">
        <f aca="false">DD20-DK20</f>
        <v>0</v>
      </c>
      <c r="DR20" s="0" t="n">
        <f aca="false">DE20-DL20</f>
        <v>0</v>
      </c>
      <c r="DS20" s="0" t="n">
        <f aca="false">DF20-DM20</f>
        <v>0</v>
      </c>
      <c r="DT20" s="0" t="n">
        <f aca="false">CO20+DJ20</f>
        <v>142799.702713876</v>
      </c>
      <c r="DU20" s="0" t="n">
        <f aca="false">CP20+DK20</f>
        <v>735005.206905254</v>
      </c>
      <c r="DV20" s="0" t="n">
        <f aca="false">AP20+BL20+BR20+BX20+CC20</f>
        <v>8036506.58239462</v>
      </c>
      <c r="DW20" s="0" t="n">
        <f aca="false">CQ20+DL20</f>
        <v>202067.483331498</v>
      </c>
      <c r="DX20" s="0" t="n">
        <f aca="false">AQ20+BM20+BS20+BY20+CD20</f>
        <v>0</v>
      </c>
      <c r="DY20" s="0" t="n">
        <f aca="false">CR20+DM20</f>
        <v>187500</v>
      </c>
      <c r="DZ20" s="0" t="n">
        <f aca="false">AR20+BN20+BT20+BZ20+CE20</f>
        <v>0</v>
      </c>
      <c r="EA20" s="0" t="n">
        <f aca="false">DI20-DN20</f>
        <v>0</v>
      </c>
      <c r="EB20" s="0" t="n">
        <f aca="false">CH20+EA20</f>
        <v>825841.716528707</v>
      </c>
      <c r="EC20" s="0" t="n">
        <f aca="false">R20-I20-MAX(-M20,0)-J20-K20-L20</f>
        <v>825841.716528707</v>
      </c>
      <c r="ED20" s="0" t="n">
        <f aca="false">R20+S20+CM20+DH20-CG20-DT20-DU20-DW20-DY20-DV20-DX20-DZ20-EB20</f>
        <v>0</v>
      </c>
      <c r="EE20" s="0" t="n">
        <f aca="false">IF(AND(EB20&gt;0.000001,DP20+DQ20+DR20+DS20&gt;0.000001),1,0)</f>
        <v>0</v>
      </c>
    </row>
    <row r="21" customFormat="false" ht="15" hidden="false" customHeight="false" outlineLevel="0" collapsed="false">
      <c r="A21" s="0" t="n">
        <f aca="false">ROW()-5</f>
        <v>16</v>
      </c>
      <c r="B21" s="0" t="n">
        <f aca="false">Inputs!$B$11+(Inputs!$B$12-Inputs!$B$11)*(1-EXP(-A21/Inputs!$B$13))+Inputs!$B$8</f>
        <v>0.0378908797498422</v>
      </c>
      <c r="C21" s="0" t="n">
        <f aca="false">CZ20</f>
        <v>171524130.44134</v>
      </c>
      <c r="D21" s="0" t="n">
        <f aca="false">DA20</f>
        <v>40000000</v>
      </c>
      <c r="E21" s="0" t="n">
        <f aca="false">DB20</f>
        <v>30000000</v>
      </c>
      <c r="F21" s="0" t="n">
        <f aca="false">IF(Inputs!$B$22=1,B21+Inputs!$B$23,Inputs!$B$23)/12</f>
        <v>0.00407423997915352</v>
      </c>
      <c r="G21" s="0" t="n">
        <f aca="false">IF(Inputs!$B$27=1,B21+Inputs!$B$28,Inputs!$B$28)/12</f>
        <v>0.00503257331248685</v>
      </c>
      <c r="H21" s="0" t="n">
        <f aca="false">IF(Inputs!$B$32=1,B21+Inputs!$B$33,Inputs!$B$33)/12</f>
        <v>0.00625</v>
      </c>
      <c r="I21" s="0" t="n">
        <f aca="false">Pool!BT21*Inputs!$B$14/12</f>
        <v>138477.151119184</v>
      </c>
      <c r="J21" s="0" t="n">
        <f aca="false">C21*F21</f>
        <v>698830.46963365</v>
      </c>
      <c r="K21" s="0" t="n">
        <f aca="false">D21*G21</f>
        <v>201302.932499474</v>
      </c>
      <c r="L21" s="0" t="n">
        <f aca="false">E21*H21</f>
        <v>187500</v>
      </c>
      <c r="M21" s="0" t="n">
        <f aca="false">Inputs!$B$17*(C21*Inputs!$B$22+D21*Inputs!$B$27+E21*Inputs!$B$32)*(B21-Inputs!$B$18)/12</f>
        <v>0</v>
      </c>
      <c r="N21" s="0" t="n">
        <f aca="false">DP20+I21+MAX(-M21,0)</f>
        <v>138477.151119184</v>
      </c>
      <c r="O21" s="0" t="n">
        <f aca="false">DQ20+J21</f>
        <v>698830.46963365</v>
      </c>
      <c r="P21" s="0" t="n">
        <f aca="false">DR20+K21</f>
        <v>201302.932499474</v>
      </c>
      <c r="Q21" s="0" t="n">
        <f aca="false">DS20+L21</f>
        <v>187500</v>
      </c>
      <c r="R21" s="0" t="n">
        <f aca="false">Pool!BV21+MAX(M21,0)</f>
        <v>2032045.71744528</v>
      </c>
      <c r="S21" s="0" t="n">
        <f aca="false">Pool!BW21+Pool!BX21+Pool!BZ21</f>
        <v>7930181.41000069</v>
      </c>
      <c r="T21" s="0" t="n">
        <f aca="false">MAX(T20,BG20)</f>
        <v>1</v>
      </c>
      <c r="U21" s="0" t="n">
        <f aca="false">MIN(C21,S21)</f>
        <v>7930181.41000069</v>
      </c>
      <c r="V21" s="0" t="n">
        <f aca="false">MIN(D21,S21-U21)</f>
        <v>0</v>
      </c>
      <c r="W21" s="0" t="n">
        <f aca="false">MIN(E21,S21-U21-V21)</f>
        <v>0</v>
      </c>
      <c r="X21" s="0" t="n">
        <f aca="false">IF(C21-(0)&gt;Inputs!$B$19,1,0)</f>
        <v>1</v>
      </c>
      <c r="Y21" s="0" t="n">
        <f aca="false">IF(D21-(0)&gt;Inputs!$B$19,1,0)</f>
        <v>1</v>
      </c>
      <c r="Z21" s="0" t="n">
        <f aca="false">IF(E21-(0)&gt;Inputs!$B$19,1,0)</f>
        <v>1</v>
      </c>
      <c r="AA21" s="0" t="n">
        <f aca="false">IF((X21*C21+Y21*D21+Z21*E21)&gt;0,MIN(C21-(0),S21*X21*C21/(X21*C21+Y21*D21+Z21*E21)),0)</f>
        <v>5631807.75397847</v>
      </c>
      <c r="AB21" s="0" t="n">
        <f aca="false">IF((X21*C21+Y21*D21+Z21*E21)&gt;0,MIN(D21-(0),S21*Y21*D21/(X21*C21+Y21*D21+Z21*E21)),0)</f>
        <v>1313356.37486984</v>
      </c>
      <c r="AC21" s="0" t="n">
        <f aca="false">IF((X21*C21+Y21*D21+Z21*E21)&gt;0,MIN(E21-(0),S21*Z21*E21/(X21*C21+Y21*D21+Z21*E21)),0)</f>
        <v>985017.281152377</v>
      </c>
      <c r="AD21" s="0" t="n">
        <f aca="false">IF(C21-(AA21)&gt;Inputs!$B$19,1,0)</f>
        <v>1</v>
      </c>
      <c r="AE21" s="0" t="n">
        <f aca="false">IF(D21-(AB21)&gt;Inputs!$B$19,1,0)</f>
        <v>1</v>
      </c>
      <c r="AF21" s="0" t="n">
        <f aca="false">IF(E21-(AC21)&gt;Inputs!$B$19,1,0)</f>
        <v>1</v>
      </c>
      <c r="AG21" s="0" t="n">
        <f aca="false">IF((AD21*C21+AE21*D21+AF21*E21)&gt;0,MIN(C21-(AA21),(S21-(AA21+AB21+AC21))*AD21*C21/(AD21*C21+AE21*D21+AF21*E21)),0)</f>
        <v>0</v>
      </c>
      <c r="AH21" s="0" t="n">
        <f aca="false">IF((AD21*C21+AE21*D21+AF21*E21)&gt;0,MIN(D21-(AB21),(S21-(AA21+AB21+AC21))*AE21*D21/(AD21*C21+AE21*D21+AF21*E21)),0)</f>
        <v>0</v>
      </c>
      <c r="AI21" s="0" t="n">
        <f aca="false">IF((AD21*C21+AE21*D21+AF21*E21)&gt;0,MIN(E21-(AC21),(S21-(AA21+AB21+AC21))*AF21*E21/(AD21*C21+AE21*D21+AF21*E21)),0)</f>
        <v>0</v>
      </c>
      <c r="AJ21" s="0" t="n">
        <f aca="false">IF(C21-(AA21+AG21)&gt;Inputs!$B$19,1,0)</f>
        <v>1</v>
      </c>
      <c r="AK21" s="0" t="n">
        <f aca="false">IF(D21-(AB21+AH21)&gt;Inputs!$B$19,1,0)</f>
        <v>1</v>
      </c>
      <c r="AL21" s="0" t="n">
        <f aca="false">IF(E21-(AC21+AI21)&gt;Inputs!$B$19,1,0)</f>
        <v>1</v>
      </c>
      <c r="AM21" s="0" t="n">
        <f aca="false">IF((AJ21*C21+AK21*D21+AL21*E21)&gt;0,MIN(C21-(AA21+AG21),(S21-(AA21+AB21+AC21+AG21+AH21+AI21))*AJ21*C21/(AJ21*C21+AK21*D21+AL21*E21)),0)</f>
        <v>0</v>
      </c>
      <c r="AN21" s="0" t="n">
        <f aca="false">IF((AJ21*C21+AK21*D21+AL21*E21)&gt;0,MIN(D21-(AB21+AH21),(S21-(AA21+AB21+AC21+AG21+AH21+AI21))*AK21*D21/(AJ21*C21+AK21*D21+AL21*E21)),0)</f>
        <v>0</v>
      </c>
      <c r="AO21" s="0" t="n">
        <f aca="false">IF((AJ21*C21+AK21*D21+AL21*E21)&gt;0,MIN(E21-(AC21+AI21),(S21-(AA21+AB21+AC21+AG21+AH21+AI21))*AL21*E21/(AJ21*C21+AK21*D21+AL21*E21)),0)</f>
        <v>0</v>
      </c>
      <c r="AP21" s="0" t="n">
        <f aca="false">IF(T21=1,U21,AA21+AG21+AM21)</f>
        <v>7930181.41000069</v>
      </c>
      <c r="AQ21" s="0" t="n">
        <f aca="false">IF(T21=1,V21,AB21+AH21+AN21)</f>
        <v>0</v>
      </c>
      <c r="AR21" s="0" t="n">
        <f aca="false">IF(T21=1,W21,AC21+AI21+AO21)</f>
        <v>0</v>
      </c>
      <c r="AS21" s="0" t="n">
        <f aca="false">S21-AP21-AQ21-AR21</f>
        <v>0</v>
      </c>
      <c r="AT21" s="0" t="n">
        <f aca="false">C21-AP21</f>
        <v>163593949.031339</v>
      </c>
      <c r="AU21" s="0" t="n">
        <f aca="false">D21-AQ21</f>
        <v>40000000</v>
      </c>
      <c r="AV21" s="0" t="n">
        <f aca="false">E21-AR21</f>
        <v>30000000</v>
      </c>
      <c r="AW21" s="0" t="n">
        <f aca="false">Pool!CB21</f>
        <v>258244716.598192</v>
      </c>
      <c r="AX21" s="0" t="n">
        <f aca="false">IF((AT21)&gt;Inputs!$B$19,AW21/(AT21),1000000000)</f>
        <v>1.5785713232506</v>
      </c>
      <c r="AY21" s="0" t="n">
        <f aca="false">IF((J21)&gt;0.000000001,(R21-I21-MAX(-M21,0))/(J21),1000000000)</f>
        <v>2.70962507876734</v>
      </c>
      <c r="AZ21" s="0" t="n">
        <f aca="false">IF(OR(AX21&lt;Inputs!$B$24,AY21&lt;Inputs!$B$25),1,0)</f>
        <v>0</v>
      </c>
      <c r="BA21" s="0" t="n">
        <f aca="false">IF((AT21+AU21)&gt;Inputs!$B$19,AW21/(AT21+AU21),1000000000)</f>
        <v>1.26843021527344</v>
      </c>
      <c r="BB21" s="0" t="n">
        <f aca="false">IF((J21+K21)&gt;0.000000001,(R21-I21-MAX(-M21,0))/(J21+K21),1000000000)</f>
        <v>2.10365326054865</v>
      </c>
      <c r="BC21" s="0" t="n">
        <f aca="false">IF(OR(BA21&lt;Inputs!$B$29,BB21&lt;Inputs!$B$30),1,0)</f>
        <v>0</v>
      </c>
      <c r="BD21" s="0" t="n">
        <f aca="false">IF((AT21+AU21+AV21)&gt;Inputs!$B$19,AW21/(AT21+AU21+AV21),1000000000)</f>
        <v>1.10552827960259</v>
      </c>
      <c r="BE21" s="0" t="n">
        <f aca="false">IF((J21+K21+L21)&gt;0.000000001,(R21-I21-MAX(-M21,0))/(J21+K21+L21),1000000000)</f>
        <v>1.74099890883484</v>
      </c>
      <c r="BF21" s="0" t="n">
        <f aca="false">IF(OR(BD21&lt;Inputs!$B$34,BE21&lt;Inputs!$B$35),1,0)</f>
        <v>0</v>
      </c>
      <c r="BG21" s="0" t="n">
        <f aca="false">MAX(AZ21,BC21,BF21)</f>
        <v>0</v>
      </c>
      <c r="BH21" s="0" t="n">
        <f aca="false">MIN(R21,N21)</f>
        <v>138477.151119184</v>
      </c>
      <c r="BI21" s="0" t="n">
        <f aca="false">R21-BH21</f>
        <v>1893568.56632609</v>
      </c>
      <c r="BJ21" s="0" t="n">
        <f aca="false">MIN(BI21,O21)</f>
        <v>698830.46963365</v>
      </c>
      <c r="BK21" s="0" t="n">
        <f aca="false">BI21-BJ21</f>
        <v>1194738.09669244</v>
      </c>
      <c r="BL21" s="0" t="n">
        <f aca="false">AZ21*MIN(AT21,BK21)</f>
        <v>0</v>
      </c>
      <c r="BM21" s="0" t="n">
        <f aca="false">AZ21*MIN(AU21,BK21-BL21)</f>
        <v>0</v>
      </c>
      <c r="BN21" s="0" t="n">
        <f aca="false">AZ21*MIN(AV21,BK21-BL21-BM21)</f>
        <v>0</v>
      </c>
      <c r="BO21" s="0" t="n">
        <f aca="false">BK21-BL21-BM21-BN21</f>
        <v>1194738.09669244</v>
      </c>
      <c r="BP21" s="0" t="n">
        <f aca="false">MIN(BO21,P21)</f>
        <v>201302.932499474</v>
      </c>
      <c r="BQ21" s="0" t="n">
        <f aca="false">BO21-BP21</f>
        <v>993435.164192969</v>
      </c>
      <c r="BR21" s="0" t="n">
        <f aca="false">BC21*MIN((AT21-BL21),BQ21)</f>
        <v>0</v>
      </c>
      <c r="BS21" s="0" t="n">
        <f aca="false">BC21*MIN((AU21-BM21),BQ21-BR21)</f>
        <v>0</v>
      </c>
      <c r="BT21" s="0" t="n">
        <f aca="false">BC21*MIN((AV21-BN21),BQ21-BR21-BS21)</f>
        <v>0</v>
      </c>
      <c r="BU21" s="0" t="n">
        <f aca="false">BQ21-BR21-BS21-BT21</f>
        <v>993435.164192969</v>
      </c>
      <c r="BV21" s="0" t="n">
        <f aca="false">MIN(BU21,Q21)</f>
        <v>187500</v>
      </c>
      <c r="BW21" s="0" t="n">
        <f aca="false">BU21-BV21</f>
        <v>805935.164192969</v>
      </c>
      <c r="BX21" s="0" t="n">
        <f aca="false">BF21*MIN((AT21-BL21-BR21),BW21)</f>
        <v>0</v>
      </c>
      <c r="BY21" s="0" t="n">
        <f aca="false">BF21*MIN((AU21-BM21-BS21),BW21-BX21)</f>
        <v>0</v>
      </c>
      <c r="BZ21" s="0" t="n">
        <f aca="false">BF21*MIN((AV21-BN21-BT21),BW21-BX21-BY21)</f>
        <v>0</v>
      </c>
      <c r="CA21" s="0" t="n">
        <f aca="false">BW21-BX21-BY21-BZ21</f>
        <v>805935.164192969</v>
      </c>
      <c r="CB21" s="0" t="n">
        <f aca="false">MAX(0,AT21+AU21+AV21-BL21-BM21-BN21-BR21-BS21-BT21-BX21-BY21-BZ21-AW21)</f>
        <v>0</v>
      </c>
      <c r="CC21" s="0" t="n">
        <f aca="false">1*MIN((AT21-BL21-BR21-BX21),MIN(CA21,CB21))</f>
        <v>0</v>
      </c>
      <c r="CD21" s="0" t="n">
        <f aca="false">1*MIN((AU21-BM21-BS21-BY21),MIN(CA21,CB21)-CC21)</f>
        <v>0</v>
      </c>
      <c r="CE21" s="0" t="n">
        <f aca="false">1*MIN((AV21-BN21-BT21-BZ21),MIN(CA21,CB21)-CC21-CD21)</f>
        <v>0</v>
      </c>
      <c r="CF21" s="0" t="n">
        <f aca="false">CA21-CC21-CD21-CE21</f>
        <v>805935.164192969</v>
      </c>
      <c r="CG21" s="0" t="n">
        <f aca="false">IF(C21+D21+E21&gt;Inputs!$B$19,MIN(CF21,MAX(0,Inputs!$B$15-DO20)),0)</f>
        <v>0</v>
      </c>
      <c r="CH21" s="0" t="n">
        <f aca="false">CF21-CG21</f>
        <v>805935.164192969</v>
      </c>
      <c r="CI21" s="0" t="n">
        <f aca="false">DO20+CG21</f>
        <v>3000000</v>
      </c>
      <c r="CJ21" s="0" t="n">
        <f aca="false">MIN(MAX(N21-BH21,0),CI21)</f>
        <v>0</v>
      </c>
      <c r="CK21" s="0" t="n">
        <f aca="false">MIN(MAX(O21-BJ21,0),CI21-CJ21)</f>
        <v>0</v>
      </c>
      <c r="CL21" s="0" t="n">
        <f aca="false">MIN(MAX(P21-BP21,0),CI21-CJ21-CK21)</f>
        <v>0</v>
      </c>
      <c r="CM21" s="0" t="n">
        <f aca="false">CJ21+CK21+CL21</f>
        <v>0</v>
      </c>
      <c r="CN21" s="0" t="n">
        <f aca="false">CI21-CM21</f>
        <v>3000000</v>
      </c>
      <c r="CO21" s="0" t="n">
        <f aca="false">BH21+CJ21</f>
        <v>138477.151119184</v>
      </c>
      <c r="CP21" s="0" t="n">
        <f aca="false">BJ21+CK21</f>
        <v>698830.46963365</v>
      </c>
      <c r="CQ21" s="0" t="n">
        <f aca="false">BP21+CL21</f>
        <v>201302.932499474</v>
      </c>
      <c r="CR21" s="0" t="n">
        <f aca="false">BV21</f>
        <v>187500</v>
      </c>
      <c r="CS21" s="0" t="n">
        <f aca="false">AT21-BL21-BR21-BX21-CC21</f>
        <v>163593949.031339</v>
      </c>
      <c r="CT21" s="0" t="n">
        <f aca="false">AU21-BM21-BS21-BY21-CD21</f>
        <v>40000000</v>
      </c>
      <c r="CU21" s="0" t="n">
        <f aca="false">AV21-BN21-BT21-BZ21-CE21</f>
        <v>30000000</v>
      </c>
      <c r="CV21" s="0" t="n">
        <f aca="false">MAX(0,CS21+CT21+CU21-AW21)</f>
        <v>0</v>
      </c>
      <c r="CW21" s="0" t="n">
        <f aca="false">MIN(CU21,CV21)</f>
        <v>0</v>
      </c>
      <c r="CX21" s="0" t="n">
        <f aca="false">MIN(CT21,CV21-CW21)</f>
        <v>0</v>
      </c>
      <c r="CY21" s="0" t="n">
        <f aca="false">MIN(CS21,CV21-CW21-CX21)</f>
        <v>0</v>
      </c>
      <c r="CZ21" s="0" t="n">
        <f aca="false">IF(CS21-CY21&lt;Inputs!$B$19,0,CS21-CY21)</f>
        <v>163593949.031339</v>
      </c>
      <c r="DA21" s="0" t="n">
        <f aca="false">IF(CT21-CX21&lt;Inputs!$B$19,0,CT21-CX21)</f>
        <v>40000000</v>
      </c>
      <c r="DB21" s="0" t="n">
        <f aca="false">IF(CU21-CW21&lt;Inputs!$B$19,0,CU21-CW21)</f>
        <v>30000000</v>
      </c>
      <c r="DC21" s="0" t="n">
        <f aca="false">N21-CO21</f>
        <v>0</v>
      </c>
      <c r="DD21" s="0" t="n">
        <f aca="false">O21-CP21</f>
        <v>0</v>
      </c>
      <c r="DE21" s="0" t="n">
        <f aca="false">P21-CQ21</f>
        <v>0</v>
      </c>
      <c r="DF21" s="0" t="n">
        <f aca="false">Q21-CR21</f>
        <v>0</v>
      </c>
      <c r="DG21" s="0" t="n">
        <f aca="false">IF(CZ21+DA21+DB21&lt;=Inputs!$B$19,1,0)</f>
        <v>0</v>
      </c>
      <c r="DH21" s="0" t="n">
        <f aca="false">DG21*CN21</f>
        <v>0</v>
      </c>
      <c r="DI21" s="0" t="n">
        <f aca="false">DG21*(AS21+DH21)</f>
        <v>0</v>
      </c>
      <c r="DJ21" s="0" t="n">
        <f aca="false">DG21*MIN(DC21,DI21)</f>
        <v>0</v>
      </c>
      <c r="DK21" s="0" t="n">
        <f aca="false">DG21*MIN(DD21,DI21-DJ21)</f>
        <v>0</v>
      </c>
      <c r="DL21" s="0" t="n">
        <f aca="false">DG21*MIN(DE21,DI21-DJ21-DK21)</f>
        <v>0</v>
      </c>
      <c r="DM21" s="0" t="n">
        <f aca="false">DG21*MIN(DF21,DI21-DJ21-DK21-DL21)</f>
        <v>0</v>
      </c>
      <c r="DN21" s="0" t="n">
        <f aca="false">DJ21+DK21+DL21+DM21</f>
        <v>0</v>
      </c>
      <c r="DO21" s="0" t="n">
        <f aca="false">CN21-DH21</f>
        <v>3000000</v>
      </c>
      <c r="DP21" s="0" t="n">
        <f aca="false">DC21-DJ21</f>
        <v>0</v>
      </c>
      <c r="DQ21" s="0" t="n">
        <f aca="false">DD21-DK21</f>
        <v>0</v>
      </c>
      <c r="DR21" s="0" t="n">
        <f aca="false">DE21-DL21</f>
        <v>0</v>
      </c>
      <c r="DS21" s="0" t="n">
        <f aca="false">DF21-DM21</f>
        <v>0</v>
      </c>
      <c r="DT21" s="0" t="n">
        <f aca="false">CO21+DJ21</f>
        <v>138477.151119184</v>
      </c>
      <c r="DU21" s="0" t="n">
        <f aca="false">CP21+DK21</f>
        <v>698830.46963365</v>
      </c>
      <c r="DV21" s="0" t="n">
        <f aca="false">AP21+BL21+BR21+BX21+CC21</f>
        <v>7930181.41000069</v>
      </c>
      <c r="DW21" s="0" t="n">
        <f aca="false">CQ21+DL21</f>
        <v>201302.932499474</v>
      </c>
      <c r="DX21" s="0" t="n">
        <f aca="false">AQ21+BM21+BS21+BY21+CD21</f>
        <v>0</v>
      </c>
      <c r="DY21" s="0" t="n">
        <f aca="false">CR21+DM21</f>
        <v>187500</v>
      </c>
      <c r="DZ21" s="0" t="n">
        <f aca="false">AR21+BN21+BT21+BZ21+CE21</f>
        <v>0</v>
      </c>
      <c r="EA21" s="0" t="n">
        <f aca="false">DI21-DN21</f>
        <v>0</v>
      </c>
      <c r="EB21" s="0" t="n">
        <f aca="false">CH21+EA21</f>
        <v>805935.164192969</v>
      </c>
      <c r="EC21" s="0" t="n">
        <f aca="false">R21-I21-MAX(-M21,0)-J21-K21-L21</f>
        <v>805935.164192969</v>
      </c>
      <c r="ED21" s="0" t="n">
        <f aca="false">R21+S21+CM21+DH21-CG21-DT21-DU21-DW21-DY21-DV21-DX21-DZ21-EB21</f>
        <v>0</v>
      </c>
      <c r="EE21" s="0" t="n">
        <f aca="false">IF(AND(EB21&gt;0.000001,DP21+DQ21+DR21+DS21&gt;0.000001),1,0)</f>
        <v>0</v>
      </c>
    </row>
    <row r="22" customFormat="false" ht="15" hidden="false" customHeight="false" outlineLevel="0" collapsed="false">
      <c r="A22" s="0" t="n">
        <f aca="false">ROW()-5</f>
        <v>17</v>
      </c>
      <c r="B22" s="0" t="n">
        <f aca="false">Inputs!$B$11+(Inputs!$B$12-Inputs!$B$11)*(1-EXP(-A22/Inputs!$B$13))+Inputs!$B$8</f>
        <v>0.0376708750205918</v>
      </c>
      <c r="C22" s="0" t="n">
        <f aca="false">CZ21</f>
        <v>163593949.031339</v>
      </c>
      <c r="D22" s="0" t="n">
        <f aca="false">DA21</f>
        <v>40000000</v>
      </c>
      <c r="E22" s="0" t="n">
        <f aca="false">DB21</f>
        <v>30000000</v>
      </c>
      <c r="F22" s="0" t="n">
        <f aca="false">IF(Inputs!$B$22=1,B22+Inputs!$B$23,Inputs!$B$23)/12</f>
        <v>0.00405590625171598</v>
      </c>
      <c r="G22" s="0" t="n">
        <f aca="false">IF(Inputs!$B$27=1,B22+Inputs!$B$28,Inputs!$B$28)/12</f>
        <v>0.00501423958504932</v>
      </c>
      <c r="H22" s="0" t="n">
        <f aca="false">IF(Inputs!$B$32=1,B22+Inputs!$B$33,Inputs!$B$33)/12</f>
        <v>0.00625</v>
      </c>
      <c r="I22" s="0" t="n">
        <f aca="false">Pool!BT22*Inputs!$B$14/12</f>
        <v>134214.235476092</v>
      </c>
      <c r="J22" s="0" t="n">
        <f aca="false">C22*F22</f>
        <v>663521.720619114</v>
      </c>
      <c r="K22" s="0" t="n">
        <f aca="false">D22*G22</f>
        <v>200569.583401973</v>
      </c>
      <c r="L22" s="0" t="n">
        <f aca="false">E22*H22</f>
        <v>187500</v>
      </c>
      <c r="M22" s="0" t="n">
        <f aca="false">Inputs!$B$17*(C22*Inputs!$B$22+D22*Inputs!$B$27+E22*Inputs!$B$32)*(B22-Inputs!$B$18)/12</f>
        <v>0</v>
      </c>
      <c r="N22" s="0" t="n">
        <f aca="false">DP21+I22+MAX(-M22,0)</f>
        <v>134214.235476092</v>
      </c>
      <c r="O22" s="0" t="n">
        <f aca="false">DQ21+J22</f>
        <v>663521.720619114</v>
      </c>
      <c r="P22" s="0" t="n">
        <f aca="false">DR21+K22</f>
        <v>200569.583401973</v>
      </c>
      <c r="Q22" s="0" t="n">
        <f aca="false">DS21+L22</f>
        <v>187500</v>
      </c>
      <c r="R22" s="0" t="n">
        <f aca="false">Pool!BV22+MAX(M22,0)</f>
        <v>1971712.90025401</v>
      </c>
      <c r="S22" s="0" t="n">
        <f aca="false">Pool!BW22+Pool!BX22+Pool!BZ22</f>
        <v>7825122.16113245</v>
      </c>
      <c r="T22" s="0" t="n">
        <f aca="false">MAX(T21,BG21)</f>
        <v>1</v>
      </c>
      <c r="U22" s="0" t="n">
        <f aca="false">MIN(C22,S22)</f>
        <v>7825122.16113245</v>
      </c>
      <c r="V22" s="0" t="n">
        <f aca="false">MIN(D22,S22-U22)</f>
        <v>0</v>
      </c>
      <c r="W22" s="0" t="n">
        <f aca="false">MIN(E22,S22-U22-V22)</f>
        <v>0</v>
      </c>
      <c r="X22" s="0" t="n">
        <f aca="false">IF(C22-(0)&gt;Inputs!$B$19,1,0)</f>
        <v>1</v>
      </c>
      <c r="Y22" s="0" t="n">
        <f aca="false">IF(D22-(0)&gt;Inputs!$B$19,1,0)</f>
        <v>1</v>
      </c>
      <c r="Z22" s="0" t="n">
        <f aca="false">IF(E22-(0)&gt;Inputs!$B$19,1,0)</f>
        <v>1</v>
      </c>
      <c r="AA22" s="0" t="n">
        <f aca="false">IF((X22*C22+Y22*D22+Z22*E22)&gt;0,MIN(C22-(0),S22*X22*C22/(X22*C22+Y22*D22+Z22*E22)),0)</f>
        <v>5480204.60847023</v>
      </c>
      <c r="AB22" s="0" t="n">
        <f aca="false">IF((X22*C22+Y22*D22+Z22*E22)&gt;0,MIN(D22-(0),S22*Y22*D22/(X22*C22+Y22*D22+Z22*E22)),0)</f>
        <v>1339952.88723556</v>
      </c>
      <c r="AC22" s="0" t="n">
        <f aca="false">IF((X22*C22+Y22*D22+Z22*E22)&gt;0,MIN(E22-(0),S22*Z22*E22/(X22*C22+Y22*D22+Z22*E22)),0)</f>
        <v>1004964.66542667</v>
      </c>
      <c r="AD22" s="0" t="n">
        <f aca="false">IF(C22-(AA22)&gt;Inputs!$B$19,1,0)</f>
        <v>1</v>
      </c>
      <c r="AE22" s="0" t="n">
        <f aca="false">IF(D22-(AB22)&gt;Inputs!$B$19,1,0)</f>
        <v>1</v>
      </c>
      <c r="AF22" s="0" t="n">
        <f aca="false">IF(E22-(AC22)&gt;Inputs!$B$19,1,0)</f>
        <v>1</v>
      </c>
      <c r="AG22" s="0" t="n">
        <f aca="false">IF((AD22*C22+AE22*D22+AF22*E22)&gt;0,MIN(C22-(AA22),(S22-(AA22+AB22+AC22))*AD22*C22/(AD22*C22+AE22*D22+AF22*E22)),0)</f>
        <v>0</v>
      </c>
      <c r="AH22" s="0" t="n">
        <f aca="false">IF((AD22*C22+AE22*D22+AF22*E22)&gt;0,MIN(D22-(AB22),(S22-(AA22+AB22+AC22))*AE22*D22/(AD22*C22+AE22*D22+AF22*E22)),0)</f>
        <v>0</v>
      </c>
      <c r="AI22" s="0" t="n">
        <f aca="false">IF((AD22*C22+AE22*D22+AF22*E22)&gt;0,MIN(E22-(AC22),(S22-(AA22+AB22+AC22))*AF22*E22/(AD22*C22+AE22*D22+AF22*E22)),0)</f>
        <v>0</v>
      </c>
      <c r="AJ22" s="0" t="n">
        <f aca="false">IF(C22-(AA22+AG22)&gt;Inputs!$B$19,1,0)</f>
        <v>1</v>
      </c>
      <c r="AK22" s="0" t="n">
        <f aca="false">IF(D22-(AB22+AH22)&gt;Inputs!$B$19,1,0)</f>
        <v>1</v>
      </c>
      <c r="AL22" s="0" t="n">
        <f aca="false">IF(E22-(AC22+AI22)&gt;Inputs!$B$19,1,0)</f>
        <v>1</v>
      </c>
      <c r="AM22" s="0" t="n">
        <f aca="false">IF((AJ22*C22+AK22*D22+AL22*E22)&gt;0,MIN(C22-(AA22+AG22),(S22-(AA22+AB22+AC22+AG22+AH22+AI22))*AJ22*C22/(AJ22*C22+AK22*D22+AL22*E22)),0)</f>
        <v>0</v>
      </c>
      <c r="AN22" s="0" t="n">
        <f aca="false">IF((AJ22*C22+AK22*D22+AL22*E22)&gt;0,MIN(D22-(AB22+AH22),(S22-(AA22+AB22+AC22+AG22+AH22+AI22))*AK22*D22/(AJ22*C22+AK22*D22+AL22*E22)),0)</f>
        <v>0</v>
      </c>
      <c r="AO22" s="0" t="n">
        <f aca="false">IF((AJ22*C22+AK22*D22+AL22*E22)&gt;0,MIN(E22-(AC22+AI22),(S22-(AA22+AB22+AC22+AG22+AH22+AI22))*AL22*E22/(AJ22*C22+AK22*D22+AL22*E22)),0)</f>
        <v>0</v>
      </c>
      <c r="AP22" s="0" t="n">
        <f aca="false">IF(T22=1,U22,AA22+AG22+AM22)</f>
        <v>7825122.16113245</v>
      </c>
      <c r="AQ22" s="0" t="n">
        <f aca="false">IF(T22=1,V22,AB22+AH22+AN22)</f>
        <v>0</v>
      </c>
      <c r="AR22" s="0" t="n">
        <f aca="false">IF(T22=1,W22,AC22+AI22+AO22)</f>
        <v>0</v>
      </c>
      <c r="AS22" s="0" t="n">
        <f aca="false">S22-AP22-AQ22-AR22</f>
        <v>0</v>
      </c>
      <c r="AT22" s="0" t="n">
        <f aca="false">C22-AP22</f>
        <v>155768826.870207</v>
      </c>
      <c r="AU22" s="0" t="n">
        <f aca="false">D22-AQ22</f>
        <v>40000000</v>
      </c>
      <c r="AV22" s="0" t="n">
        <f aca="false">E22-AR22</f>
        <v>30000000</v>
      </c>
      <c r="AW22" s="0" t="n">
        <f aca="false">Pool!CB22</f>
        <v>250160364.256792</v>
      </c>
      <c r="AX22" s="0" t="n">
        <f aca="false">IF((AT22)&gt;Inputs!$B$19,AW22/(AT22),1000000000)</f>
        <v>1.60597193471346</v>
      </c>
      <c r="AY22" s="0" t="n">
        <f aca="false">IF((J22)&gt;0.000000001,(R22-I22-MAX(-M22,0))/(J22),1000000000)</f>
        <v>2.76931200242156</v>
      </c>
      <c r="AZ22" s="0" t="n">
        <f aca="false">IF(OR(AX22&lt;Inputs!$B$24,AY22&lt;Inputs!$B$25),1,0)</f>
        <v>0</v>
      </c>
      <c r="BA22" s="0" t="n">
        <f aca="false">IF((AT22+AU22)&gt;Inputs!$B$19,AW22/(AT22+AU22),1000000000)</f>
        <v>1.27783553825271</v>
      </c>
      <c r="BB22" s="0" t="n">
        <f aca="false">IF((J22+K22)&gt;0.000000001,(R22-I22-MAX(-M22,0))/(J22+K22),1000000000)</f>
        <v>2.12650984476645</v>
      </c>
      <c r="BC22" s="0" t="n">
        <f aca="false">IF(OR(BA22&lt;Inputs!$B$29,BB22&lt;Inputs!$B$30),1,0)</f>
        <v>0</v>
      </c>
      <c r="BD22" s="0" t="n">
        <f aca="false">IF((AT22+AU22+AV22)&gt;Inputs!$B$19,AW22/(AT22+AU22+AV22),1000000000)</f>
        <v>1.10803766722236</v>
      </c>
      <c r="BE22" s="0" t="n">
        <f aca="false">IF((J22+K22+L22)&gt;0.000000001,(R22-I22-MAX(-M22,0))/(J22+K22+L22),1000000000)</f>
        <v>1.74735057027542</v>
      </c>
      <c r="BF22" s="0" t="n">
        <f aca="false">IF(OR(BD22&lt;Inputs!$B$34,BE22&lt;Inputs!$B$35),1,0)</f>
        <v>0</v>
      </c>
      <c r="BG22" s="0" t="n">
        <f aca="false">MAX(AZ22,BC22,BF22)</f>
        <v>0</v>
      </c>
      <c r="BH22" s="0" t="n">
        <f aca="false">MIN(R22,N22)</f>
        <v>134214.235476092</v>
      </c>
      <c r="BI22" s="0" t="n">
        <f aca="false">R22-BH22</f>
        <v>1837498.66477792</v>
      </c>
      <c r="BJ22" s="0" t="n">
        <f aca="false">MIN(BI22,O22)</f>
        <v>663521.720619114</v>
      </c>
      <c r="BK22" s="0" t="n">
        <f aca="false">BI22-BJ22</f>
        <v>1173976.94415881</v>
      </c>
      <c r="BL22" s="0" t="n">
        <f aca="false">AZ22*MIN(AT22,BK22)</f>
        <v>0</v>
      </c>
      <c r="BM22" s="0" t="n">
        <f aca="false">AZ22*MIN(AU22,BK22-BL22)</f>
        <v>0</v>
      </c>
      <c r="BN22" s="0" t="n">
        <f aca="false">AZ22*MIN(AV22,BK22-BL22-BM22)</f>
        <v>0</v>
      </c>
      <c r="BO22" s="0" t="n">
        <f aca="false">BK22-BL22-BM22-BN22</f>
        <v>1173976.94415881</v>
      </c>
      <c r="BP22" s="0" t="n">
        <f aca="false">MIN(BO22,P22)</f>
        <v>200569.583401973</v>
      </c>
      <c r="BQ22" s="0" t="n">
        <f aca="false">BO22-BP22</f>
        <v>973407.360756834</v>
      </c>
      <c r="BR22" s="0" t="n">
        <f aca="false">BC22*MIN((AT22-BL22),BQ22)</f>
        <v>0</v>
      </c>
      <c r="BS22" s="0" t="n">
        <f aca="false">BC22*MIN((AU22-BM22),BQ22-BR22)</f>
        <v>0</v>
      </c>
      <c r="BT22" s="0" t="n">
        <f aca="false">BC22*MIN((AV22-BN22),BQ22-BR22-BS22)</f>
        <v>0</v>
      </c>
      <c r="BU22" s="0" t="n">
        <f aca="false">BQ22-BR22-BS22-BT22</f>
        <v>973407.360756834</v>
      </c>
      <c r="BV22" s="0" t="n">
        <f aca="false">MIN(BU22,Q22)</f>
        <v>187500</v>
      </c>
      <c r="BW22" s="0" t="n">
        <f aca="false">BU22-BV22</f>
        <v>785907.360756834</v>
      </c>
      <c r="BX22" s="0" t="n">
        <f aca="false">BF22*MIN((AT22-BL22-BR22),BW22)</f>
        <v>0</v>
      </c>
      <c r="BY22" s="0" t="n">
        <f aca="false">BF22*MIN((AU22-BM22-BS22),BW22-BX22)</f>
        <v>0</v>
      </c>
      <c r="BZ22" s="0" t="n">
        <f aca="false">BF22*MIN((AV22-BN22-BT22),BW22-BX22-BY22)</f>
        <v>0</v>
      </c>
      <c r="CA22" s="0" t="n">
        <f aca="false">BW22-BX22-BY22-BZ22</f>
        <v>785907.360756834</v>
      </c>
      <c r="CB22" s="0" t="n">
        <f aca="false">MAX(0,AT22+AU22+AV22-BL22-BM22-BN22-BR22-BS22-BT22-BX22-BY22-BZ22-AW22)</f>
        <v>0</v>
      </c>
      <c r="CC22" s="0" t="n">
        <f aca="false">1*MIN((AT22-BL22-BR22-BX22),MIN(CA22,CB22))</f>
        <v>0</v>
      </c>
      <c r="CD22" s="0" t="n">
        <f aca="false">1*MIN((AU22-BM22-BS22-BY22),MIN(CA22,CB22)-CC22)</f>
        <v>0</v>
      </c>
      <c r="CE22" s="0" t="n">
        <f aca="false">1*MIN((AV22-BN22-BT22-BZ22),MIN(CA22,CB22)-CC22-CD22)</f>
        <v>0</v>
      </c>
      <c r="CF22" s="0" t="n">
        <f aca="false">CA22-CC22-CD22-CE22</f>
        <v>785907.360756834</v>
      </c>
      <c r="CG22" s="0" t="n">
        <f aca="false">IF(C22+D22+E22&gt;Inputs!$B$19,MIN(CF22,MAX(0,Inputs!$B$15-DO21)),0)</f>
        <v>0</v>
      </c>
      <c r="CH22" s="0" t="n">
        <f aca="false">CF22-CG22</f>
        <v>785907.360756834</v>
      </c>
      <c r="CI22" s="0" t="n">
        <f aca="false">DO21+CG22</f>
        <v>3000000</v>
      </c>
      <c r="CJ22" s="0" t="n">
        <f aca="false">MIN(MAX(N22-BH22,0),CI22)</f>
        <v>0</v>
      </c>
      <c r="CK22" s="0" t="n">
        <f aca="false">MIN(MAX(O22-BJ22,0),CI22-CJ22)</f>
        <v>0</v>
      </c>
      <c r="CL22" s="0" t="n">
        <f aca="false">MIN(MAX(P22-BP22,0),CI22-CJ22-CK22)</f>
        <v>0</v>
      </c>
      <c r="CM22" s="0" t="n">
        <f aca="false">CJ22+CK22+CL22</f>
        <v>0</v>
      </c>
      <c r="CN22" s="0" t="n">
        <f aca="false">CI22-CM22</f>
        <v>3000000</v>
      </c>
      <c r="CO22" s="0" t="n">
        <f aca="false">BH22+CJ22</f>
        <v>134214.235476092</v>
      </c>
      <c r="CP22" s="0" t="n">
        <f aca="false">BJ22+CK22</f>
        <v>663521.720619114</v>
      </c>
      <c r="CQ22" s="0" t="n">
        <f aca="false">BP22+CL22</f>
        <v>200569.583401973</v>
      </c>
      <c r="CR22" s="0" t="n">
        <f aca="false">BV22</f>
        <v>187500</v>
      </c>
      <c r="CS22" s="0" t="n">
        <f aca="false">AT22-BL22-BR22-BX22-CC22</f>
        <v>155768826.870207</v>
      </c>
      <c r="CT22" s="0" t="n">
        <f aca="false">AU22-BM22-BS22-BY22-CD22</f>
        <v>40000000</v>
      </c>
      <c r="CU22" s="0" t="n">
        <f aca="false">AV22-BN22-BT22-BZ22-CE22</f>
        <v>30000000</v>
      </c>
      <c r="CV22" s="0" t="n">
        <f aca="false">MAX(0,CS22+CT22+CU22-AW22)</f>
        <v>0</v>
      </c>
      <c r="CW22" s="0" t="n">
        <f aca="false">MIN(CU22,CV22)</f>
        <v>0</v>
      </c>
      <c r="CX22" s="0" t="n">
        <f aca="false">MIN(CT22,CV22-CW22)</f>
        <v>0</v>
      </c>
      <c r="CY22" s="0" t="n">
        <f aca="false">MIN(CS22,CV22-CW22-CX22)</f>
        <v>0</v>
      </c>
      <c r="CZ22" s="0" t="n">
        <f aca="false">IF(CS22-CY22&lt;Inputs!$B$19,0,CS22-CY22)</f>
        <v>155768826.870207</v>
      </c>
      <c r="DA22" s="0" t="n">
        <f aca="false">IF(CT22-CX22&lt;Inputs!$B$19,0,CT22-CX22)</f>
        <v>40000000</v>
      </c>
      <c r="DB22" s="0" t="n">
        <f aca="false">IF(CU22-CW22&lt;Inputs!$B$19,0,CU22-CW22)</f>
        <v>30000000</v>
      </c>
      <c r="DC22" s="0" t="n">
        <f aca="false">N22-CO22</f>
        <v>0</v>
      </c>
      <c r="DD22" s="0" t="n">
        <f aca="false">O22-CP22</f>
        <v>0</v>
      </c>
      <c r="DE22" s="0" t="n">
        <f aca="false">P22-CQ22</f>
        <v>0</v>
      </c>
      <c r="DF22" s="0" t="n">
        <f aca="false">Q22-CR22</f>
        <v>0</v>
      </c>
      <c r="DG22" s="0" t="n">
        <f aca="false">IF(CZ22+DA22+DB22&lt;=Inputs!$B$19,1,0)</f>
        <v>0</v>
      </c>
      <c r="DH22" s="0" t="n">
        <f aca="false">DG22*CN22</f>
        <v>0</v>
      </c>
      <c r="DI22" s="0" t="n">
        <f aca="false">DG22*(AS22+DH22)</f>
        <v>0</v>
      </c>
      <c r="DJ22" s="0" t="n">
        <f aca="false">DG22*MIN(DC22,DI22)</f>
        <v>0</v>
      </c>
      <c r="DK22" s="0" t="n">
        <f aca="false">DG22*MIN(DD22,DI22-DJ22)</f>
        <v>0</v>
      </c>
      <c r="DL22" s="0" t="n">
        <f aca="false">DG22*MIN(DE22,DI22-DJ22-DK22)</f>
        <v>0</v>
      </c>
      <c r="DM22" s="0" t="n">
        <f aca="false">DG22*MIN(DF22,DI22-DJ22-DK22-DL22)</f>
        <v>0</v>
      </c>
      <c r="DN22" s="0" t="n">
        <f aca="false">DJ22+DK22+DL22+DM22</f>
        <v>0</v>
      </c>
      <c r="DO22" s="0" t="n">
        <f aca="false">CN22-DH22</f>
        <v>3000000</v>
      </c>
      <c r="DP22" s="0" t="n">
        <f aca="false">DC22-DJ22</f>
        <v>0</v>
      </c>
      <c r="DQ22" s="0" t="n">
        <f aca="false">DD22-DK22</f>
        <v>0</v>
      </c>
      <c r="DR22" s="0" t="n">
        <f aca="false">DE22-DL22</f>
        <v>0</v>
      </c>
      <c r="DS22" s="0" t="n">
        <f aca="false">DF22-DM22</f>
        <v>0</v>
      </c>
      <c r="DT22" s="0" t="n">
        <f aca="false">CO22+DJ22</f>
        <v>134214.235476092</v>
      </c>
      <c r="DU22" s="0" t="n">
        <f aca="false">CP22+DK22</f>
        <v>663521.720619114</v>
      </c>
      <c r="DV22" s="0" t="n">
        <f aca="false">AP22+BL22+BR22+BX22+CC22</f>
        <v>7825122.16113245</v>
      </c>
      <c r="DW22" s="0" t="n">
        <f aca="false">CQ22+DL22</f>
        <v>200569.583401973</v>
      </c>
      <c r="DX22" s="0" t="n">
        <f aca="false">AQ22+BM22+BS22+BY22+CD22</f>
        <v>0</v>
      </c>
      <c r="DY22" s="0" t="n">
        <f aca="false">CR22+DM22</f>
        <v>187500</v>
      </c>
      <c r="DZ22" s="0" t="n">
        <f aca="false">AR22+BN22+BT22+BZ22+CE22</f>
        <v>0</v>
      </c>
      <c r="EA22" s="0" t="n">
        <f aca="false">DI22-DN22</f>
        <v>0</v>
      </c>
      <c r="EB22" s="0" t="n">
        <f aca="false">CH22+EA22</f>
        <v>785907.360756834</v>
      </c>
      <c r="EC22" s="0" t="n">
        <f aca="false">R22-I22-MAX(-M22,0)-J22-K22-L22</f>
        <v>785907.360756834</v>
      </c>
      <c r="ED22" s="0" t="n">
        <f aca="false">R22+S22+CM22+DH22-CG22-DT22-DU22-DW22-DY22-DV22-DX22-DZ22-EB22</f>
        <v>0</v>
      </c>
      <c r="EE22" s="0" t="n">
        <f aca="false">IF(AND(EB22&gt;0.000001,DP22+DQ22+DR22+DS22&gt;0.000001),1,0)</f>
        <v>0</v>
      </c>
    </row>
    <row r="23" customFormat="false" ht="15" hidden="false" customHeight="false" outlineLevel="0" collapsed="false">
      <c r="A23" s="0" t="n">
        <f aca="false">ROW()-5</f>
        <v>18</v>
      </c>
      <c r="B23" s="0" t="n">
        <f aca="false">Inputs!$B$11+(Inputs!$B$12-Inputs!$B$11)*(1-EXP(-A23/Inputs!$B$13))+Inputs!$B$8</f>
        <v>0.0374598488037807</v>
      </c>
      <c r="C23" s="0" t="n">
        <f aca="false">CZ22</f>
        <v>155768826.870207</v>
      </c>
      <c r="D23" s="0" t="n">
        <f aca="false">DA22</f>
        <v>40000000</v>
      </c>
      <c r="E23" s="0" t="n">
        <f aca="false">DB22</f>
        <v>30000000</v>
      </c>
      <c r="F23" s="0" t="n">
        <f aca="false">IF(Inputs!$B$22=1,B23+Inputs!$B$23,Inputs!$B$23)/12</f>
        <v>0.00403832073364839</v>
      </c>
      <c r="G23" s="0" t="n">
        <f aca="false">IF(Inputs!$B$27=1,B23+Inputs!$B$28,Inputs!$B$28)/12</f>
        <v>0.00499665406698172</v>
      </c>
      <c r="H23" s="0" t="n">
        <f aca="false">IF(Inputs!$B$32=1,B23+Inputs!$B$33,Inputs!$B$33)/12</f>
        <v>0.00625</v>
      </c>
      <c r="I23" s="0" t="n">
        <f aca="false">Pool!BT23*Inputs!$B$14/12</f>
        <v>130010.237530811</v>
      </c>
      <c r="J23" s="0" t="n">
        <f aca="false">C23*F23</f>
        <v>629044.483206042</v>
      </c>
      <c r="K23" s="0" t="n">
        <f aca="false">D23*G23</f>
        <v>199866.162679269</v>
      </c>
      <c r="L23" s="0" t="n">
        <f aca="false">E23*H23</f>
        <v>187500</v>
      </c>
      <c r="M23" s="0" t="n">
        <f aca="false">Inputs!$B$17*(C23*Inputs!$B$22+D23*Inputs!$B$27+E23*Inputs!$B$32)*(B23-Inputs!$B$18)/12</f>
        <v>0</v>
      </c>
      <c r="N23" s="0" t="n">
        <f aca="false">DP22+I23+MAX(-M23,0)</f>
        <v>130010.237530811</v>
      </c>
      <c r="O23" s="0" t="n">
        <f aca="false">DQ22+J23</f>
        <v>629044.483206042</v>
      </c>
      <c r="P23" s="0" t="n">
        <f aca="false">DR22+K23</f>
        <v>199866.162679269</v>
      </c>
      <c r="Q23" s="0" t="n">
        <f aca="false">DS22+L23</f>
        <v>187500</v>
      </c>
      <c r="R23" s="0" t="n">
        <f aca="false">Pool!BV23+MAX(M23,0)</f>
        <v>1912205.64023972</v>
      </c>
      <c r="S23" s="0" t="n">
        <f aca="false">Pool!BW23+Pool!BX23+Pool!BZ23</f>
        <v>7721314.27471336</v>
      </c>
      <c r="T23" s="0" t="n">
        <f aca="false">MAX(T22,BG22)</f>
        <v>1</v>
      </c>
      <c r="U23" s="0" t="n">
        <f aca="false">MIN(C23,S23)</f>
        <v>7721314.27471336</v>
      </c>
      <c r="V23" s="0" t="n">
        <f aca="false">MIN(D23,S23-U23)</f>
        <v>0</v>
      </c>
      <c r="W23" s="0" t="n">
        <f aca="false">MIN(E23,S23-U23-V23)</f>
        <v>0</v>
      </c>
      <c r="X23" s="0" t="n">
        <f aca="false">IF(C23-(0)&gt;Inputs!$B$19,1,0)</f>
        <v>1</v>
      </c>
      <c r="Y23" s="0" t="n">
        <f aca="false">IF(D23-(0)&gt;Inputs!$B$19,1,0)</f>
        <v>1</v>
      </c>
      <c r="Z23" s="0" t="n">
        <f aca="false">IF(E23-(0)&gt;Inputs!$B$19,1,0)</f>
        <v>1</v>
      </c>
      <c r="AA23" s="0" t="n">
        <f aca="false">IF((X23*C23+Y23*D23+Z23*E23)&gt;0,MIN(C23-(0),S23*X23*C23/(X23*C23+Y23*D23+Z23*E23)),0)</f>
        <v>5327307.95097646</v>
      </c>
      <c r="AB23" s="0" t="n">
        <f aca="false">IF((X23*C23+Y23*D23+Z23*E23)&gt;0,MIN(D23-(0),S23*Y23*D23/(X23*C23+Y23*D23+Z23*E23)),0)</f>
        <v>1368003.61356394</v>
      </c>
      <c r="AC23" s="0" t="n">
        <f aca="false">IF((X23*C23+Y23*D23+Z23*E23)&gt;0,MIN(E23-(0),S23*Z23*E23/(X23*C23+Y23*D23+Z23*E23)),0)</f>
        <v>1026002.71017295</v>
      </c>
      <c r="AD23" s="0" t="n">
        <f aca="false">IF(C23-(AA23)&gt;Inputs!$B$19,1,0)</f>
        <v>1</v>
      </c>
      <c r="AE23" s="0" t="n">
        <f aca="false">IF(D23-(AB23)&gt;Inputs!$B$19,1,0)</f>
        <v>1</v>
      </c>
      <c r="AF23" s="0" t="n">
        <f aca="false">IF(E23-(AC23)&gt;Inputs!$B$19,1,0)</f>
        <v>1</v>
      </c>
      <c r="AG23" s="0" t="n">
        <f aca="false">IF((AD23*C23+AE23*D23+AF23*E23)&gt;0,MIN(C23-(AA23),(S23-(AA23+AB23+AC23))*AD23*C23/(AD23*C23+AE23*D23+AF23*E23)),0)</f>
        <v>0</v>
      </c>
      <c r="AH23" s="0" t="n">
        <f aca="false">IF((AD23*C23+AE23*D23+AF23*E23)&gt;0,MIN(D23-(AB23),(S23-(AA23+AB23+AC23))*AE23*D23/(AD23*C23+AE23*D23+AF23*E23)),0)</f>
        <v>0</v>
      </c>
      <c r="AI23" s="0" t="n">
        <f aca="false">IF((AD23*C23+AE23*D23+AF23*E23)&gt;0,MIN(E23-(AC23),(S23-(AA23+AB23+AC23))*AF23*E23/(AD23*C23+AE23*D23+AF23*E23)),0)</f>
        <v>0</v>
      </c>
      <c r="AJ23" s="0" t="n">
        <f aca="false">IF(C23-(AA23+AG23)&gt;Inputs!$B$19,1,0)</f>
        <v>1</v>
      </c>
      <c r="AK23" s="0" t="n">
        <f aca="false">IF(D23-(AB23+AH23)&gt;Inputs!$B$19,1,0)</f>
        <v>1</v>
      </c>
      <c r="AL23" s="0" t="n">
        <f aca="false">IF(E23-(AC23+AI23)&gt;Inputs!$B$19,1,0)</f>
        <v>1</v>
      </c>
      <c r="AM23" s="0" t="n">
        <f aca="false">IF((AJ23*C23+AK23*D23+AL23*E23)&gt;0,MIN(C23-(AA23+AG23),(S23-(AA23+AB23+AC23+AG23+AH23+AI23))*AJ23*C23/(AJ23*C23+AK23*D23+AL23*E23)),0)</f>
        <v>0</v>
      </c>
      <c r="AN23" s="0" t="n">
        <f aca="false">IF((AJ23*C23+AK23*D23+AL23*E23)&gt;0,MIN(D23-(AB23+AH23),(S23-(AA23+AB23+AC23+AG23+AH23+AI23))*AK23*D23/(AJ23*C23+AK23*D23+AL23*E23)),0)</f>
        <v>0</v>
      </c>
      <c r="AO23" s="0" t="n">
        <f aca="false">IF((AJ23*C23+AK23*D23+AL23*E23)&gt;0,MIN(E23-(AC23+AI23),(S23-(AA23+AB23+AC23+AG23+AH23+AI23))*AL23*E23/(AJ23*C23+AK23*D23+AL23*E23)),0)</f>
        <v>0</v>
      </c>
      <c r="AP23" s="0" t="n">
        <f aca="false">IF(T23=1,U23,AA23+AG23+AM23)</f>
        <v>7721314.27471336</v>
      </c>
      <c r="AQ23" s="0" t="n">
        <f aca="false">IF(T23=1,V23,AB23+AH23+AN23)</f>
        <v>0</v>
      </c>
      <c r="AR23" s="0" t="n">
        <f aca="false">IF(T23=1,W23,AC23+AI23+AO23)</f>
        <v>0</v>
      </c>
      <c r="AS23" s="0" t="n">
        <f aca="false">S23-AP23-AQ23-AR23</f>
        <v>0</v>
      </c>
      <c r="AT23" s="0" t="n">
        <f aca="false">C23-AP23</f>
        <v>148047512.595493</v>
      </c>
      <c r="AU23" s="0" t="n">
        <f aca="false">D23-AQ23</f>
        <v>40000000</v>
      </c>
      <c r="AV23" s="0" t="n">
        <f aca="false">E23-AR23</f>
        <v>30000000</v>
      </c>
      <c r="AW23" s="0" t="n">
        <f aca="false">Pool!CB23</f>
        <v>242187939.679269</v>
      </c>
      <c r="AX23" s="0" t="n">
        <f aca="false">IF((AT23)&gt;Inputs!$B$19,AW23/(AT23),1000000000)</f>
        <v>1.6358798296125</v>
      </c>
      <c r="AY23" s="0" t="n">
        <f aca="false">IF((J23)&gt;0.000000001,(R23-I23-MAX(-M23,0))/(J23),1000000000)</f>
        <v>2.83317865475207</v>
      </c>
      <c r="AZ23" s="0" t="n">
        <f aca="false">IF(OR(AX23&lt;Inputs!$B$24,AY23&lt;Inputs!$B$25),1,0)</f>
        <v>0</v>
      </c>
      <c r="BA23" s="0" t="n">
        <f aca="false">IF((AT23+AU23)&gt;Inputs!$B$19,AW23/(AT23+AU23),1000000000)</f>
        <v>1.28790823306574</v>
      </c>
      <c r="BB23" s="0" t="n">
        <f aca="false">IF((J23+K23)&gt;0.000000001,(R23-I23-MAX(-M23,0))/(J23+K23),1000000000)</f>
        <v>2.15004525705596</v>
      </c>
      <c r="BC23" s="0" t="n">
        <f aca="false">IF(OR(BA23&lt;Inputs!$B$29,BB23&lt;Inputs!$B$30),1,0)</f>
        <v>0</v>
      </c>
      <c r="BD23" s="0" t="n">
        <f aca="false">IF((AT23+AU23+AV23)&gt;Inputs!$B$19,AW23/(AT23+AU23+AV23),1000000000)</f>
        <v>1.11071177467894</v>
      </c>
      <c r="BE23" s="0" t="n">
        <f aca="false">IF((J23+K23+L23)&gt;0.000000001,(R23-I23-MAX(-M23,0))/(J23+K23+L23),1000000000)</f>
        <v>1.75342063753827</v>
      </c>
      <c r="BF23" s="0" t="n">
        <f aca="false">IF(OR(BD23&lt;Inputs!$B$34,BE23&lt;Inputs!$B$35),1,0)</f>
        <v>0</v>
      </c>
      <c r="BG23" s="0" t="n">
        <f aca="false">MAX(AZ23,BC23,BF23)</f>
        <v>0</v>
      </c>
      <c r="BH23" s="0" t="n">
        <f aca="false">MIN(R23,N23)</f>
        <v>130010.237530811</v>
      </c>
      <c r="BI23" s="0" t="n">
        <f aca="false">R23-BH23</f>
        <v>1782195.40270891</v>
      </c>
      <c r="BJ23" s="0" t="n">
        <f aca="false">MIN(BI23,O23)</f>
        <v>629044.483206042</v>
      </c>
      <c r="BK23" s="0" t="n">
        <f aca="false">BI23-BJ23</f>
        <v>1153150.91950286</v>
      </c>
      <c r="BL23" s="0" t="n">
        <f aca="false">AZ23*MIN(AT23,BK23)</f>
        <v>0</v>
      </c>
      <c r="BM23" s="0" t="n">
        <f aca="false">AZ23*MIN(AU23,BK23-BL23)</f>
        <v>0</v>
      </c>
      <c r="BN23" s="0" t="n">
        <f aca="false">AZ23*MIN(AV23,BK23-BL23-BM23)</f>
        <v>0</v>
      </c>
      <c r="BO23" s="0" t="n">
        <f aca="false">BK23-BL23-BM23-BN23</f>
        <v>1153150.91950286</v>
      </c>
      <c r="BP23" s="0" t="n">
        <f aca="false">MIN(BO23,P23)</f>
        <v>199866.162679269</v>
      </c>
      <c r="BQ23" s="0" t="n">
        <f aca="false">BO23-BP23</f>
        <v>953284.756823596</v>
      </c>
      <c r="BR23" s="0" t="n">
        <f aca="false">BC23*MIN((AT23-BL23),BQ23)</f>
        <v>0</v>
      </c>
      <c r="BS23" s="0" t="n">
        <f aca="false">BC23*MIN((AU23-BM23),BQ23-BR23)</f>
        <v>0</v>
      </c>
      <c r="BT23" s="0" t="n">
        <f aca="false">BC23*MIN((AV23-BN23),BQ23-BR23-BS23)</f>
        <v>0</v>
      </c>
      <c r="BU23" s="0" t="n">
        <f aca="false">BQ23-BR23-BS23-BT23</f>
        <v>953284.756823596</v>
      </c>
      <c r="BV23" s="0" t="n">
        <f aca="false">MIN(BU23,Q23)</f>
        <v>187500</v>
      </c>
      <c r="BW23" s="0" t="n">
        <f aca="false">BU23-BV23</f>
        <v>765784.756823596</v>
      </c>
      <c r="BX23" s="0" t="n">
        <f aca="false">BF23*MIN((AT23-BL23-BR23),BW23)</f>
        <v>0</v>
      </c>
      <c r="BY23" s="0" t="n">
        <f aca="false">BF23*MIN((AU23-BM23-BS23),BW23-BX23)</f>
        <v>0</v>
      </c>
      <c r="BZ23" s="0" t="n">
        <f aca="false">BF23*MIN((AV23-BN23-BT23),BW23-BX23-BY23)</f>
        <v>0</v>
      </c>
      <c r="CA23" s="0" t="n">
        <f aca="false">BW23-BX23-BY23-BZ23</f>
        <v>765784.756823596</v>
      </c>
      <c r="CB23" s="0" t="n">
        <f aca="false">MAX(0,AT23+AU23+AV23-BL23-BM23-BN23-BR23-BS23-BT23-BX23-BY23-BZ23-AW23)</f>
        <v>0</v>
      </c>
      <c r="CC23" s="0" t="n">
        <f aca="false">1*MIN((AT23-BL23-BR23-BX23),MIN(CA23,CB23))</f>
        <v>0</v>
      </c>
      <c r="CD23" s="0" t="n">
        <f aca="false">1*MIN((AU23-BM23-BS23-BY23),MIN(CA23,CB23)-CC23)</f>
        <v>0</v>
      </c>
      <c r="CE23" s="0" t="n">
        <f aca="false">1*MIN((AV23-BN23-BT23-BZ23),MIN(CA23,CB23)-CC23-CD23)</f>
        <v>0</v>
      </c>
      <c r="CF23" s="0" t="n">
        <f aca="false">CA23-CC23-CD23-CE23</f>
        <v>765784.756823596</v>
      </c>
      <c r="CG23" s="0" t="n">
        <f aca="false">IF(C23+D23+E23&gt;Inputs!$B$19,MIN(CF23,MAX(0,Inputs!$B$15-DO22)),0)</f>
        <v>0</v>
      </c>
      <c r="CH23" s="0" t="n">
        <f aca="false">CF23-CG23</f>
        <v>765784.756823596</v>
      </c>
      <c r="CI23" s="0" t="n">
        <f aca="false">DO22+CG23</f>
        <v>3000000</v>
      </c>
      <c r="CJ23" s="0" t="n">
        <f aca="false">MIN(MAX(N23-BH23,0),CI23)</f>
        <v>0</v>
      </c>
      <c r="CK23" s="0" t="n">
        <f aca="false">MIN(MAX(O23-BJ23,0),CI23-CJ23)</f>
        <v>0</v>
      </c>
      <c r="CL23" s="0" t="n">
        <f aca="false">MIN(MAX(P23-BP23,0),CI23-CJ23-CK23)</f>
        <v>0</v>
      </c>
      <c r="CM23" s="0" t="n">
        <f aca="false">CJ23+CK23+CL23</f>
        <v>0</v>
      </c>
      <c r="CN23" s="0" t="n">
        <f aca="false">CI23-CM23</f>
        <v>3000000</v>
      </c>
      <c r="CO23" s="0" t="n">
        <f aca="false">BH23+CJ23</f>
        <v>130010.237530811</v>
      </c>
      <c r="CP23" s="0" t="n">
        <f aca="false">BJ23+CK23</f>
        <v>629044.483206042</v>
      </c>
      <c r="CQ23" s="0" t="n">
        <f aca="false">BP23+CL23</f>
        <v>199866.162679269</v>
      </c>
      <c r="CR23" s="0" t="n">
        <f aca="false">BV23</f>
        <v>187500</v>
      </c>
      <c r="CS23" s="0" t="n">
        <f aca="false">AT23-BL23-BR23-BX23-CC23</f>
        <v>148047512.595493</v>
      </c>
      <c r="CT23" s="0" t="n">
        <f aca="false">AU23-BM23-BS23-BY23-CD23</f>
        <v>40000000</v>
      </c>
      <c r="CU23" s="0" t="n">
        <f aca="false">AV23-BN23-BT23-BZ23-CE23</f>
        <v>30000000</v>
      </c>
      <c r="CV23" s="0" t="n">
        <f aca="false">MAX(0,CS23+CT23+CU23-AW23)</f>
        <v>0</v>
      </c>
      <c r="CW23" s="0" t="n">
        <f aca="false">MIN(CU23,CV23)</f>
        <v>0</v>
      </c>
      <c r="CX23" s="0" t="n">
        <f aca="false">MIN(CT23,CV23-CW23)</f>
        <v>0</v>
      </c>
      <c r="CY23" s="0" t="n">
        <f aca="false">MIN(CS23,CV23-CW23-CX23)</f>
        <v>0</v>
      </c>
      <c r="CZ23" s="0" t="n">
        <f aca="false">IF(CS23-CY23&lt;Inputs!$B$19,0,CS23-CY23)</f>
        <v>148047512.595493</v>
      </c>
      <c r="DA23" s="0" t="n">
        <f aca="false">IF(CT23-CX23&lt;Inputs!$B$19,0,CT23-CX23)</f>
        <v>40000000</v>
      </c>
      <c r="DB23" s="0" t="n">
        <f aca="false">IF(CU23-CW23&lt;Inputs!$B$19,0,CU23-CW23)</f>
        <v>30000000</v>
      </c>
      <c r="DC23" s="0" t="n">
        <f aca="false">N23-CO23</f>
        <v>0</v>
      </c>
      <c r="DD23" s="0" t="n">
        <f aca="false">O23-CP23</f>
        <v>0</v>
      </c>
      <c r="DE23" s="0" t="n">
        <f aca="false">P23-CQ23</f>
        <v>0</v>
      </c>
      <c r="DF23" s="0" t="n">
        <f aca="false">Q23-CR23</f>
        <v>0</v>
      </c>
      <c r="DG23" s="0" t="n">
        <f aca="false">IF(CZ23+DA23+DB23&lt;=Inputs!$B$19,1,0)</f>
        <v>0</v>
      </c>
      <c r="DH23" s="0" t="n">
        <f aca="false">DG23*CN23</f>
        <v>0</v>
      </c>
      <c r="DI23" s="0" t="n">
        <f aca="false">DG23*(AS23+DH23)</f>
        <v>0</v>
      </c>
      <c r="DJ23" s="0" t="n">
        <f aca="false">DG23*MIN(DC23,DI23)</f>
        <v>0</v>
      </c>
      <c r="DK23" s="0" t="n">
        <f aca="false">DG23*MIN(DD23,DI23-DJ23)</f>
        <v>0</v>
      </c>
      <c r="DL23" s="0" t="n">
        <f aca="false">DG23*MIN(DE23,DI23-DJ23-DK23)</f>
        <v>0</v>
      </c>
      <c r="DM23" s="0" t="n">
        <f aca="false">DG23*MIN(DF23,DI23-DJ23-DK23-DL23)</f>
        <v>0</v>
      </c>
      <c r="DN23" s="0" t="n">
        <f aca="false">DJ23+DK23+DL23+DM23</f>
        <v>0</v>
      </c>
      <c r="DO23" s="0" t="n">
        <f aca="false">CN23-DH23</f>
        <v>3000000</v>
      </c>
      <c r="DP23" s="0" t="n">
        <f aca="false">DC23-DJ23</f>
        <v>0</v>
      </c>
      <c r="DQ23" s="0" t="n">
        <f aca="false">DD23-DK23</f>
        <v>0</v>
      </c>
      <c r="DR23" s="0" t="n">
        <f aca="false">DE23-DL23</f>
        <v>0</v>
      </c>
      <c r="DS23" s="0" t="n">
        <f aca="false">DF23-DM23</f>
        <v>0</v>
      </c>
      <c r="DT23" s="0" t="n">
        <f aca="false">CO23+DJ23</f>
        <v>130010.237530811</v>
      </c>
      <c r="DU23" s="0" t="n">
        <f aca="false">CP23+DK23</f>
        <v>629044.483206042</v>
      </c>
      <c r="DV23" s="0" t="n">
        <f aca="false">AP23+BL23+BR23+BX23+CC23</f>
        <v>7721314.27471336</v>
      </c>
      <c r="DW23" s="0" t="n">
        <f aca="false">CQ23+DL23</f>
        <v>199866.162679269</v>
      </c>
      <c r="DX23" s="0" t="n">
        <f aca="false">AQ23+BM23+BS23+BY23+CD23</f>
        <v>0</v>
      </c>
      <c r="DY23" s="0" t="n">
        <f aca="false">CR23+DM23</f>
        <v>187500</v>
      </c>
      <c r="DZ23" s="0" t="n">
        <f aca="false">AR23+BN23+BT23+BZ23+CE23</f>
        <v>0</v>
      </c>
      <c r="EA23" s="0" t="n">
        <f aca="false">DI23-DN23</f>
        <v>0</v>
      </c>
      <c r="EB23" s="0" t="n">
        <f aca="false">CH23+EA23</f>
        <v>765784.756823596</v>
      </c>
      <c r="EC23" s="0" t="n">
        <f aca="false">R23-I23-MAX(-M23,0)-J23-K23-L23</f>
        <v>765784.756823596</v>
      </c>
      <c r="ED23" s="0" t="n">
        <f aca="false">R23+S23+CM23+DH23-CG23-DT23-DU23-DW23-DY23-DV23-DX23-DZ23-EB23</f>
        <v>0</v>
      </c>
      <c r="EE23" s="0" t="n">
        <f aca="false">IF(AND(EB23&gt;0.000001,DP23+DQ23+DR23+DS23&gt;0.000001),1,0)</f>
        <v>0</v>
      </c>
    </row>
    <row r="24" customFormat="false" ht="15" hidden="false" customHeight="false" outlineLevel="0" collapsed="false">
      <c r="A24" s="0" t="n">
        <f aca="false">ROW()-5</f>
        <v>19</v>
      </c>
      <c r="B24" s="0" t="n">
        <f aca="false">Inputs!$B$11+(Inputs!$B$12-Inputs!$B$11)*(1-EXP(-A24/Inputs!$B$13))+Inputs!$B$8</f>
        <v>0.0372574346814418</v>
      </c>
      <c r="C24" s="0" t="n">
        <f aca="false">CZ23</f>
        <v>148047512.595493</v>
      </c>
      <c r="D24" s="0" t="n">
        <f aca="false">DA23</f>
        <v>40000000</v>
      </c>
      <c r="E24" s="0" t="n">
        <f aca="false">DB23</f>
        <v>30000000</v>
      </c>
      <c r="F24" s="0" t="n">
        <f aca="false">IF(Inputs!$B$22=1,B24+Inputs!$B$23,Inputs!$B$23)/12</f>
        <v>0.00402145289012015</v>
      </c>
      <c r="G24" s="0" t="n">
        <f aca="false">IF(Inputs!$B$27=1,B24+Inputs!$B$28,Inputs!$B$28)/12</f>
        <v>0.00497978622345348</v>
      </c>
      <c r="H24" s="0" t="n">
        <f aca="false">IF(Inputs!$B$32=1,B24+Inputs!$B$33,Inputs!$B$33)/12</f>
        <v>0.00625</v>
      </c>
      <c r="I24" s="0" t="n">
        <f aca="false">Pool!BT24*Inputs!$B$14/12</f>
        <v>125864.447323646</v>
      </c>
      <c r="J24" s="0" t="n">
        <f aca="false">C24*F24</f>
        <v>595366.097402246</v>
      </c>
      <c r="K24" s="0" t="n">
        <f aca="false">D24*G24</f>
        <v>199191.448938139</v>
      </c>
      <c r="L24" s="0" t="n">
        <f aca="false">E24*H24</f>
        <v>187500</v>
      </c>
      <c r="M24" s="0" t="n">
        <f aca="false">Inputs!$B$17*(C24*Inputs!$B$22+D24*Inputs!$B$27+E24*Inputs!$B$32)*(B24-Inputs!$B$18)/12</f>
        <v>0</v>
      </c>
      <c r="N24" s="0" t="n">
        <f aca="false">DP23+I24+MAX(-M24,0)</f>
        <v>125864.447323646</v>
      </c>
      <c r="O24" s="0" t="n">
        <f aca="false">DQ23+J24</f>
        <v>595366.097402246</v>
      </c>
      <c r="P24" s="0" t="n">
        <f aca="false">DR23+K24</f>
        <v>199191.448938139</v>
      </c>
      <c r="Q24" s="0" t="n">
        <f aca="false">DS23+L24</f>
        <v>187500</v>
      </c>
      <c r="R24" s="0" t="n">
        <f aca="false">Pool!BV24+MAX(M24,0)</f>
        <v>1853514.03516732</v>
      </c>
      <c r="S24" s="0" t="n">
        <f aca="false">Pool!BW24+Pool!BX24+Pool!BZ24</f>
        <v>7618743.35500417</v>
      </c>
      <c r="T24" s="0" t="n">
        <f aca="false">MAX(T23,BG23)</f>
        <v>1</v>
      </c>
      <c r="U24" s="0" t="n">
        <f aca="false">MIN(C24,S24)</f>
        <v>7618743.35500417</v>
      </c>
      <c r="V24" s="0" t="n">
        <f aca="false">MIN(D24,S24-U24)</f>
        <v>0</v>
      </c>
      <c r="W24" s="0" t="n">
        <f aca="false">MIN(E24,S24-U24-V24)</f>
        <v>0</v>
      </c>
      <c r="X24" s="0" t="n">
        <f aca="false">IF(C24-(0)&gt;Inputs!$B$19,1,0)</f>
        <v>1</v>
      </c>
      <c r="Y24" s="0" t="n">
        <f aca="false">IF(D24-(0)&gt;Inputs!$B$19,1,0)</f>
        <v>1</v>
      </c>
      <c r="Z24" s="0" t="n">
        <f aca="false">IF(E24-(0)&gt;Inputs!$B$19,1,0)</f>
        <v>1</v>
      </c>
      <c r="AA24" s="0" t="n">
        <f aca="false">IF((X24*C24+Y24*D24+Z24*E24)&gt;0,MIN(C24-(0),S24*X24*C24/(X24*C24+Y24*D24+Z24*E24)),0)</f>
        <v>5172890.94191265</v>
      </c>
      <c r="AB24" s="0" t="n">
        <f aca="false">IF((X24*C24+Y24*D24+Z24*E24)&gt;0,MIN(D24-(0),S24*Y24*D24/(X24*C24+Y24*D24+Z24*E24)),0)</f>
        <v>1397629.95033801</v>
      </c>
      <c r="AC24" s="0" t="n">
        <f aca="false">IF((X24*C24+Y24*D24+Z24*E24)&gt;0,MIN(E24-(0),S24*Z24*E24/(X24*C24+Y24*D24+Z24*E24)),0)</f>
        <v>1048222.46275351</v>
      </c>
      <c r="AD24" s="0" t="n">
        <f aca="false">IF(C24-(AA24)&gt;Inputs!$B$19,1,0)</f>
        <v>1</v>
      </c>
      <c r="AE24" s="0" t="n">
        <f aca="false">IF(D24-(AB24)&gt;Inputs!$B$19,1,0)</f>
        <v>1</v>
      </c>
      <c r="AF24" s="0" t="n">
        <f aca="false">IF(E24-(AC24)&gt;Inputs!$B$19,1,0)</f>
        <v>1</v>
      </c>
      <c r="AG24" s="0" t="n">
        <f aca="false">IF((AD24*C24+AE24*D24+AF24*E24)&gt;0,MIN(C24-(AA24),(S24-(AA24+AB24+AC24))*AD24*C24/(AD24*C24+AE24*D24+AF24*E24)),0)</f>
        <v>0</v>
      </c>
      <c r="AH24" s="0" t="n">
        <f aca="false">IF((AD24*C24+AE24*D24+AF24*E24)&gt;0,MIN(D24-(AB24),(S24-(AA24+AB24+AC24))*AE24*D24/(AD24*C24+AE24*D24+AF24*E24)),0)</f>
        <v>0</v>
      </c>
      <c r="AI24" s="0" t="n">
        <f aca="false">IF((AD24*C24+AE24*D24+AF24*E24)&gt;0,MIN(E24-(AC24),(S24-(AA24+AB24+AC24))*AF24*E24/(AD24*C24+AE24*D24+AF24*E24)),0)</f>
        <v>0</v>
      </c>
      <c r="AJ24" s="0" t="n">
        <f aca="false">IF(C24-(AA24+AG24)&gt;Inputs!$B$19,1,0)</f>
        <v>1</v>
      </c>
      <c r="AK24" s="0" t="n">
        <f aca="false">IF(D24-(AB24+AH24)&gt;Inputs!$B$19,1,0)</f>
        <v>1</v>
      </c>
      <c r="AL24" s="0" t="n">
        <f aca="false">IF(E24-(AC24+AI24)&gt;Inputs!$B$19,1,0)</f>
        <v>1</v>
      </c>
      <c r="AM24" s="0" t="n">
        <f aca="false">IF((AJ24*C24+AK24*D24+AL24*E24)&gt;0,MIN(C24-(AA24+AG24),(S24-(AA24+AB24+AC24+AG24+AH24+AI24))*AJ24*C24/(AJ24*C24+AK24*D24+AL24*E24)),0)</f>
        <v>0</v>
      </c>
      <c r="AN24" s="0" t="n">
        <f aca="false">IF((AJ24*C24+AK24*D24+AL24*E24)&gt;0,MIN(D24-(AB24+AH24),(S24-(AA24+AB24+AC24+AG24+AH24+AI24))*AK24*D24/(AJ24*C24+AK24*D24+AL24*E24)),0)</f>
        <v>0</v>
      </c>
      <c r="AO24" s="0" t="n">
        <f aca="false">IF((AJ24*C24+AK24*D24+AL24*E24)&gt;0,MIN(E24-(AC24+AI24),(S24-(AA24+AB24+AC24+AG24+AH24+AI24))*AL24*E24/(AJ24*C24+AK24*D24+AL24*E24)),0)</f>
        <v>0</v>
      </c>
      <c r="AP24" s="0" t="n">
        <f aca="false">IF(T24=1,U24,AA24+AG24+AM24)</f>
        <v>7618743.35500417</v>
      </c>
      <c r="AQ24" s="0" t="n">
        <f aca="false">IF(T24=1,V24,AB24+AH24+AN24)</f>
        <v>0</v>
      </c>
      <c r="AR24" s="0" t="n">
        <f aca="false">IF(T24=1,W24,AC24+AI24+AO24)</f>
        <v>0</v>
      </c>
      <c r="AS24" s="0" t="n">
        <f aca="false">S24-AP24-AQ24-AR24</f>
        <v>0</v>
      </c>
      <c r="AT24" s="0" t="n">
        <f aca="false">C24-AP24</f>
        <v>140428769.240489</v>
      </c>
      <c r="AU24" s="0" t="n">
        <f aca="false">D24-AQ24</f>
        <v>40000000</v>
      </c>
      <c r="AV24" s="0" t="n">
        <f aca="false">E24-AR24</f>
        <v>30000000</v>
      </c>
      <c r="AW24" s="0" t="n">
        <f aca="false">Pool!CB24</f>
        <v>234326093.47267</v>
      </c>
      <c r="AX24" s="0" t="n">
        <f aca="false">IF((AT24)&gt;Inputs!$B$19,AW24/(AT24),1000000000)</f>
        <v>1.66864734868806</v>
      </c>
      <c r="AY24" s="0" t="n">
        <f aca="false">IF((J24)&gt;0.000000001,(R24-I24-MAX(-M24,0))/(J24),1000000000)</f>
        <v>2.90182728808697</v>
      </c>
      <c r="AZ24" s="0" t="n">
        <f aca="false">IF(OR(AX24&lt;Inputs!$B$24,AY24&lt;Inputs!$B$25),1,0)</f>
        <v>0</v>
      </c>
      <c r="BA24" s="0" t="n">
        <f aca="false">IF((AT24+AU24)&gt;Inputs!$B$19,AW24/(AT24+AU24),1000000000)</f>
        <v>1.29871801741518</v>
      </c>
      <c r="BB24" s="0" t="n">
        <f aca="false">IF((J24+K24)&gt;0.000000001,(R24-I24-MAX(-M24,0))/(J24+K24),1000000000)</f>
        <v>2.1743542626975</v>
      </c>
      <c r="BC24" s="0" t="n">
        <f aca="false">IF(OR(BA24&lt;Inputs!$B$29,BB24&lt;Inputs!$B$30),1,0)</f>
        <v>0</v>
      </c>
      <c r="BD24" s="0" t="n">
        <f aca="false">IF((AT24+AU24+AV24)&gt;Inputs!$B$19,AW24/(AT24+AU24+AV24),1000000000)</f>
        <v>1.11356490996186</v>
      </c>
      <c r="BE24" s="0" t="n">
        <f aca="false">IF((J24+K24+L24)&gt;0.000000001,(R24-I24-MAX(-M24,0))/(J24+K24+L24),1000000000)</f>
        <v>1.75921420723432</v>
      </c>
      <c r="BF24" s="0" t="n">
        <f aca="false">IF(OR(BD24&lt;Inputs!$B$34,BE24&lt;Inputs!$B$35),1,0)</f>
        <v>0</v>
      </c>
      <c r="BG24" s="0" t="n">
        <f aca="false">MAX(AZ24,BC24,BF24)</f>
        <v>0</v>
      </c>
      <c r="BH24" s="0" t="n">
        <f aca="false">MIN(R24,N24)</f>
        <v>125864.447323646</v>
      </c>
      <c r="BI24" s="0" t="n">
        <f aca="false">R24-BH24</f>
        <v>1727649.58784368</v>
      </c>
      <c r="BJ24" s="0" t="n">
        <f aca="false">MIN(BI24,O24)</f>
        <v>595366.097402246</v>
      </c>
      <c r="BK24" s="0" t="n">
        <f aca="false">BI24-BJ24</f>
        <v>1132283.49044143</v>
      </c>
      <c r="BL24" s="0" t="n">
        <f aca="false">AZ24*MIN(AT24,BK24)</f>
        <v>0</v>
      </c>
      <c r="BM24" s="0" t="n">
        <f aca="false">AZ24*MIN(AU24,BK24-BL24)</f>
        <v>0</v>
      </c>
      <c r="BN24" s="0" t="n">
        <f aca="false">AZ24*MIN(AV24,BK24-BL24-BM24)</f>
        <v>0</v>
      </c>
      <c r="BO24" s="0" t="n">
        <f aca="false">BK24-BL24-BM24-BN24</f>
        <v>1132283.49044143</v>
      </c>
      <c r="BP24" s="0" t="n">
        <f aca="false">MIN(BO24,P24)</f>
        <v>199191.448938139</v>
      </c>
      <c r="BQ24" s="0" t="n">
        <f aca="false">BO24-BP24</f>
        <v>933092.041503294</v>
      </c>
      <c r="BR24" s="0" t="n">
        <f aca="false">BC24*MIN((AT24-BL24),BQ24)</f>
        <v>0</v>
      </c>
      <c r="BS24" s="0" t="n">
        <f aca="false">BC24*MIN((AU24-BM24),BQ24-BR24)</f>
        <v>0</v>
      </c>
      <c r="BT24" s="0" t="n">
        <f aca="false">BC24*MIN((AV24-BN24),BQ24-BR24-BS24)</f>
        <v>0</v>
      </c>
      <c r="BU24" s="0" t="n">
        <f aca="false">BQ24-BR24-BS24-BT24</f>
        <v>933092.041503294</v>
      </c>
      <c r="BV24" s="0" t="n">
        <f aca="false">MIN(BU24,Q24)</f>
        <v>187500</v>
      </c>
      <c r="BW24" s="0" t="n">
        <f aca="false">BU24-BV24</f>
        <v>745592.041503294</v>
      </c>
      <c r="BX24" s="0" t="n">
        <f aca="false">BF24*MIN((AT24-BL24-BR24),BW24)</f>
        <v>0</v>
      </c>
      <c r="BY24" s="0" t="n">
        <f aca="false">BF24*MIN((AU24-BM24-BS24),BW24-BX24)</f>
        <v>0</v>
      </c>
      <c r="BZ24" s="0" t="n">
        <f aca="false">BF24*MIN((AV24-BN24-BT24),BW24-BX24-BY24)</f>
        <v>0</v>
      </c>
      <c r="CA24" s="0" t="n">
        <f aca="false">BW24-BX24-BY24-BZ24</f>
        <v>745592.041503294</v>
      </c>
      <c r="CB24" s="0" t="n">
        <f aca="false">MAX(0,AT24+AU24+AV24-BL24-BM24-BN24-BR24-BS24-BT24-BX24-BY24-BZ24-AW24)</f>
        <v>0</v>
      </c>
      <c r="CC24" s="0" t="n">
        <f aca="false">1*MIN((AT24-BL24-BR24-BX24),MIN(CA24,CB24))</f>
        <v>0</v>
      </c>
      <c r="CD24" s="0" t="n">
        <f aca="false">1*MIN((AU24-BM24-BS24-BY24),MIN(CA24,CB24)-CC24)</f>
        <v>0</v>
      </c>
      <c r="CE24" s="0" t="n">
        <f aca="false">1*MIN((AV24-BN24-BT24-BZ24),MIN(CA24,CB24)-CC24-CD24)</f>
        <v>0</v>
      </c>
      <c r="CF24" s="0" t="n">
        <f aca="false">CA24-CC24-CD24-CE24</f>
        <v>745592.041503294</v>
      </c>
      <c r="CG24" s="0" t="n">
        <f aca="false">IF(C24+D24+E24&gt;Inputs!$B$19,MIN(CF24,MAX(0,Inputs!$B$15-DO23)),0)</f>
        <v>0</v>
      </c>
      <c r="CH24" s="0" t="n">
        <f aca="false">CF24-CG24</f>
        <v>745592.041503294</v>
      </c>
      <c r="CI24" s="0" t="n">
        <f aca="false">DO23+CG24</f>
        <v>3000000</v>
      </c>
      <c r="CJ24" s="0" t="n">
        <f aca="false">MIN(MAX(N24-BH24,0),CI24)</f>
        <v>0</v>
      </c>
      <c r="CK24" s="0" t="n">
        <f aca="false">MIN(MAX(O24-BJ24,0),CI24-CJ24)</f>
        <v>0</v>
      </c>
      <c r="CL24" s="0" t="n">
        <f aca="false">MIN(MAX(P24-BP24,0),CI24-CJ24-CK24)</f>
        <v>0</v>
      </c>
      <c r="CM24" s="0" t="n">
        <f aca="false">CJ24+CK24+CL24</f>
        <v>0</v>
      </c>
      <c r="CN24" s="0" t="n">
        <f aca="false">CI24-CM24</f>
        <v>3000000</v>
      </c>
      <c r="CO24" s="0" t="n">
        <f aca="false">BH24+CJ24</f>
        <v>125864.447323646</v>
      </c>
      <c r="CP24" s="0" t="n">
        <f aca="false">BJ24+CK24</f>
        <v>595366.097402246</v>
      </c>
      <c r="CQ24" s="0" t="n">
        <f aca="false">BP24+CL24</f>
        <v>199191.448938139</v>
      </c>
      <c r="CR24" s="0" t="n">
        <f aca="false">BV24</f>
        <v>187500</v>
      </c>
      <c r="CS24" s="0" t="n">
        <f aca="false">AT24-BL24-BR24-BX24-CC24</f>
        <v>140428769.240489</v>
      </c>
      <c r="CT24" s="0" t="n">
        <f aca="false">AU24-BM24-BS24-BY24-CD24</f>
        <v>40000000</v>
      </c>
      <c r="CU24" s="0" t="n">
        <f aca="false">AV24-BN24-BT24-BZ24-CE24</f>
        <v>30000000</v>
      </c>
      <c r="CV24" s="0" t="n">
        <f aca="false">MAX(0,CS24+CT24+CU24-AW24)</f>
        <v>0</v>
      </c>
      <c r="CW24" s="0" t="n">
        <f aca="false">MIN(CU24,CV24)</f>
        <v>0</v>
      </c>
      <c r="CX24" s="0" t="n">
        <f aca="false">MIN(CT24,CV24-CW24)</f>
        <v>0</v>
      </c>
      <c r="CY24" s="0" t="n">
        <f aca="false">MIN(CS24,CV24-CW24-CX24)</f>
        <v>0</v>
      </c>
      <c r="CZ24" s="0" t="n">
        <f aca="false">IF(CS24-CY24&lt;Inputs!$B$19,0,CS24-CY24)</f>
        <v>140428769.240489</v>
      </c>
      <c r="DA24" s="0" t="n">
        <f aca="false">IF(CT24-CX24&lt;Inputs!$B$19,0,CT24-CX24)</f>
        <v>40000000</v>
      </c>
      <c r="DB24" s="0" t="n">
        <f aca="false">IF(CU24-CW24&lt;Inputs!$B$19,0,CU24-CW24)</f>
        <v>30000000</v>
      </c>
      <c r="DC24" s="0" t="n">
        <f aca="false">N24-CO24</f>
        <v>0</v>
      </c>
      <c r="DD24" s="0" t="n">
        <f aca="false">O24-CP24</f>
        <v>0</v>
      </c>
      <c r="DE24" s="0" t="n">
        <f aca="false">P24-CQ24</f>
        <v>0</v>
      </c>
      <c r="DF24" s="0" t="n">
        <f aca="false">Q24-CR24</f>
        <v>0</v>
      </c>
      <c r="DG24" s="0" t="n">
        <f aca="false">IF(CZ24+DA24+DB24&lt;=Inputs!$B$19,1,0)</f>
        <v>0</v>
      </c>
      <c r="DH24" s="0" t="n">
        <f aca="false">DG24*CN24</f>
        <v>0</v>
      </c>
      <c r="DI24" s="0" t="n">
        <f aca="false">DG24*(AS24+DH24)</f>
        <v>0</v>
      </c>
      <c r="DJ24" s="0" t="n">
        <f aca="false">DG24*MIN(DC24,DI24)</f>
        <v>0</v>
      </c>
      <c r="DK24" s="0" t="n">
        <f aca="false">DG24*MIN(DD24,DI24-DJ24)</f>
        <v>0</v>
      </c>
      <c r="DL24" s="0" t="n">
        <f aca="false">DG24*MIN(DE24,DI24-DJ24-DK24)</f>
        <v>0</v>
      </c>
      <c r="DM24" s="0" t="n">
        <f aca="false">DG24*MIN(DF24,DI24-DJ24-DK24-DL24)</f>
        <v>0</v>
      </c>
      <c r="DN24" s="0" t="n">
        <f aca="false">DJ24+DK24+DL24+DM24</f>
        <v>0</v>
      </c>
      <c r="DO24" s="0" t="n">
        <f aca="false">CN24-DH24</f>
        <v>3000000</v>
      </c>
      <c r="DP24" s="0" t="n">
        <f aca="false">DC24-DJ24</f>
        <v>0</v>
      </c>
      <c r="DQ24" s="0" t="n">
        <f aca="false">DD24-DK24</f>
        <v>0</v>
      </c>
      <c r="DR24" s="0" t="n">
        <f aca="false">DE24-DL24</f>
        <v>0</v>
      </c>
      <c r="DS24" s="0" t="n">
        <f aca="false">DF24-DM24</f>
        <v>0</v>
      </c>
      <c r="DT24" s="0" t="n">
        <f aca="false">CO24+DJ24</f>
        <v>125864.447323646</v>
      </c>
      <c r="DU24" s="0" t="n">
        <f aca="false">CP24+DK24</f>
        <v>595366.097402246</v>
      </c>
      <c r="DV24" s="0" t="n">
        <f aca="false">AP24+BL24+BR24+BX24+CC24</f>
        <v>7618743.35500417</v>
      </c>
      <c r="DW24" s="0" t="n">
        <f aca="false">CQ24+DL24</f>
        <v>199191.448938139</v>
      </c>
      <c r="DX24" s="0" t="n">
        <f aca="false">AQ24+BM24+BS24+BY24+CD24</f>
        <v>0</v>
      </c>
      <c r="DY24" s="0" t="n">
        <f aca="false">CR24+DM24</f>
        <v>187500</v>
      </c>
      <c r="DZ24" s="0" t="n">
        <f aca="false">AR24+BN24+BT24+BZ24+CE24</f>
        <v>0</v>
      </c>
      <c r="EA24" s="0" t="n">
        <f aca="false">DI24-DN24</f>
        <v>0</v>
      </c>
      <c r="EB24" s="0" t="n">
        <f aca="false">CH24+EA24</f>
        <v>745592.041503294</v>
      </c>
      <c r="EC24" s="0" t="n">
        <f aca="false">R24-I24-MAX(-M24,0)-J24-K24-L24</f>
        <v>745592.041503294</v>
      </c>
      <c r="ED24" s="0" t="n">
        <f aca="false">R24+S24+CM24+DH24-CG24-DT24-DU24-DW24-DY24-DV24-DX24-DZ24-EB24</f>
        <v>0</v>
      </c>
      <c r="EE24" s="0" t="n">
        <f aca="false">IF(AND(EB24&gt;0.000001,DP24+DQ24+DR24+DS24&gt;0.000001),1,0)</f>
        <v>0</v>
      </c>
    </row>
    <row r="25" customFormat="false" ht="15" hidden="false" customHeight="false" outlineLevel="0" collapsed="false">
      <c r="A25" s="0" t="n">
        <f aca="false">ROW()-5</f>
        <v>20</v>
      </c>
      <c r="B25" s="0" t="n">
        <f aca="false">Inputs!$B$11+(Inputs!$B$12-Inputs!$B$11)*(1-EXP(-A25/Inputs!$B$13))+Inputs!$B$8</f>
        <v>0.0370632811893243</v>
      </c>
      <c r="C25" s="0" t="n">
        <f aca="false">CZ24</f>
        <v>140428769.240489</v>
      </c>
      <c r="D25" s="0" t="n">
        <f aca="false">DA24</f>
        <v>40000000</v>
      </c>
      <c r="E25" s="0" t="n">
        <f aca="false">DB24</f>
        <v>30000000</v>
      </c>
      <c r="F25" s="0" t="n">
        <f aca="false">IF(Inputs!$B$22=1,B25+Inputs!$B$23,Inputs!$B$23)/12</f>
        <v>0.00400527343244369</v>
      </c>
      <c r="G25" s="0" t="n">
        <f aca="false">IF(Inputs!$B$27=1,B25+Inputs!$B$28,Inputs!$B$28)/12</f>
        <v>0.00496360676577703</v>
      </c>
      <c r="H25" s="0" t="n">
        <f aca="false">IF(Inputs!$B$32=1,B25+Inputs!$B$33,Inputs!$B$33)/12</f>
        <v>0.00625</v>
      </c>
      <c r="I25" s="0" t="n">
        <f aca="false">Pool!BT25*Inputs!$B$14/12</f>
        <v>121776.163094672</v>
      </c>
      <c r="J25" s="0" t="n">
        <f aca="false">C25*F25</f>
        <v>562455.618589697</v>
      </c>
      <c r="K25" s="0" t="n">
        <f aca="false">D25*G25</f>
        <v>198544.270631081</v>
      </c>
      <c r="L25" s="0" t="n">
        <f aca="false">E25*H25</f>
        <v>187500</v>
      </c>
      <c r="M25" s="0" t="n">
        <f aca="false">Inputs!$B$17*(C25*Inputs!$B$22+D25*Inputs!$B$27+E25*Inputs!$B$32)*(B25-Inputs!$B$18)/12</f>
        <v>0</v>
      </c>
      <c r="N25" s="0" t="n">
        <f aca="false">DP24+I25+MAX(-M25,0)</f>
        <v>121776.163094672</v>
      </c>
      <c r="O25" s="0" t="n">
        <f aca="false">DQ24+J25</f>
        <v>562455.618589697</v>
      </c>
      <c r="P25" s="0" t="n">
        <f aca="false">DR24+K25</f>
        <v>198544.270631081</v>
      </c>
      <c r="Q25" s="0" t="n">
        <f aca="false">DS24+L25</f>
        <v>187500</v>
      </c>
      <c r="R25" s="0" t="n">
        <f aca="false">Pool!BV25+MAX(M25,0)</f>
        <v>1795628.29692122</v>
      </c>
      <c r="S25" s="0" t="n">
        <f aca="false">Pool!BW25+Pool!BX25+Pool!BZ25</f>
        <v>7517395.16973528</v>
      </c>
      <c r="T25" s="0" t="n">
        <f aca="false">MAX(T24,BG24)</f>
        <v>1</v>
      </c>
      <c r="U25" s="0" t="n">
        <f aca="false">MIN(C25,S25)</f>
        <v>7517395.16973528</v>
      </c>
      <c r="V25" s="0" t="n">
        <f aca="false">MIN(D25,S25-U25)</f>
        <v>0</v>
      </c>
      <c r="W25" s="0" t="n">
        <f aca="false">MIN(E25,S25-U25-V25)</f>
        <v>0</v>
      </c>
      <c r="X25" s="0" t="n">
        <f aca="false">IF(C25-(0)&gt;Inputs!$B$19,1,0)</f>
        <v>1</v>
      </c>
      <c r="Y25" s="0" t="n">
        <f aca="false">IF(D25-(0)&gt;Inputs!$B$19,1,0)</f>
        <v>1</v>
      </c>
      <c r="Z25" s="0" t="n">
        <f aca="false">IF(E25-(0)&gt;Inputs!$B$19,1,0)</f>
        <v>1</v>
      </c>
      <c r="AA25" s="0" t="n">
        <f aca="false">IF((X25*C25+Y25*D25+Z25*E25)&gt;0,MIN(C25-(0),S25*X25*C25/(X25*C25+Y25*D25+Z25*E25)),0)</f>
        <v>5016702.58962481</v>
      </c>
      <c r="AB25" s="0" t="n">
        <f aca="false">IF((X25*C25+Y25*D25+Z25*E25)&gt;0,MIN(D25-(0),S25*Y25*D25/(X25*C25+Y25*D25+Z25*E25)),0)</f>
        <v>1428967.18863455</v>
      </c>
      <c r="AC25" s="0" t="n">
        <f aca="false">IF((X25*C25+Y25*D25+Z25*E25)&gt;0,MIN(E25-(0),S25*Z25*E25/(X25*C25+Y25*D25+Z25*E25)),0)</f>
        <v>1071725.39147592</v>
      </c>
      <c r="AD25" s="0" t="n">
        <f aca="false">IF(C25-(AA25)&gt;Inputs!$B$19,1,0)</f>
        <v>1</v>
      </c>
      <c r="AE25" s="0" t="n">
        <f aca="false">IF(D25-(AB25)&gt;Inputs!$B$19,1,0)</f>
        <v>1</v>
      </c>
      <c r="AF25" s="0" t="n">
        <f aca="false">IF(E25-(AC25)&gt;Inputs!$B$19,1,0)</f>
        <v>1</v>
      </c>
      <c r="AG25" s="0" t="n">
        <f aca="false">IF((AD25*C25+AE25*D25+AF25*E25)&gt;0,MIN(C25-(AA25),(S25-(AA25+AB25+AC25))*AD25*C25/(AD25*C25+AE25*D25+AF25*E25)),0)</f>
        <v>0</v>
      </c>
      <c r="AH25" s="0" t="n">
        <f aca="false">IF((AD25*C25+AE25*D25+AF25*E25)&gt;0,MIN(D25-(AB25),(S25-(AA25+AB25+AC25))*AE25*D25/(AD25*C25+AE25*D25+AF25*E25)),0)</f>
        <v>0</v>
      </c>
      <c r="AI25" s="0" t="n">
        <f aca="false">IF((AD25*C25+AE25*D25+AF25*E25)&gt;0,MIN(E25-(AC25),(S25-(AA25+AB25+AC25))*AF25*E25/(AD25*C25+AE25*D25+AF25*E25)),0)</f>
        <v>0</v>
      </c>
      <c r="AJ25" s="0" t="n">
        <f aca="false">IF(C25-(AA25+AG25)&gt;Inputs!$B$19,1,0)</f>
        <v>1</v>
      </c>
      <c r="AK25" s="0" t="n">
        <f aca="false">IF(D25-(AB25+AH25)&gt;Inputs!$B$19,1,0)</f>
        <v>1</v>
      </c>
      <c r="AL25" s="0" t="n">
        <f aca="false">IF(E25-(AC25+AI25)&gt;Inputs!$B$19,1,0)</f>
        <v>1</v>
      </c>
      <c r="AM25" s="0" t="n">
        <f aca="false">IF((AJ25*C25+AK25*D25+AL25*E25)&gt;0,MIN(C25-(AA25+AG25),(S25-(AA25+AB25+AC25+AG25+AH25+AI25))*AJ25*C25/(AJ25*C25+AK25*D25+AL25*E25)),0)</f>
        <v>0</v>
      </c>
      <c r="AN25" s="0" t="n">
        <f aca="false">IF((AJ25*C25+AK25*D25+AL25*E25)&gt;0,MIN(D25-(AB25+AH25),(S25-(AA25+AB25+AC25+AG25+AH25+AI25))*AK25*D25/(AJ25*C25+AK25*D25+AL25*E25)),0)</f>
        <v>0</v>
      </c>
      <c r="AO25" s="0" t="n">
        <f aca="false">IF((AJ25*C25+AK25*D25+AL25*E25)&gt;0,MIN(E25-(AC25+AI25),(S25-(AA25+AB25+AC25+AG25+AH25+AI25))*AL25*E25/(AJ25*C25+AK25*D25+AL25*E25)),0)</f>
        <v>0</v>
      </c>
      <c r="AP25" s="0" t="n">
        <f aca="false">IF(T25=1,U25,AA25+AG25+AM25)</f>
        <v>7517395.16973528</v>
      </c>
      <c r="AQ25" s="0" t="n">
        <f aca="false">IF(T25=1,V25,AB25+AH25+AN25)</f>
        <v>0</v>
      </c>
      <c r="AR25" s="0" t="n">
        <f aca="false">IF(T25=1,W25,AC25+AI25+AO25)</f>
        <v>0</v>
      </c>
      <c r="AS25" s="0" t="n">
        <f aca="false">S25-AP25-AQ25-AR25</f>
        <v>0</v>
      </c>
      <c r="AT25" s="0" t="n">
        <f aca="false">C25-AP25</f>
        <v>132911374.070754</v>
      </c>
      <c r="AU25" s="0" t="n">
        <f aca="false">D25-AQ25</f>
        <v>40000000</v>
      </c>
      <c r="AV25" s="0" t="n">
        <f aca="false">E25-AR25</f>
        <v>30000000</v>
      </c>
      <c r="AW25" s="0" t="n">
        <f aca="false">Pool!CB25</f>
        <v>226573491.831733</v>
      </c>
      <c r="AX25" s="0" t="n">
        <f aca="false">IF((AT25)&gt;Inputs!$B$19,AW25/(AT25),1000000000)</f>
        <v>1.70469603083871</v>
      </c>
      <c r="AY25" s="0" t="n">
        <f aca="false">IF((J25)&gt;0.000000001,(R25-I25-MAX(-M25,0))/(J25),1000000000)</f>
        <v>2.97597193183627</v>
      </c>
      <c r="AZ25" s="0" t="n">
        <f aca="false">IF(OR(AX25&lt;Inputs!$B$24,AY25&lt;Inputs!$B$25),1,0)</f>
        <v>0</v>
      </c>
      <c r="BA25" s="0" t="n">
        <f aca="false">IF((AT25+AU25)&gt;Inputs!$B$19,AW25/(AT25+AU25),1000000000)</f>
        <v>1.31034463782019</v>
      </c>
      <c r="BB25" s="0" t="n">
        <f aca="false">IF((J25+K25)&gt;0.000000001,(R25-I25-MAX(-M25,0))/(J25+K25),1000000000)</f>
        <v>2.1995432030095</v>
      </c>
      <c r="BC25" s="0" t="n">
        <f aca="false">IF(OR(BA25&lt;Inputs!$B$29,BB25&lt;Inputs!$B$30),1,0)</f>
        <v>0</v>
      </c>
      <c r="BD25" s="0" t="n">
        <f aca="false">IF((AT25+AU25+AV25)&gt;Inputs!$B$19,AW25/(AT25+AU25+AV25),1000000000)</f>
        <v>1.11661306749975</v>
      </c>
      <c r="BE25" s="0" t="n">
        <f aca="false">IF((J25+K25+L25)&gt;0.000000001,(R25-I25-MAX(-M25,0))/(J25+K25+L25),1000000000)</f>
        <v>1.7647362459912</v>
      </c>
      <c r="BF25" s="0" t="n">
        <f aca="false">IF(OR(BD25&lt;Inputs!$B$34,BE25&lt;Inputs!$B$35),1,0)</f>
        <v>0</v>
      </c>
      <c r="BG25" s="0" t="n">
        <f aca="false">MAX(AZ25,BC25,BF25)</f>
        <v>0</v>
      </c>
      <c r="BH25" s="0" t="n">
        <f aca="false">MIN(R25,N25)</f>
        <v>121776.163094672</v>
      </c>
      <c r="BI25" s="0" t="n">
        <f aca="false">R25-BH25</f>
        <v>1673852.13382655</v>
      </c>
      <c r="BJ25" s="0" t="n">
        <f aca="false">MIN(BI25,O25)</f>
        <v>562455.618589697</v>
      </c>
      <c r="BK25" s="0" t="n">
        <f aca="false">BI25-BJ25</f>
        <v>1111396.51523685</v>
      </c>
      <c r="BL25" s="0" t="n">
        <f aca="false">AZ25*MIN(AT25,BK25)</f>
        <v>0</v>
      </c>
      <c r="BM25" s="0" t="n">
        <f aca="false">AZ25*MIN(AU25,BK25-BL25)</f>
        <v>0</v>
      </c>
      <c r="BN25" s="0" t="n">
        <f aca="false">AZ25*MIN(AV25,BK25-BL25-BM25)</f>
        <v>0</v>
      </c>
      <c r="BO25" s="0" t="n">
        <f aca="false">BK25-BL25-BM25-BN25</f>
        <v>1111396.51523685</v>
      </c>
      <c r="BP25" s="0" t="n">
        <f aca="false">MIN(BO25,P25)</f>
        <v>198544.270631081</v>
      </c>
      <c r="BQ25" s="0" t="n">
        <f aca="false">BO25-BP25</f>
        <v>912852.244605767</v>
      </c>
      <c r="BR25" s="0" t="n">
        <f aca="false">BC25*MIN((AT25-BL25),BQ25)</f>
        <v>0</v>
      </c>
      <c r="BS25" s="0" t="n">
        <f aca="false">BC25*MIN((AU25-BM25),BQ25-BR25)</f>
        <v>0</v>
      </c>
      <c r="BT25" s="0" t="n">
        <f aca="false">BC25*MIN((AV25-BN25),BQ25-BR25-BS25)</f>
        <v>0</v>
      </c>
      <c r="BU25" s="0" t="n">
        <f aca="false">BQ25-BR25-BS25-BT25</f>
        <v>912852.244605767</v>
      </c>
      <c r="BV25" s="0" t="n">
        <f aca="false">MIN(BU25,Q25)</f>
        <v>187500</v>
      </c>
      <c r="BW25" s="0" t="n">
        <f aca="false">BU25-BV25</f>
        <v>725352.244605767</v>
      </c>
      <c r="BX25" s="0" t="n">
        <f aca="false">BF25*MIN((AT25-BL25-BR25),BW25)</f>
        <v>0</v>
      </c>
      <c r="BY25" s="0" t="n">
        <f aca="false">BF25*MIN((AU25-BM25-BS25),BW25-BX25)</f>
        <v>0</v>
      </c>
      <c r="BZ25" s="0" t="n">
        <f aca="false">BF25*MIN((AV25-BN25-BT25),BW25-BX25-BY25)</f>
        <v>0</v>
      </c>
      <c r="CA25" s="0" t="n">
        <f aca="false">BW25-BX25-BY25-BZ25</f>
        <v>725352.244605767</v>
      </c>
      <c r="CB25" s="0" t="n">
        <f aca="false">MAX(0,AT25+AU25+AV25-BL25-BM25-BN25-BR25-BS25-BT25-BX25-BY25-BZ25-AW25)</f>
        <v>0</v>
      </c>
      <c r="CC25" s="0" t="n">
        <f aca="false">1*MIN((AT25-BL25-BR25-BX25),MIN(CA25,CB25))</f>
        <v>0</v>
      </c>
      <c r="CD25" s="0" t="n">
        <f aca="false">1*MIN((AU25-BM25-BS25-BY25),MIN(CA25,CB25)-CC25)</f>
        <v>0</v>
      </c>
      <c r="CE25" s="0" t="n">
        <f aca="false">1*MIN((AV25-BN25-BT25-BZ25),MIN(CA25,CB25)-CC25-CD25)</f>
        <v>0</v>
      </c>
      <c r="CF25" s="0" t="n">
        <f aca="false">CA25-CC25-CD25-CE25</f>
        <v>725352.244605767</v>
      </c>
      <c r="CG25" s="0" t="n">
        <f aca="false">IF(C25+D25+E25&gt;Inputs!$B$19,MIN(CF25,MAX(0,Inputs!$B$15-DO24)),0)</f>
        <v>0</v>
      </c>
      <c r="CH25" s="0" t="n">
        <f aca="false">CF25-CG25</f>
        <v>725352.244605767</v>
      </c>
      <c r="CI25" s="0" t="n">
        <f aca="false">DO24+CG25</f>
        <v>3000000</v>
      </c>
      <c r="CJ25" s="0" t="n">
        <f aca="false">MIN(MAX(N25-BH25,0),CI25)</f>
        <v>0</v>
      </c>
      <c r="CK25" s="0" t="n">
        <f aca="false">MIN(MAX(O25-BJ25,0),CI25-CJ25)</f>
        <v>0</v>
      </c>
      <c r="CL25" s="0" t="n">
        <f aca="false">MIN(MAX(P25-BP25,0),CI25-CJ25-CK25)</f>
        <v>0</v>
      </c>
      <c r="CM25" s="0" t="n">
        <f aca="false">CJ25+CK25+CL25</f>
        <v>0</v>
      </c>
      <c r="CN25" s="0" t="n">
        <f aca="false">CI25-CM25</f>
        <v>3000000</v>
      </c>
      <c r="CO25" s="0" t="n">
        <f aca="false">BH25+CJ25</f>
        <v>121776.163094672</v>
      </c>
      <c r="CP25" s="0" t="n">
        <f aca="false">BJ25+CK25</f>
        <v>562455.618589697</v>
      </c>
      <c r="CQ25" s="0" t="n">
        <f aca="false">BP25+CL25</f>
        <v>198544.270631081</v>
      </c>
      <c r="CR25" s="0" t="n">
        <f aca="false">BV25</f>
        <v>187500</v>
      </c>
      <c r="CS25" s="0" t="n">
        <f aca="false">AT25-BL25-BR25-BX25-CC25</f>
        <v>132911374.070754</v>
      </c>
      <c r="CT25" s="0" t="n">
        <f aca="false">AU25-BM25-BS25-BY25-CD25</f>
        <v>40000000</v>
      </c>
      <c r="CU25" s="0" t="n">
        <f aca="false">AV25-BN25-BT25-BZ25-CE25</f>
        <v>30000000</v>
      </c>
      <c r="CV25" s="0" t="n">
        <f aca="false">MAX(0,CS25+CT25+CU25-AW25)</f>
        <v>0</v>
      </c>
      <c r="CW25" s="0" t="n">
        <f aca="false">MIN(CU25,CV25)</f>
        <v>0</v>
      </c>
      <c r="CX25" s="0" t="n">
        <f aca="false">MIN(CT25,CV25-CW25)</f>
        <v>0</v>
      </c>
      <c r="CY25" s="0" t="n">
        <f aca="false">MIN(CS25,CV25-CW25-CX25)</f>
        <v>0</v>
      </c>
      <c r="CZ25" s="0" t="n">
        <f aca="false">IF(CS25-CY25&lt;Inputs!$B$19,0,CS25-CY25)</f>
        <v>132911374.070754</v>
      </c>
      <c r="DA25" s="0" t="n">
        <f aca="false">IF(CT25-CX25&lt;Inputs!$B$19,0,CT25-CX25)</f>
        <v>40000000</v>
      </c>
      <c r="DB25" s="0" t="n">
        <f aca="false">IF(CU25-CW25&lt;Inputs!$B$19,0,CU25-CW25)</f>
        <v>30000000</v>
      </c>
      <c r="DC25" s="0" t="n">
        <f aca="false">N25-CO25</f>
        <v>0</v>
      </c>
      <c r="DD25" s="0" t="n">
        <f aca="false">O25-CP25</f>
        <v>0</v>
      </c>
      <c r="DE25" s="0" t="n">
        <f aca="false">P25-CQ25</f>
        <v>0</v>
      </c>
      <c r="DF25" s="0" t="n">
        <f aca="false">Q25-CR25</f>
        <v>0</v>
      </c>
      <c r="DG25" s="0" t="n">
        <f aca="false">IF(CZ25+DA25+DB25&lt;=Inputs!$B$19,1,0)</f>
        <v>0</v>
      </c>
      <c r="DH25" s="0" t="n">
        <f aca="false">DG25*CN25</f>
        <v>0</v>
      </c>
      <c r="DI25" s="0" t="n">
        <f aca="false">DG25*(AS25+DH25)</f>
        <v>0</v>
      </c>
      <c r="DJ25" s="0" t="n">
        <f aca="false">DG25*MIN(DC25,DI25)</f>
        <v>0</v>
      </c>
      <c r="DK25" s="0" t="n">
        <f aca="false">DG25*MIN(DD25,DI25-DJ25)</f>
        <v>0</v>
      </c>
      <c r="DL25" s="0" t="n">
        <f aca="false">DG25*MIN(DE25,DI25-DJ25-DK25)</f>
        <v>0</v>
      </c>
      <c r="DM25" s="0" t="n">
        <f aca="false">DG25*MIN(DF25,DI25-DJ25-DK25-DL25)</f>
        <v>0</v>
      </c>
      <c r="DN25" s="0" t="n">
        <f aca="false">DJ25+DK25+DL25+DM25</f>
        <v>0</v>
      </c>
      <c r="DO25" s="0" t="n">
        <f aca="false">CN25-DH25</f>
        <v>3000000</v>
      </c>
      <c r="DP25" s="0" t="n">
        <f aca="false">DC25-DJ25</f>
        <v>0</v>
      </c>
      <c r="DQ25" s="0" t="n">
        <f aca="false">DD25-DK25</f>
        <v>0</v>
      </c>
      <c r="DR25" s="0" t="n">
        <f aca="false">DE25-DL25</f>
        <v>0</v>
      </c>
      <c r="DS25" s="0" t="n">
        <f aca="false">DF25-DM25</f>
        <v>0</v>
      </c>
      <c r="DT25" s="0" t="n">
        <f aca="false">CO25+DJ25</f>
        <v>121776.163094672</v>
      </c>
      <c r="DU25" s="0" t="n">
        <f aca="false">CP25+DK25</f>
        <v>562455.618589697</v>
      </c>
      <c r="DV25" s="0" t="n">
        <f aca="false">AP25+BL25+BR25+BX25+CC25</f>
        <v>7517395.16973528</v>
      </c>
      <c r="DW25" s="0" t="n">
        <f aca="false">CQ25+DL25</f>
        <v>198544.270631081</v>
      </c>
      <c r="DX25" s="0" t="n">
        <f aca="false">AQ25+BM25+BS25+BY25+CD25</f>
        <v>0</v>
      </c>
      <c r="DY25" s="0" t="n">
        <f aca="false">CR25+DM25</f>
        <v>187500</v>
      </c>
      <c r="DZ25" s="0" t="n">
        <f aca="false">AR25+BN25+BT25+BZ25+CE25</f>
        <v>0</v>
      </c>
      <c r="EA25" s="0" t="n">
        <f aca="false">DI25-DN25</f>
        <v>0</v>
      </c>
      <c r="EB25" s="0" t="n">
        <f aca="false">CH25+EA25</f>
        <v>725352.244605767</v>
      </c>
      <c r="EC25" s="0" t="n">
        <f aca="false">R25-I25-MAX(-M25,0)-J25-K25-L25</f>
        <v>725352.244605767</v>
      </c>
      <c r="ED25" s="0" t="n">
        <f aca="false">R25+S25+CM25+DH25-CG25-DT25-DU25-DW25-DY25-DV25-DX25-DZ25-EB25</f>
        <v>0</v>
      </c>
      <c r="EE25" s="0" t="n">
        <f aca="false">IF(AND(EB25&gt;0.000001,DP25+DQ25+DR25+DS25&gt;0.000001),1,0)</f>
        <v>0</v>
      </c>
    </row>
    <row r="26" customFormat="false" ht="15" hidden="false" customHeight="false" outlineLevel="0" collapsed="false">
      <c r="A26" s="0" t="n">
        <f aca="false">ROW()-5</f>
        <v>21</v>
      </c>
      <c r="B26" s="0" t="n">
        <f aca="false">Inputs!$B$11+(Inputs!$B$12-Inputs!$B$11)*(1-EXP(-A26/Inputs!$B$13))+Inputs!$B$8</f>
        <v>0.0368770512066243</v>
      </c>
      <c r="C26" s="0" t="n">
        <f aca="false">CZ25</f>
        <v>132911374.070754</v>
      </c>
      <c r="D26" s="0" t="n">
        <f aca="false">DA25</f>
        <v>40000000</v>
      </c>
      <c r="E26" s="0" t="n">
        <f aca="false">DB25</f>
        <v>30000000</v>
      </c>
      <c r="F26" s="0" t="n">
        <f aca="false">IF(Inputs!$B$22=1,B26+Inputs!$B$23,Inputs!$B$23)/12</f>
        <v>0.00398975426721869</v>
      </c>
      <c r="G26" s="0" t="n">
        <f aca="false">IF(Inputs!$B$27=1,B26+Inputs!$B$28,Inputs!$B$28)/12</f>
        <v>0.00494808760055203</v>
      </c>
      <c r="H26" s="0" t="n">
        <f aca="false">IF(Inputs!$B$32=1,B26+Inputs!$B$33,Inputs!$B$33)/12</f>
        <v>0.00625</v>
      </c>
      <c r="I26" s="0" t="n">
        <f aca="false">Pool!BT26*Inputs!$B$14/12</f>
        <v>117744.691190487</v>
      </c>
      <c r="J26" s="0" t="n">
        <f aca="false">C26*F26</f>
        <v>530283.721860691</v>
      </c>
      <c r="K26" s="0" t="n">
        <f aca="false">D26*G26</f>
        <v>197923.504022081</v>
      </c>
      <c r="L26" s="0" t="n">
        <f aca="false">E26*H26</f>
        <v>187500</v>
      </c>
      <c r="M26" s="0" t="n">
        <f aca="false">Inputs!$B$17*(C26*Inputs!$B$22+D26*Inputs!$B$27+E26*Inputs!$B$32)*(B26-Inputs!$B$18)/12</f>
        <v>0</v>
      </c>
      <c r="N26" s="0" t="n">
        <f aca="false">DP25+I26+MAX(-M26,0)</f>
        <v>117744.691190487</v>
      </c>
      <c r="O26" s="0" t="n">
        <f aca="false">DQ25+J26</f>
        <v>530283.721860691</v>
      </c>
      <c r="P26" s="0" t="n">
        <f aca="false">DR25+K26</f>
        <v>197923.504022081</v>
      </c>
      <c r="Q26" s="0" t="n">
        <f aca="false">DS25+L26</f>
        <v>187500</v>
      </c>
      <c r="R26" s="0" t="n">
        <f aca="false">Pool!BV26+MAX(M26,0)</f>
        <v>1738538.75020873</v>
      </c>
      <c r="S26" s="0" t="n">
        <f aca="false">Pool!BW26+Pool!BX26+Pool!BZ26</f>
        <v>7417255.64825999</v>
      </c>
      <c r="T26" s="0" t="n">
        <f aca="false">MAX(T25,BG25)</f>
        <v>1</v>
      </c>
      <c r="U26" s="0" t="n">
        <f aca="false">MIN(C26,S26)</f>
        <v>7417255.64825999</v>
      </c>
      <c r="V26" s="0" t="n">
        <f aca="false">MIN(D26,S26-U26)</f>
        <v>0</v>
      </c>
      <c r="W26" s="0" t="n">
        <f aca="false">MIN(E26,S26-U26-V26)</f>
        <v>0</v>
      </c>
      <c r="X26" s="0" t="n">
        <f aca="false">IF(C26-(0)&gt;Inputs!$B$19,1,0)</f>
        <v>1</v>
      </c>
      <c r="Y26" s="0" t="n">
        <f aca="false">IF(D26-(0)&gt;Inputs!$B$19,1,0)</f>
        <v>1</v>
      </c>
      <c r="Z26" s="0" t="n">
        <f aca="false">IF(E26-(0)&gt;Inputs!$B$19,1,0)</f>
        <v>1</v>
      </c>
      <c r="AA26" s="0" t="n">
        <f aca="false">IF((X26*C26+Y26*D26+Z26*E26)&gt;0,MIN(C26-(0),S26*X26*C26/(X26*C26+Y26*D26+Z26*E26)),0)</f>
        <v>4858464.16722081</v>
      </c>
      <c r="AB26" s="0" t="n">
        <f aca="false">IF((X26*C26+Y26*D26+Z26*E26)&gt;0,MIN(D26-(0),S26*Y26*D26/(X26*C26+Y26*D26+Z26*E26)),0)</f>
        <v>1462166.56059382</v>
      </c>
      <c r="AC26" s="0" t="n">
        <f aca="false">IF((X26*C26+Y26*D26+Z26*E26)&gt;0,MIN(E26-(0),S26*Z26*E26/(X26*C26+Y26*D26+Z26*E26)),0)</f>
        <v>1096624.92044536</v>
      </c>
      <c r="AD26" s="0" t="n">
        <f aca="false">IF(C26-(AA26)&gt;Inputs!$B$19,1,0)</f>
        <v>1</v>
      </c>
      <c r="AE26" s="0" t="n">
        <f aca="false">IF(D26-(AB26)&gt;Inputs!$B$19,1,0)</f>
        <v>1</v>
      </c>
      <c r="AF26" s="0" t="n">
        <f aca="false">IF(E26-(AC26)&gt;Inputs!$B$19,1,0)</f>
        <v>1</v>
      </c>
      <c r="AG26" s="0" t="n">
        <f aca="false">IF((AD26*C26+AE26*D26+AF26*E26)&gt;0,MIN(C26-(AA26),(S26-(AA26+AB26+AC26))*AD26*C26/(AD26*C26+AE26*D26+AF26*E26)),0)</f>
        <v>0</v>
      </c>
      <c r="AH26" s="0" t="n">
        <f aca="false">IF((AD26*C26+AE26*D26+AF26*E26)&gt;0,MIN(D26-(AB26),(S26-(AA26+AB26+AC26))*AE26*D26/(AD26*C26+AE26*D26+AF26*E26)),0)</f>
        <v>0</v>
      </c>
      <c r="AI26" s="0" t="n">
        <f aca="false">IF((AD26*C26+AE26*D26+AF26*E26)&gt;0,MIN(E26-(AC26),(S26-(AA26+AB26+AC26))*AF26*E26/(AD26*C26+AE26*D26+AF26*E26)),0)</f>
        <v>0</v>
      </c>
      <c r="AJ26" s="0" t="n">
        <f aca="false">IF(C26-(AA26+AG26)&gt;Inputs!$B$19,1,0)</f>
        <v>1</v>
      </c>
      <c r="AK26" s="0" t="n">
        <f aca="false">IF(D26-(AB26+AH26)&gt;Inputs!$B$19,1,0)</f>
        <v>1</v>
      </c>
      <c r="AL26" s="0" t="n">
        <f aca="false">IF(E26-(AC26+AI26)&gt;Inputs!$B$19,1,0)</f>
        <v>1</v>
      </c>
      <c r="AM26" s="0" t="n">
        <f aca="false">IF((AJ26*C26+AK26*D26+AL26*E26)&gt;0,MIN(C26-(AA26+AG26),(S26-(AA26+AB26+AC26+AG26+AH26+AI26))*AJ26*C26/(AJ26*C26+AK26*D26+AL26*E26)),0)</f>
        <v>0</v>
      </c>
      <c r="AN26" s="0" t="n">
        <f aca="false">IF((AJ26*C26+AK26*D26+AL26*E26)&gt;0,MIN(D26-(AB26+AH26),(S26-(AA26+AB26+AC26+AG26+AH26+AI26))*AK26*D26/(AJ26*C26+AK26*D26+AL26*E26)),0)</f>
        <v>0</v>
      </c>
      <c r="AO26" s="0" t="n">
        <f aca="false">IF((AJ26*C26+AK26*D26+AL26*E26)&gt;0,MIN(E26-(AC26+AI26),(S26-(AA26+AB26+AC26+AG26+AH26+AI26))*AL26*E26/(AJ26*C26+AK26*D26+AL26*E26)),0)</f>
        <v>0</v>
      </c>
      <c r="AP26" s="0" t="n">
        <f aca="false">IF(T26=1,U26,AA26+AG26+AM26)</f>
        <v>7417255.64825999</v>
      </c>
      <c r="AQ26" s="0" t="n">
        <f aca="false">IF(T26=1,V26,AB26+AH26+AN26)</f>
        <v>0</v>
      </c>
      <c r="AR26" s="0" t="n">
        <f aca="false">IF(T26=1,W26,AC26+AI26+AO26)</f>
        <v>0</v>
      </c>
      <c r="AS26" s="0" t="n">
        <f aca="false">S26-AP26-AQ26-AR26</f>
        <v>0</v>
      </c>
      <c r="AT26" s="0" t="n">
        <f aca="false">C26-AP26</f>
        <v>125494118.422494</v>
      </c>
      <c r="AU26" s="0" t="n">
        <f aca="false">D26-AQ26</f>
        <v>40000000</v>
      </c>
      <c r="AV26" s="0" t="n">
        <f aca="false">E26-AR26</f>
        <v>30000000</v>
      </c>
      <c r="AW26" s="0" t="n">
        <f aca="false">Pool!CB26</f>
        <v>218928816.361615</v>
      </c>
      <c r="AX26" s="0" t="n">
        <f aca="false">IF((AT26)&gt;Inputs!$B$19,AW26/(AT26),1000000000)</f>
        <v>1.74453447789927</v>
      </c>
      <c r="AY26" s="0" t="n">
        <f aca="false">IF((J26)&gt;0.000000001,(R26-I26-MAX(-M26,0))/(J26),1000000000)</f>
        <v>3.05646579783951</v>
      </c>
      <c r="AZ26" s="0" t="n">
        <f aca="false">IF(OR(AX26&lt;Inputs!$B$24,AY26&lt;Inputs!$B$25),1,0)</f>
        <v>0</v>
      </c>
      <c r="BA26" s="0" t="n">
        <f aca="false">IF((AT26+AU26)&gt;Inputs!$B$19,AW26/(AT26+AU26),1000000000)</f>
        <v>1.3228797400685</v>
      </c>
      <c r="BB26" s="0" t="n">
        <f aca="false">IF((J26+K26)&gt;0.000000001,(R26-I26-MAX(-M26,0))/(J26+K26),1000000000)</f>
        <v>2.22573190900904</v>
      </c>
      <c r="BC26" s="0" t="n">
        <f aca="false">IF(OR(BA26&lt;Inputs!$B$29,BB26&lt;Inputs!$B$30),1,0)</f>
        <v>0</v>
      </c>
      <c r="BD26" s="0" t="n">
        <f aca="false">IF((AT26+AU26+AV26)&gt;Inputs!$B$19,AW26/(AT26+AU26+AV26),1000000000)</f>
        <v>1.11987418408402</v>
      </c>
      <c r="BE26" s="0" t="n">
        <f aca="false">IF((J26+K26+L26)&gt;0.000000001,(R26-I26-MAX(-M26,0))/(J26+K26+L26),1000000000)</f>
        <v>1.76999155756988</v>
      </c>
      <c r="BF26" s="0" t="n">
        <f aca="false">IF(OR(BD26&lt;Inputs!$B$34,BE26&lt;Inputs!$B$35),1,0)</f>
        <v>0</v>
      </c>
      <c r="BG26" s="0" t="n">
        <f aca="false">MAX(AZ26,BC26,BF26)</f>
        <v>0</v>
      </c>
      <c r="BH26" s="0" t="n">
        <f aca="false">MIN(R26,N26)</f>
        <v>117744.691190487</v>
      </c>
      <c r="BI26" s="0" t="n">
        <f aca="false">R26-BH26</f>
        <v>1620794.05901824</v>
      </c>
      <c r="BJ26" s="0" t="n">
        <f aca="false">MIN(BI26,O26)</f>
        <v>530283.721860691</v>
      </c>
      <c r="BK26" s="0" t="n">
        <f aca="false">BI26-BJ26</f>
        <v>1090510.33715755</v>
      </c>
      <c r="BL26" s="0" t="n">
        <f aca="false">AZ26*MIN(AT26,BK26)</f>
        <v>0</v>
      </c>
      <c r="BM26" s="0" t="n">
        <f aca="false">AZ26*MIN(AU26,BK26-BL26)</f>
        <v>0</v>
      </c>
      <c r="BN26" s="0" t="n">
        <f aca="false">AZ26*MIN(AV26,BK26-BL26-BM26)</f>
        <v>0</v>
      </c>
      <c r="BO26" s="0" t="n">
        <f aca="false">BK26-BL26-BM26-BN26</f>
        <v>1090510.33715755</v>
      </c>
      <c r="BP26" s="0" t="n">
        <f aca="false">MIN(BO26,P26)</f>
        <v>197923.504022081</v>
      </c>
      <c r="BQ26" s="0" t="n">
        <f aca="false">BO26-BP26</f>
        <v>892586.83313547</v>
      </c>
      <c r="BR26" s="0" t="n">
        <f aca="false">BC26*MIN((AT26-BL26),BQ26)</f>
        <v>0</v>
      </c>
      <c r="BS26" s="0" t="n">
        <f aca="false">BC26*MIN((AU26-BM26),BQ26-BR26)</f>
        <v>0</v>
      </c>
      <c r="BT26" s="0" t="n">
        <f aca="false">BC26*MIN((AV26-BN26),BQ26-BR26-BS26)</f>
        <v>0</v>
      </c>
      <c r="BU26" s="0" t="n">
        <f aca="false">BQ26-BR26-BS26-BT26</f>
        <v>892586.83313547</v>
      </c>
      <c r="BV26" s="0" t="n">
        <f aca="false">MIN(BU26,Q26)</f>
        <v>187500</v>
      </c>
      <c r="BW26" s="0" t="n">
        <f aca="false">BU26-BV26</f>
        <v>705086.83313547</v>
      </c>
      <c r="BX26" s="0" t="n">
        <f aca="false">BF26*MIN((AT26-BL26-BR26),BW26)</f>
        <v>0</v>
      </c>
      <c r="BY26" s="0" t="n">
        <f aca="false">BF26*MIN((AU26-BM26-BS26),BW26-BX26)</f>
        <v>0</v>
      </c>
      <c r="BZ26" s="0" t="n">
        <f aca="false">BF26*MIN((AV26-BN26-BT26),BW26-BX26-BY26)</f>
        <v>0</v>
      </c>
      <c r="CA26" s="0" t="n">
        <f aca="false">BW26-BX26-BY26-BZ26</f>
        <v>705086.83313547</v>
      </c>
      <c r="CB26" s="0" t="n">
        <f aca="false">MAX(0,AT26+AU26+AV26-BL26-BM26-BN26-BR26-BS26-BT26-BX26-BY26-BZ26-AW26)</f>
        <v>0</v>
      </c>
      <c r="CC26" s="0" t="n">
        <f aca="false">1*MIN((AT26-BL26-BR26-BX26),MIN(CA26,CB26))</f>
        <v>0</v>
      </c>
      <c r="CD26" s="0" t="n">
        <f aca="false">1*MIN((AU26-BM26-BS26-BY26),MIN(CA26,CB26)-CC26)</f>
        <v>0</v>
      </c>
      <c r="CE26" s="0" t="n">
        <f aca="false">1*MIN((AV26-BN26-BT26-BZ26),MIN(CA26,CB26)-CC26-CD26)</f>
        <v>0</v>
      </c>
      <c r="CF26" s="0" t="n">
        <f aca="false">CA26-CC26-CD26-CE26</f>
        <v>705086.83313547</v>
      </c>
      <c r="CG26" s="0" t="n">
        <f aca="false">IF(C26+D26+E26&gt;Inputs!$B$19,MIN(CF26,MAX(0,Inputs!$B$15-DO25)),0)</f>
        <v>0</v>
      </c>
      <c r="CH26" s="0" t="n">
        <f aca="false">CF26-CG26</f>
        <v>705086.83313547</v>
      </c>
      <c r="CI26" s="0" t="n">
        <f aca="false">DO25+CG26</f>
        <v>3000000</v>
      </c>
      <c r="CJ26" s="0" t="n">
        <f aca="false">MIN(MAX(N26-BH26,0),CI26)</f>
        <v>0</v>
      </c>
      <c r="CK26" s="0" t="n">
        <f aca="false">MIN(MAX(O26-BJ26,0),CI26-CJ26)</f>
        <v>0</v>
      </c>
      <c r="CL26" s="0" t="n">
        <f aca="false">MIN(MAX(P26-BP26,0),CI26-CJ26-CK26)</f>
        <v>0</v>
      </c>
      <c r="CM26" s="0" t="n">
        <f aca="false">CJ26+CK26+CL26</f>
        <v>0</v>
      </c>
      <c r="CN26" s="0" t="n">
        <f aca="false">CI26-CM26</f>
        <v>3000000</v>
      </c>
      <c r="CO26" s="0" t="n">
        <f aca="false">BH26+CJ26</f>
        <v>117744.691190487</v>
      </c>
      <c r="CP26" s="0" t="n">
        <f aca="false">BJ26+CK26</f>
        <v>530283.721860691</v>
      </c>
      <c r="CQ26" s="0" t="n">
        <f aca="false">BP26+CL26</f>
        <v>197923.504022081</v>
      </c>
      <c r="CR26" s="0" t="n">
        <f aca="false">BV26</f>
        <v>187500</v>
      </c>
      <c r="CS26" s="0" t="n">
        <f aca="false">AT26-BL26-BR26-BX26-CC26</f>
        <v>125494118.422494</v>
      </c>
      <c r="CT26" s="0" t="n">
        <f aca="false">AU26-BM26-BS26-BY26-CD26</f>
        <v>40000000</v>
      </c>
      <c r="CU26" s="0" t="n">
        <f aca="false">AV26-BN26-BT26-BZ26-CE26</f>
        <v>30000000</v>
      </c>
      <c r="CV26" s="0" t="n">
        <f aca="false">MAX(0,CS26+CT26+CU26-AW26)</f>
        <v>0</v>
      </c>
      <c r="CW26" s="0" t="n">
        <f aca="false">MIN(CU26,CV26)</f>
        <v>0</v>
      </c>
      <c r="CX26" s="0" t="n">
        <f aca="false">MIN(CT26,CV26-CW26)</f>
        <v>0</v>
      </c>
      <c r="CY26" s="0" t="n">
        <f aca="false">MIN(CS26,CV26-CW26-CX26)</f>
        <v>0</v>
      </c>
      <c r="CZ26" s="0" t="n">
        <f aca="false">IF(CS26-CY26&lt;Inputs!$B$19,0,CS26-CY26)</f>
        <v>125494118.422494</v>
      </c>
      <c r="DA26" s="0" t="n">
        <f aca="false">IF(CT26-CX26&lt;Inputs!$B$19,0,CT26-CX26)</f>
        <v>40000000</v>
      </c>
      <c r="DB26" s="0" t="n">
        <f aca="false">IF(CU26-CW26&lt;Inputs!$B$19,0,CU26-CW26)</f>
        <v>30000000</v>
      </c>
      <c r="DC26" s="0" t="n">
        <f aca="false">N26-CO26</f>
        <v>0</v>
      </c>
      <c r="DD26" s="0" t="n">
        <f aca="false">O26-CP26</f>
        <v>0</v>
      </c>
      <c r="DE26" s="0" t="n">
        <f aca="false">P26-CQ26</f>
        <v>0</v>
      </c>
      <c r="DF26" s="0" t="n">
        <f aca="false">Q26-CR26</f>
        <v>0</v>
      </c>
      <c r="DG26" s="0" t="n">
        <f aca="false">IF(CZ26+DA26+DB26&lt;=Inputs!$B$19,1,0)</f>
        <v>0</v>
      </c>
      <c r="DH26" s="0" t="n">
        <f aca="false">DG26*CN26</f>
        <v>0</v>
      </c>
      <c r="DI26" s="0" t="n">
        <f aca="false">DG26*(AS26+DH26)</f>
        <v>0</v>
      </c>
      <c r="DJ26" s="0" t="n">
        <f aca="false">DG26*MIN(DC26,DI26)</f>
        <v>0</v>
      </c>
      <c r="DK26" s="0" t="n">
        <f aca="false">DG26*MIN(DD26,DI26-DJ26)</f>
        <v>0</v>
      </c>
      <c r="DL26" s="0" t="n">
        <f aca="false">DG26*MIN(DE26,DI26-DJ26-DK26)</f>
        <v>0</v>
      </c>
      <c r="DM26" s="0" t="n">
        <f aca="false">DG26*MIN(DF26,DI26-DJ26-DK26-DL26)</f>
        <v>0</v>
      </c>
      <c r="DN26" s="0" t="n">
        <f aca="false">DJ26+DK26+DL26+DM26</f>
        <v>0</v>
      </c>
      <c r="DO26" s="0" t="n">
        <f aca="false">CN26-DH26</f>
        <v>3000000</v>
      </c>
      <c r="DP26" s="0" t="n">
        <f aca="false">DC26-DJ26</f>
        <v>0</v>
      </c>
      <c r="DQ26" s="0" t="n">
        <f aca="false">DD26-DK26</f>
        <v>0</v>
      </c>
      <c r="DR26" s="0" t="n">
        <f aca="false">DE26-DL26</f>
        <v>0</v>
      </c>
      <c r="DS26" s="0" t="n">
        <f aca="false">DF26-DM26</f>
        <v>0</v>
      </c>
      <c r="DT26" s="0" t="n">
        <f aca="false">CO26+DJ26</f>
        <v>117744.691190487</v>
      </c>
      <c r="DU26" s="0" t="n">
        <f aca="false">CP26+DK26</f>
        <v>530283.721860691</v>
      </c>
      <c r="DV26" s="0" t="n">
        <f aca="false">AP26+BL26+BR26+BX26+CC26</f>
        <v>7417255.64825999</v>
      </c>
      <c r="DW26" s="0" t="n">
        <f aca="false">CQ26+DL26</f>
        <v>197923.504022081</v>
      </c>
      <c r="DX26" s="0" t="n">
        <f aca="false">AQ26+BM26+BS26+BY26+CD26</f>
        <v>0</v>
      </c>
      <c r="DY26" s="0" t="n">
        <f aca="false">CR26+DM26</f>
        <v>187500</v>
      </c>
      <c r="DZ26" s="0" t="n">
        <f aca="false">AR26+BN26+BT26+BZ26+CE26</f>
        <v>0</v>
      </c>
      <c r="EA26" s="0" t="n">
        <f aca="false">DI26-DN26</f>
        <v>0</v>
      </c>
      <c r="EB26" s="0" t="n">
        <f aca="false">CH26+EA26</f>
        <v>705086.83313547</v>
      </c>
      <c r="EC26" s="0" t="n">
        <f aca="false">R26-I26-MAX(-M26,0)-J26-K26-L26</f>
        <v>705086.83313547</v>
      </c>
      <c r="ED26" s="0" t="n">
        <f aca="false">R26+S26+CM26+DH26-CG26-DT26-DU26-DW26-DY26-DV26-DX26-DZ26-EB26</f>
        <v>0</v>
      </c>
      <c r="EE26" s="0" t="n">
        <f aca="false">IF(AND(EB26&gt;0.000001,DP26+DQ26+DR26+DS26&gt;0.000001),1,0)</f>
        <v>0</v>
      </c>
    </row>
    <row r="27" customFormat="false" ht="15" hidden="false" customHeight="false" outlineLevel="0" collapsed="false">
      <c r="A27" s="0" t="n">
        <f aca="false">ROW()-5</f>
        <v>22</v>
      </c>
      <c r="B27" s="0" t="n">
        <f aca="false">Inputs!$B$11+(Inputs!$B$12-Inputs!$B$11)*(1-EXP(-A27/Inputs!$B$13))+Inputs!$B$8</f>
        <v>0.0366984213706209</v>
      </c>
      <c r="C27" s="0" t="n">
        <f aca="false">CZ26</f>
        <v>125494118.422494</v>
      </c>
      <c r="D27" s="0" t="n">
        <f aca="false">DA26</f>
        <v>40000000</v>
      </c>
      <c r="E27" s="0" t="n">
        <f aca="false">DB26</f>
        <v>30000000</v>
      </c>
      <c r="F27" s="0" t="n">
        <f aca="false">IF(Inputs!$B$22=1,B27+Inputs!$B$23,Inputs!$B$23)/12</f>
        <v>0.00397486844755174</v>
      </c>
      <c r="G27" s="0" t="n">
        <f aca="false">IF(Inputs!$B$27=1,B27+Inputs!$B$28,Inputs!$B$28)/12</f>
        <v>0.00493320178088507</v>
      </c>
      <c r="H27" s="0" t="n">
        <f aca="false">IF(Inputs!$B$32=1,B27+Inputs!$B$33,Inputs!$B$33)/12</f>
        <v>0.00625</v>
      </c>
      <c r="I27" s="0" t="n">
        <f aca="false">Pool!BT27*Inputs!$B$14/12</f>
        <v>113769.345972014</v>
      </c>
      <c r="J27" s="0" t="n">
        <f aca="false">C27*F27</f>
        <v>498822.611670893</v>
      </c>
      <c r="K27" s="0" t="n">
        <f aca="false">D27*G27</f>
        <v>197328.071235403</v>
      </c>
      <c r="L27" s="0" t="n">
        <f aca="false">E27*H27</f>
        <v>187500</v>
      </c>
      <c r="M27" s="0" t="n">
        <f aca="false">Inputs!$B$17*(C27*Inputs!$B$22+D27*Inputs!$B$27+E27*Inputs!$B$32)*(B27-Inputs!$B$18)/12</f>
        <v>0</v>
      </c>
      <c r="N27" s="0" t="n">
        <f aca="false">DP26+I27+MAX(-M27,0)</f>
        <v>113769.345972014</v>
      </c>
      <c r="O27" s="0" t="n">
        <f aca="false">DQ26+J27</f>
        <v>498822.611670893</v>
      </c>
      <c r="P27" s="0" t="n">
        <f aca="false">DR26+K27</f>
        <v>197328.071235403</v>
      </c>
      <c r="Q27" s="0" t="n">
        <f aca="false">DS26+L27</f>
        <v>187500</v>
      </c>
      <c r="R27" s="0" t="n">
        <f aca="false">Pool!BV27+MAX(M27,0)</f>
        <v>1682235.8312783</v>
      </c>
      <c r="S27" s="0" t="n">
        <f aca="false">Pool!BW27+Pool!BX27+Pool!BZ27</f>
        <v>7318310.87972871</v>
      </c>
      <c r="T27" s="0" t="n">
        <f aca="false">MAX(T26,BG26)</f>
        <v>1</v>
      </c>
      <c r="U27" s="0" t="n">
        <f aca="false">MIN(C27,S27)</f>
        <v>7318310.87972871</v>
      </c>
      <c r="V27" s="0" t="n">
        <f aca="false">MIN(D27,S27-U27)</f>
        <v>0</v>
      </c>
      <c r="W27" s="0" t="n">
        <f aca="false">MIN(E27,S27-U27-V27)</f>
        <v>0</v>
      </c>
      <c r="X27" s="0" t="n">
        <f aca="false">IF(C27-(0)&gt;Inputs!$B$19,1,0)</f>
        <v>1</v>
      </c>
      <c r="Y27" s="0" t="n">
        <f aca="false">IF(D27-(0)&gt;Inputs!$B$19,1,0)</f>
        <v>1</v>
      </c>
      <c r="Z27" s="0" t="n">
        <f aca="false">IF(E27-(0)&gt;Inputs!$B$19,1,0)</f>
        <v>1</v>
      </c>
      <c r="AA27" s="0" t="n">
        <f aca="false">IF((X27*C27+Y27*D27+Z27*E27)&gt;0,MIN(C27-(0),S27*X27*C27/(X27*C27+Y27*D27+Z27*E27)),0)</f>
        <v>4697864.97723927</v>
      </c>
      <c r="AB27" s="0" t="n">
        <f aca="false">IF((X27*C27+Y27*D27+Z27*E27)&gt;0,MIN(D27-(0),S27*Y27*D27/(X27*C27+Y27*D27+Z27*E27)),0)</f>
        <v>1497397.6585654</v>
      </c>
      <c r="AC27" s="0" t="n">
        <f aca="false">IF((X27*C27+Y27*D27+Z27*E27)&gt;0,MIN(E27-(0),S27*Z27*E27/(X27*C27+Y27*D27+Z27*E27)),0)</f>
        <v>1123048.24392405</v>
      </c>
      <c r="AD27" s="0" t="n">
        <f aca="false">IF(C27-(AA27)&gt;Inputs!$B$19,1,0)</f>
        <v>1</v>
      </c>
      <c r="AE27" s="0" t="n">
        <f aca="false">IF(D27-(AB27)&gt;Inputs!$B$19,1,0)</f>
        <v>1</v>
      </c>
      <c r="AF27" s="0" t="n">
        <f aca="false">IF(E27-(AC27)&gt;Inputs!$B$19,1,0)</f>
        <v>1</v>
      </c>
      <c r="AG27" s="0" t="n">
        <f aca="false">IF((AD27*C27+AE27*D27+AF27*E27)&gt;0,MIN(C27-(AA27),(S27-(AA27+AB27+AC27))*AD27*C27/(AD27*C27+AE27*D27+AF27*E27)),0)</f>
        <v>0</v>
      </c>
      <c r="AH27" s="0" t="n">
        <f aca="false">IF((AD27*C27+AE27*D27+AF27*E27)&gt;0,MIN(D27-(AB27),(S27-(AA27+AB27+AC27))*AE27*D27/(AD27*C27+AE27*D27+AF27*E27)),0)</f>
        <v>0</v>
      </c>
      <c r="AI27" s="0" t="n">
        <f aca="false">IF((AD27*C27+AE27*D27+AF27*E27)&gt;0,MIN(E27-(AC27),(S27-(AA27+AB27+AC27))*AF27*E27/(AD27*C27+AE27*D27+AF27*E27)),0)</f>
        <v>0</v>
      </c>
      <c r="AJ27" s="0" t="n">
        <f aca="false">IF(C27-(AA27+AG27)&gt;Inputs!$B$19,1,0)</f>
        <v>1</v>
      </c>
      <c r="AK27" s="0" t="n">
        <f aca="false">IF(D27-(AB27+AH27)&gt;Inputs!$B$19,1,0)</f>
        <v>1</v>
      </c>
      <c r="AL27" s="0" t="n">
        <f aca="false">IF(E27-(AC27+AI27)&gt;Inputs!$B$19,1,0)</f>
        <v>1</v>
      </c>
      <c r="AM27" s="0" t="n">
        <f aca="false">IF((AJ27*C27+AK27*D27+AL27*E27)&gt;0,MIN(C27-(AA27+AG27),(S27-(AA27+AB27+AC27+AG27+AH27+AI27))*AJ27*C27/(AJ27*C27+AK27*D27+AL27*E27)),0)</f>
        <v>0</v>
      </c>
      <c r="AN27" s="0" t="n">
        <f aca="false">IF((AJ27*C27+AK27*D27+AL27*E27)&gt;0,MIN(D27-(AB27+AH27),(S27-(AA27+AB27+AC27+AG27+AH27+AI27))*AK27*D27/(AJ27*C27+AK27*D27+AL27*E27)),0)</f>
        <v>0</v>
      </c>
      <c r="AO27" s="0" t="n">
        <f aca="false">IF((AJ27*C27+AK27*D27+AL27*E27)&gt;0,MIN(E27-(AC27+AI27),(S27-(AA27+AB27+AC27+AG27+AH27+AI27))*AL27*E27/(AJ27*C27+AK27*D27+AL27*E27)),0)</f>
        <v>0</v>
      </c>
      <c r="AP27" s="0" t="n">
        <f aca="false">IF(T27=1,U27,AA27+AG27+AM27)</f>
        <v>7318310.87972871</v>
      </c>
      <c r="AQ27" s="0" t="n">
        <f aca="false">IF(T27=1,V27,AB27+AH27+AN27)</f>
        <v>0</v>
      </c>
      <c r="AR27" s="0" t="n">
        <f aca="false">IF(T27=1,W27,AC27+AI27+AO27)</f>
        <v>0</v>
      </c>
      <c r="AS27" s="0" t="n">
        <f aca="false">S27-AP27-AQ27-AR27</f>
        <v>0</v>
      </c>
      <c r="AT27" s="0" t="n">
        <f aca="false">C27-AP27</f>
        <v>118175807.542765</v>
      </c>
      <c r="AU27" s="0" t="n">
        <f aca="false">D27-AQ27</f>
        <v>40000000</v>
      </c>
      <c r="AV27" s="0" t="n">
        <f aca="false">E27-AR27</f>
        <v>30000000</v>
      </c>
      <c r="AW27" s="0" t="n">
        <f aca="false">Pool!CB27</f>
        <v>211390763.902607</v>
      </c>
      <c r="AX27" s="0" t="n">
        <f aca="false">IF((AT27)&gt;Inputs!$B$19,AW27/(AT27),1000000000)</f>
        <v>1.78878205529596</v>
      </c>
      <c r="AY27" s="0" t="n">
        <f aca="false">IF((J27)&gt;0.000000001,(R27-I27-MAX(-M27,0))/(J27),1000000000)</f>
        <v>3.14433718241528</v>
      </c>
      <c r="AZ27" s="0" t="n">
        <f aca="false">IF(OR(AX27&lt;Inputs!$B$24,AY27&lt;Inputs!$B$25),1,0)</f>
        <v>0</v>
      </c>
      <c r="BA27" s="0" t="n">
        <f aca="false">IF((AT27+AU27)&gt;Inputs!$B$19,AW27/(AT27+AU27),1000000000)</f>
        <v>1.33642917451491</v>
      </c>
      <c r="BB27" s="0" t="n">
        <f aca="false">IF((J27+K27)&gt;0.000000001,(R27-I27-MAX(-M27,0))/(J27+K27),1000000000)</f>
        <v>2.25305601764008</v>
      </c>
      <c r="BC27" s="0" t="n">
        <f aca="false">IF(OR(BA27&lt;Inputs!$B$29,BB27&lt;Inputs!$B$30),1,0)</f>
        <v>0</v>
      </c>
      <c r="BD27" s="0" t="n">
        <f aca="false">IF((AT27+AU27+AV27)&gt;Inputs!$B$19,AW27/(AT27+AU27+AV27),1000000000)</f>
        <v>1.12336844285664</v>
      </c>
      <c r="BE27" s="0" t="n">
        <f aca="false">IF((J27+K27+L27)&gt;0.000000001,(R27-I27-MAX(-M27,0))/(J27+K27+L27),1000000000)</f>
        <v>1.77498474866522</v>
      </c>
      <c r="BF27" s="0" t="n">
        <f aca="false">IF(OR(BD27&lt;Inputs!$B$34,BE27&lt;Inputs!$B$35),1,0)</f>
        <v>0</v>
      </c>
      <c r="BG27" s="0" t="n">
        <f aca="false">MAX(AZ27,BC27,BF27)</f>
        <v>0</v>
      </c>
      <c r="BH27" s="0" t="n">
        <f aca="false">MIN(R27,N27)</f>
        <v>113769.345972014</v>
      </c>
      <c r="BI27" s="0" t="n">
        <f aca="false">R27-BH27</f>
        <v>1568466.48530628</v>
      </c>
      <c r="BJ27" s="0" t="n">
        <f aca="false">MIN(BI27,O27)</f>
        <v>498822.611670893</v>
      </c>
      <c r="BK27" s="0" t="n">
        <f aca="false">BI27-BJ27</f>
        <v>1069643.87363539</v>
      </c>
      <c r="BL27" s="0" t="n">
        <f aca="false">AZ27*MIN(AT27,BK27)</f>
        <v>0</v>
      </c>
      <c r="BM27" s="0" t="n">
        <f aca="false">AZ27*MIN(AU27,BK27-BL27)</f>
        <v>0</v>
      </c>
      <c r="BN27" s="0" t="n">
        <f aca="false">AZ27*MIN(AV27,BK27-BL27-BM27)</f>
        <v>0</v>
      </c>
      <c r="BO27" s="0" t="n">
        <f aca="false">BK27-BL27-BM27-BN27</f>
        <v>1069643.87363539</v>
      </c>
      <c r="BP27" s="0" t="n">
        <f aca="false">MIN(BO27,P27)</f>
        <v>197328.071235403</v>
      </c>
      <c r="BQ27" s="0" t="n">
        <f aca="false">BO27-BP27</f>
        <v>872315.802399988</v>
      </c>
      <c r="BR27" s="0" t="n">
        <f aca="false">BC27*MIN((AT27-BL27),BQ27)</f>
        <v>0</v>
      </c>
      <c r="BS27" s="0" t="n">
        <f aca="false">BC27*MIN((AU27-BM27),BQ27-BR27)</f>
        <v>0</v>
      </c>
      <c r="BT27" s="0" t="n">
        <f aca="false">BC27*MIN((AV27-BN27),BQ27-BR27-BS27)</f>
        <v>0</v>
      </c>
      <c r="BU27" s="0" t="n">
        <f aca="false">BQ27-BR27-BS27-BT27</f>
        <v>872315.802399988</v>
      </c>
      <c r="BV27" s="0" t="n">
        <f aca="false">MIN(BU27,Q27)</f>
        <v>187500</v>
      </c>
      <c r="BW27" s="0" t="n">
        <f aca="false">BU27-BV27</f>
        <v>684815.802399988</v>
      </c>
      <c r="BX27" s="0" t="n">
        <f aca="false">BF27*MIN((AT27-BL27-BR27),BW27)</f>
        <v>0</v>
      </c>
      <c r="BY27" s="0" t="n">
        <f aca="false">BF27*MIN((AU27-BM27-BS27),BW27-BX27)</f>
        <v>0</v>
      </c>
      <c r="BZ27" s="0" t="n">
        <f aca="false">BF27*MIN((AV27-BN27-BT27),BW27-BX27-BY27)</f>
        <v>0</v>
      </c>
      <c r="CA27" s="0" t="n">
        <f aca="false">BW27-BX27-BY27-BZ27</f>
        <v>684815.802399988</v>
      </c>
      <c r="CB27" s="0" t="n">
        <f aca="false">MAX(0,AT27+AU27+AV27-BL27-BM27-BN27-BR27-BS27-BT27-BX27-BY27-BZ27-AW27)</f>
        <v>0</v>
      </c>
      <c r="CC27" s="0" t="n">
        <f aca="false">1*MIN((AT27-BL27-BR27-BX27),MIN(CA27,CB27))</f>
        <v>0</v>
      </c>
      <c r="CD27" s="0" t="n">
        <f aca="false">1*MIN((AU27-BM27-BS27-BY27),MIN(CA27,CB27)-CC27)</f>
        <v>0</v>
      </c>
      <c r="CE27" s="0" t="n">
        <f aca="false">1*MIN((AV27-BN27-BT27-BZ27),MIN(CA27,CB27)-CC27-CD27)</f>
        <v>0</v>
      </c>
      <c r="CF27" s="0" t="n">
        <f aca="false">CA27-CC27-CD27-CE27</f>
        <v>684815.802399988</v>
      </c>
      <c r="CG27" s="0" t="n">
        <f aca="false">IF(C27+D27+E27&gt;Inputs!$B$19,MIN(CF27,MAX(0,Inputs!$B$15-DO26)),0)</f>
        <v>0</v>
      </c>
      <c r="CH27" s="0" t="n">
        <f aca="false">CF27-CG27</f>
        <v>684815.802399988</v>
      </c>
      <c r="CI27" s="0" t="n">
        <f aca="false">DO26+CG27</f>
        <v>3000000</v>
      </c>
      <c r="CJ27" s="0" t="n">
        <f aca="false">MIN(MAX(N27-BH27,0),CI27)</f>
        <v>0</v>
      </c>
      <c r="CK27" s="0" t="n">
        <f aca="false">MIN(MAX(O27-BJ27,0),CI27-CJ27)</f>
        <v>0</v>
      </c>
      <c r="CL27" s="0" t="n">
        <f aca="false">MIN(MAX(P27-BP27,0),CI27-CJ27-CK27)</f>
        <v>0</v>
      </c>
      <c r="CM27" s="0" t="n">
        <f aca="false">CJ27+CK27+CL27</f>
        <v>0</v>
      </c>
      <c r="CN27" s="0" t="n">
        <f aca="false">CI27-CM27</f>
        <v>3000000</v>
      </c>
      <c r="CO27" s="0" t="n">
        <f aca="false">BH27+CJ27</f>
        <v>113769.345972014</v>
      </c>
      <c r="CP27" s="0" t="n">
        <f aca="false">BJ27+CK27</f>
        <v>498822.611670893</v>
      </c>
      <c r="CQ27" s="0" t="n">
        <f aca="false">BP27+CL27</f>
        <v>197328.071235403</v>
      </c>
      <c r="CR27" s="0" t="n">
        <f aca="false">BV27</f>
        <v>187500</v>
      </c>
      <c r="CS27" s="0" t="n">
        <f aca="false">AT27-BL27-BR27-BX27-CC27</f>
        <v>118175807.542765</v>
      </c>
      <c r="CT27" s="0" t="n">
        <f aca="false">AU27-BM27-BS27-BY27-CD27</f>
        <v>40000000</v>
      </c>
      <c r="CU27" s="0" t="n">
        <f aca="false">AV27-BN27-BT27-BZ27-CE27</f>
        <v>30000000</v>
      </c>
      <c r="CV27" s="0" t="n">
        <f aca="false">MAX(0,CS27+CT27+CU27-AW27)</f>
        <v>0</v>
      </c>
      <c r="CW27" s="0" t="n">
        <f aca="false">MIN(CU27,CV27)</f>
        <v>0</v>
      </c>
      <c r="CX27" s="0" t="n">
        <f aca="false">MIN(CT27,CV27-CW27)</f>
        <v>0</v>
      </c>
      <c r="CY27" s="0" t="n">
        <f aca="false">MIN(CS27,CV27-CW27-CX27)</f>
        <v>0</v>
      </c>
      <c r="CZ27" s="0" t="n">
        <f aca="false">IF(CS27-CY27&lt;Inputs!$B$19,0,CS27-CY27)</f>
        <v>118175807.542765</v>
      </c>
      <c r="DA27" s="0" t="n">
        <f aca="false">IF(CT27-CX27&lt;Inputs!$B$19,0,CT27-CX27)</f>
        <v>40000000</v>
      </c>
      <c r="DB27" s="0" t="n">
        <f aca="false">IF(CU27-CW27&lt;Inputs!$B$19,0,CU27-CW27)</f>
        <v>30000000</v>
      </c>
      <c r="DC27" s="0" t="n">
        <f aca="false">N27-CO27</f>
        <v>0</v>
      </c>
      <c r="DD27" s="0" t="n">
        <f aca="false">O27-CP27</f>
        <v>0</v>
      </c>
      <c r="DE27" s="0" t="n">
        <f aca="false">P27-CQ27</f>
        <v>0</v>
      </c>
      <c r="DF27" s="0" t="n">
        <f aca="false">Q27-CR27</f>
        <v>0</v>
      </c>
      <c r="DG27" s="0" t="n">
        <f aca="false">IF(CZ27+DA27+DB27&lt;=Inputs!$B$19,1,0)</f>
        <v>0</v>
      </c>
      <c r="DH27" s="0" t="n">
        <f aca="false">DG27*CN27</f>
        <v>0</v>
      </c>
      <c r="DI27" s="0" t="n">
        <f aca="false">DG27*(AS27+DH27)</f>
        <v>0</v>
      </c>
      <c r="DJ27" s="0" t="n">
        <f aca="false">DG27*MIN(DC27,DI27)</f>
        <v>0</v>
      </c>
      <c r="DK27" s="0" t="n">
        <f aca="false">DG27*MIN(DD27,DI27-DJ27)</f>
        <v>0</v>
      </c>
      <c r="DL27" s="0" t="n">
        <f aca="false">DG27*MIN(DE27,DI27-DJ27-DK27)</f>
        <v>0</v>
      </c>
      <c r="DM27" s="0" t="n">
        <f aca="false">DG27*MIN(DF27,DI27-DJ27-DK27-DL27)</f>
        <v>0</v>
      </c>
      <c r="DN27" s="0" t="n">
        <f aca="false">DJ27+DK27+DL27+DM27</f>
        <v>0</v>
      </c>
      <c r="DO27" s="0" t="n">
        <f aca="false">CN27-DH27</f>
        <v>3000000</v>
      </c>
      <c r="DP27" s="0" t="n">
        <f aca="false">DC27-DJ27</f>
        <v>0</v>
      </c>
      <c r="DQ27" s="0" t="n">
        <f aca="false">DD27-DK27</f>
        <v>0</v>
      </c>
      <c r="DR27" s="0" t="n">
        <f aca="false">DE27-DL27</f>
        <v>0</v>
      </c>
      <c r="DS27" s="0" t="n">
        <f aca="false">DF27-DM27</f>
        <v>0</v>
      </c>
      <c r="DT27" s="0" t="n">
        <f aca="false">CO27+DJ27</f>
        <v>113769.345972014</v>
      </c>
      <c r="DU27" s="0" t="n">
        <f aca="false">CP27+DK27</f>
        <v>498822.611670893</v>
      </c>
      <c r="DV27" s="0" t="n">
        <f aca="false">AP27+BL27+BR27+BX27+CC27</f>
        <v>7318310.87972871</v>
      </c>
      <c r="DW27" s="0" t="n">
        <f aca="false">CQ27+DL27</f>
        <v>197328.071235403</v>
      </c>
      <c r="DX27" s="0" t="n">
        <f aca="false">AQ27+BM27+BS27+BY27+CD27</f>
        <v>0</v>
      </c>
      <c r="DY27" s="0" t="n">
        <f aca="false">CR27+DM27</f>
        <v>187500</v>
      </c>
      <c r="DZ27" s="0" t="n">
        <f aca="false">AR27+BN27+BT27+BZ27+CE27</f>
        <v>0</v>
      </c>
      <c r="EA27" s="0" t="n">
        <f aca="false">DI27-DN27</f>
        <v>0</v>
      </c>
      <c r="EB27" s="0" t="n">
        <f aca="false">CH27+EA27</f>
        <v>684815.802399988</v>
      </c>
      <c r="EC27" s="0" t="n">
        <f aca="false">R27-I27-MAX(-M27,0)-J27-K27-L27</f>
        <v>684815.802399988</v>
      </c>
      <c r="ED27" s="0" t="n">
        <f aca="false">R27+S27+CM27+DH27-CG27-DT27-DU27-DW27-DY27-DV27-DX27-DZ27-EB27</f>
        <v>0</v>
      </c>
      <c r="EE27" s="0" t="n">
        <f aca="false">IF(AND(EB27&gt;0.000001,DP27+DQ27+DR27+DS27&gt;0.000001),1,0)</f>
        <v>0</v>
      </c>
    </row>
    <row r="28" customFormat="false" ht="15" hidden="false" customHeight="false" outlineLevel="0" collapsed="false">
      <c r="A28" s="0" t="n">
        <f aca="false">ROW()-5</f>
        <v>23</v>
      </c>
      <c r="B28" s="0" t="n">
        <f aca="false">Inputs!$B$11+(Inputs!$B$12-Inputs!$B$11)*(1-EXP(-A28/Inputs!$B$13))+Inputs!$B$8</f>
        <v>0.0365270815152013</v>
      </c>
      <c r="C28" s="0" t="n">
        <f aca="false">CZ27</f>
        <v>118175807.542765</v>
      </c>
      <c r="D28" s="0" t="n">
        <f aca="false">DA27</f>
        <v>40000000</v>
      </c>
      <c r="E28" s="0" t="n">
        <f aca="false">DB27</f>
        <v>30000000</v>
      </c>
      <c r="F28" s="0" t="n">
        <f aca="false">IF(Inputs!$B$22=1,B28+Inputs!$B$23,Inputs!$B$23)/12</f>
        <v>0.00396059012626677</v>
      </c>
      <c r="G28" s="0" t="n">
        <f aca="false">IF(Inputs!$B$27=1,B28+Inputs!$B$28,Inputs!$B$28)/12</f>
        <v>0.00491892345960011</v>
      </c>
      <c r="H28" s="0" t="n">
        <f aca="false">IF(Inputs!$B$32=1,B28+Inputs!$B$33,Inputs!$B$33)/12</f>
        <v>0.00625</v>
      </c>
      <c r="I28" s="0" t="n">
        <f aca="false">Pool!BT28*Inputs!$B$14/12</f>
        <v>109849.449723348</v>
      </c>
      <c r="J28" s="0" t="n">
        <f aca="false">C28*F28</f>
        <v>468045.936517478</v>
      </c>
      <c r="K28" s="0" t="n">
        <f aca="false">D28*G28</f>
        <v>196756.938384004</v>
      </c>
      <c r="L28" s="0" t="n">
        <f aca="false">E28*H28</f>
        <v>187500</v>
      </c>
      <c r="M28" s="0" t="n">
        <f aca="false">Inputs!$B$17*(C28*Inputs!$B$22+D28*Inputs!$B$27+E28*Inputs!$B$32)*(B28-Inputs!$B$18)/12</f>
        <v>0</v>
      </c>
      <c r="N28" s="0" t="n">
        <f aca="false">DP27+I28+MAX(-M28,0)</f>
        <v>109849.449723348</v>
      </c>
      <c r="O28" s="0" t="n">
        <f aca="false">DQ27+J28</f>
        <v>468045.936517478</v>
      </c>
      <c r="P28" s="0" t="n">
        <f aca="false">DR27+K28</f>
        <v>196756.938384004</v>
      </c>
      <c r="Q28" s="0" t="n">
        <f aca="false">DS27+L28</f>
        <v>187500</v>
      </c>
      <c r="R28" s="0" t="n">
        <f aca="false">Pool!BV28+MAX(M28,0)</f>
        <v>1626710.0866521</v>
      </c>
      <c r="S28" s="0" t="n">
        <f aca="false">Pool!BW28+Pool!BX28+Pool!BZ28</f>
        <v>7220547.11128369</v>
      </c>
      <c r="T28" s="0" t="n">
        <f aca="false">MAX(T27,BG27)</f>
        <v>1</v>
      </c>
      <c r="U28" s="0" t="n">
        <f aca="false">MIN(C28,S28)</f>
        <v>7220547.11128369</v>
      </c>
      <c r="V28" s="0" t="n">
        <f aca="false">MIN(D28,S28-U28)</f>
        <v>0</v>
      </c>
      <c r="W28" s="0" t="n">
        <f aca="false">MIN(E28,S28-U28-V28)</f>
        <v>0</v>
      </c>
      <c r="X28" s="0" t="n">
        <f aca="false">IF(C28-(0)&gt;Inputs!$B$19,1,0)</f>
        <v>1</v>
      </c>
      <c r="Y28" s="0" t="n">
        <f aca="false">IF(D28-(0)&gt;Inputs!$B$19,1,0)</f>
        <v>1</v>
      </c>
      <c r="Z28" s="0" t="n">
        <f aca="false">IF(E28-(0)&gt;Inputs!$B$19,1,0)</f>
        <v>1</v>
      </c>
      <c r="AA28" s="0" t="n">
        <f aca="false">IF((X28*C28+Y28*D28+Z28*E28)&gt;0,MIN(C28-(0),S28*X28*C28/(X28*C28+Y28*D28+Z28*E28)),0)</f>
        <v>4534557.3212572</v>
      </c>
      <c r="AB28" s="0" t="n">
        <f aca="false">IF((X28*C28+Y28*D28+Z28*E28)&gt;0,MIN(D28-(0),S28*Y28*D28/(X28*C28+Y28*D28+Z28*E28)),0)</f>
        <v>1534851.30858657</v>
      </c>
      <c r="AC28" s="0" t="n">
        <f aca="false">IF((X28*C28+Y28*D28+Z28*E28)&gt;0,MIN(E28-(0),S28*Z28*E28/(X28*C28+Y28*D28+Z28*E28)),0)</f>
        <v>1151138.48143993</v>
      </c>
      <c r="AD28" s="0" t="n">
        <f aca="false">IF(C28-(AA28)&gt;Inputs!$B$19,1,0)</f>
        <v>1</v>
      </c>
      <c r="AE28" s="0" t="n">
        <f aca="false">IF(D28-(AB28)&gt;Inputs!$B$19,1,0)</f>
        <v>1</v>
      </c>
      <c r="AF28" s="0" t="n">
        <f aca="false">IF(E28-(AC28)&gt;Inputs!$B$19,1,0)</f>
        <v>1</v>
      </c>
      <c r="AG28" s="0" t="n">
        <f aca="false">IF((AD28*C28+AE28*D28+AF28*E28)&gt;0,MIN(C28-(AA28),(S28-(AA28+AB28+AC28))*AD28*C28/(AD28*C28+AE28*D28+AF28*E28)),0)</f>
        <v>0</v>
      </c>
      <c r="AH28" s="0" t="n">
        <f aca="false">IF((AD28*C28+AE28*D28+AF28*E28)&gt;0,MIN(D28-(AB28),(S28-(AA28+AB28+AC28))*AE28*D28/(AD28*C28+AE28*D28+AF28*E28)),0)</f>
        <v>0</v>
      </c>
      <c r="AI28" s="0" t="n">
        <f aca="false">IF((AD28*C28+AE28*D28+AF28*E28)&gt;0,MIN(E28-(AC28),(S28-(AA28+AB28+AC28))*AF28*E28/(AD28*C28+AE28*D28+AF28*E28)),0)</f>
        <v>0</v>
      </c>
      <c r="AJ28" s="0" t="n">
        <f aca="false">IF(C28-(AA28+AG28)&gt;Inputs!$B$19,1,0)</f>
        <v>1</v>
      </c>
      <c r="AK28" s="0" t="n">
        <f aca="false">IF(D28-(AB28+AH28)&gt;Inputs!$B$19,1,0)</f>
        <v>1</v>
      </c>
      <c r="AL28" s="0" t="n">
        <f aca="false">IF(E28-(AC28+AI28)&gt;Inputs!$B$19,1,0)</f>
        <v>1</v>
      </c>
      <c r="AM28" s="0" t="n">
        <f aca="false">IF((AJ28*C28+AK28*D28+AL28*E28)&gt;0,MIN(C28-(AA28+AG28),(S28-(AA28+AB28+AC28+AG28+AH28+AI28))*AJ28*C28/(AJ28*C28+AK28*D28+AL28*E28)),0)</f>
        <v>0</v>
      </c>
      <c r="AN28" s="0" t="n">
        <f aca="false">IF((AJ28*C28+AK28*D28+AL28*E28)&gt;0,MIN(D28-(AB28+AH28),(S28-(AA28+AB28+AC28+AG28+AH28+AI28))*AK28*D28/(AJ28*C28+AK28*D28+AL28*E28)),0)</f>
        <v>0</v>
      </c>
      <c r="AO28" s="0" t="n">
        <f aca="false">IF((AJ28*C28+AK28*D28+AL28*E28)&gt;0,MIN(E28-(AC28+AI28),(S28-(AA28+AB28+AC28+AG28+AH28+AI28))*AL28*E28/(AJ28*C28+AK28*D28+AL28*E28)),0)</f>
        <v>0</v>
      </c>
      <c r="AP28" s="0" t="n">
        <f aca="false">IF(T28=1,U28,AA28+AG28+AM28)</f>
        <v>7220547.11128369</v>
      </c>
      <c r="AQ28" s="0" t="n">
        <f aca="false">IF(T28=1,V28,AB28+AH28+AN28)</f>
        <v>0</v>
      </c>
      <c r="AR28" s="0" t="n">
        <f aca="false">IF(T28=1,W28,AC28+AI28+AO28)</f>
        <v>0</v>
      </c>
      <c r="AS28" s="0" t="n">
        <f aca="false">S28-AP28-AQ28-AR28</f>
        <v>0</v>
      </c>
      <c r="AT28" s="0" t="n">
        <f aca="false">C28-AP28</f>
        <v>110955260.431482</v>
      </c>
      <c r="AU28" s="0" t="n">
        <f aca="false">D28-AQ28</f>
        <v>40000000</v>
      </c>
      <c r="AV28" s="0" t="n">
        <f aca="false">E28-AR28</f>
        <v>30000000</v>
      </c>
      <c r="AW28" s="0" t="n">
        <f aca="false">Pool!CB28</f>
        <v>203958046.356846</v>
      </c>
      <c r="AX28" s="0" t="n">
        <f aca="false">IF((AT28)&gt;Inputs!$B$19,AW28/(AT28),1000000000)</f>
        <v>1.83820078078044</v>
      </c>
      <c r="AY28" s="0" t="n">
        <f aca="false">IF((J28)&gt;0.000000001,(R28-I28-MAX(-M28,0))/(J28),1000000000)</f>
        <v>3.24083710290285</v>
      </c>
      <c r="AZ28" s="0" t="n">
        <f aca="false">IF(OR(AX28&lt;Inputs!$B$24,AY28&lt;Inputs!$B$25),1,0)</f>
        <v>0</v>
      </c>
      <c r="BA28" s="0" t="n">
        <f aca="false">IF((AT28+AU28)&gt;Inputs!$B$19,AW28/(AT28+AU28),1000000000)</f>
        <v>1.35111585892313</v>
      </c>
      <c r="BB28" s="0" t="n">
        <f aca="false">IF((J28+K28)&gt;0.000000001,(R28-I28-MAX(-M28,0))/(J28+K28),1000000000)</f>
        <v>2.28166979144538</v>
      </c>
      <c r="BC28" s="0" t="n">
        <f aca="false">IF(OR(BA28&lt;Inputs!$B$29,BB28&lt;Inputs!$B$30),1,0)</f>
        <v>0</v>
      </c>
      <c r="BD28" s="0" t="n">
        <f aca="false">IF((AT28+AU28+AV28)&gt;Inputs!$B$19,AW28/(AT28+AU28+AV28),1000000000)</f>
        <v>1.1271186362337</v>
      </c>
      <c r="BE28" s="0" t="n">
        <f aca="false">IF((J28+K28+L28)&gt;0.000000001,(R28-I28-MAX(-M28,0))/(J28+K28+L28),1000000000)</f>
        <v>1.77972019289984</v>
      </c>
      <c r="BF28" s="0" t="n">
        <f aca="false">IF(OR(BD28&lt;Inputs!$B$34,BE28&lt;Inputs!$B$35),1,0)</f>
        <v>0</v>
      </c>
      <c r="BG28" s="0" t="n">
        <f aca="false">MAX(AZ28,BC28,BF28)</f>
        <v>0</v>
      </c>
      <c r="BH28" s="0" t="n">
        <f aca="false">MIN(R28,N28)</f>
        <v>109849.449723348</v>
      </c>
      <c r="BI28" s="0" t="n">
        <f aca="false">R28-BH28</f>
        <v>1516860.63692876</v>
      </c>
      <c r="BJ28" s="0" t="n">
        <f aca="false">MIN(BI28,O28)</f>
        <v>468045.936517478</v>
      </c>
      <c r="BK28" s="0" t="n">
        <f aca="false">BI28-BJ28</f>
        <v>1048814.70041128</v>
      </c>
      <c r="BL28" s="0" t="n">
        <f aca="false">AZ28*MIN(AT28,BK28)</f>
        <v>0</v>
      </c>
      <c r="BM28" s="0" t="n">
        <f aca="false">AZ28*MIN(AU28,BK28-BL28)</f>
        <v>0</v>
      </c>
      <c r="BN28" s="0" t="n">
        <f aca="false">AZ28*MIN(AV28,BK28-BL28-BM28)</f>
        <v>0</v>
      </c>
      <c r="BO28" s="0" t="n">
        <f aca="false">BK28-BL28-BM28-BN28</f>
        <v>1048814.70041128</v>
      </c>
      <c r="BP28" s="0" t="n">
        <f aca="false">MIN(BO28,P28)</f>
        <v>196756.938384004</v>
      </c>
      <c r="BQ28" s="0" t="n">
        <f aca="false">BO28-BP28</f>
        <v>852057.762027274</v>
      </c>
      <c r="BR28" s="0" t="n">
        <f aca="false">BC28*MIN((AT28-BL28),BQ28)</f>
        <v>0</v>
      </c>
      <c r="BS28" s="0" t="n">
        <f aca="false">BC28*MIN((AU28-BM28),BQ28-BR28)</f>
        <v>0</v>
      </c>
      <c r="BT28" s="0" t="n">
        <f aca="false">BC28*MIN((AV28-BN28),BQ28-BR28-BS28)</f>
        <v>0</v>
      </c>
      <c r="BU28" s="0" t="n">
        <f aca="false">BQ28-BR28-BS28-BT28</f>
        <v>852057.762027274</v>
      </c>
      <c r="BV28" s="0" t="n">
        <f aca="false">MIN(BU28,Q28)</f>
        <v>187500</v>
      </c>
      <c r="BW28" s="0" t="n">
        <f aca="false">BU28-BV28</f>
        <v>664557.762027274</v>
      </c>
      <c r="BX28" s="0" t="n">
        <f aca="false">BF28*MIN((AT28-BL28-BR28),BW28)</f>
        <v>0</v>
      </c>
      <c r="BY28" s="0" t="n">
        <f aca="false">BF28*MIN((AU28-BM28-BS28),BW28-BX28)</f>
        <v>0</v>
      </c>
      <c r="BZ28" s="0" t="n">
        <f aca="false">BF28*MIN((AV28-BN28-BT28),BW28-BX28-BY28)</f>
        <v>0</v>
      </c>
      <c r="CA28" s="0" t="n">
        <f aca="false">BW28-BX28-BY28-BZ28</f>
        <v>664557.762027274</v>
      </c>
      <c r="CB28" s="0" t="n">
        <f aca="false">MAX(0,AT28+AU28+AV28-BL28-BM28-BN28-BR28-BS28-BT28-BX28-BY28-BZ28-AW28)</f>
        <v>0</v>
      </c>
      <c r="CC28" s="0" t="n">
        <f aca="false">1*MIN((AT28-BL28-BR28-BX28),MIN(CA28,CB28))</f>
        <v>0</v>
      </c>
      <c r="CD28" s="0" t="n">
        <f aca="false">1*MIN((AU28-BM28-BS28-BY28),MIN(CA28,CB28)-CC28)</f>
        <v>0</v>
      </c>
      <c r="CE28" s="0" t="n">
        <f aca="false">1*MIN((AV28-BN28-BT28-BZ28),MIN(CA28,CB28)-CC28-CD28)</f>
        <v>0</v>
      </c>
      <c r="CF28" s="0" t="n">
        <f aca="false">CA28-CC28-CD28-CE28</f>
        <v>664557.762027274</v>
      </c>
      <c r="CG28" s="0" t="n">
        <f aca="false">IF(C28+D28+E28&gt;Inputs!$B$19,MIN(CF28,MAX(0,Inputs!$B$15-DO27)),0)</f>
        <v>0</v>
      </c>
      <c r="CH28" s="0" t="n">
        <f aca="false">CF28-CG28</f>
        <v>664557.762027274</v>
      </c>
      <c r="CI28" s="0" t="n">
        <f aca="false">DO27+CG28</f>
        <v>3000000</v>
      </c>
      <c r="CJ28" s="0" t="n">
        <f aca="false">MIN(MAX(N28-BH28,0),CI28)</f>
        <v>0</v>
      </c>
      <c r="CK28" s="0" t="n">
        <f aca="false">MIN(MAX(O28-BJ28,0),CI28-CJ28)</f>
        <v>0</v>
      </c>
      <c r="CL28" s="0" t="n">
        <f aca="false">MIN(MAX(P28-BP28,0),CI28-CJ28-CK28)</f>
        <v>0</v>
      </c>
      <c r="CM28" s="0" t="n">
        <f aca="false">CJ28+CK28+CL28</f>
        <v>0</v>
      </c>
      <c r="CN28" s="0" t="n">
        <f aca="false">CI28-CM28</f>
        <v>3000000</v>
      </c>
      <c r="CO28" s="0" t="n">
        <f aca="false">BH28+CJ28</f>
        <v>109849.449723348</v>
      </c>
      <c r="CP28" s="0" t="n">
        <f aca="false">BJ28+CK28</f>
        <v>468045.936517478</v>
      </c>
      <c r="CQ28" s="0" t="n">
        <f aca="false">BP28+CL28</f>
        <v>196756.938384004</v>
      </c>
      <c r="CR28" s="0" t="n">
        <f aca="false">BV28</f>
        <v>187500</v>
      </c>
      <c r="CS28" s="0" t="n">
        <f aca="false">AT28-BL28-BR28-BX28-CC28</f>
        <v>110955260.431482</v>
      </c>
      <c r="CT28" s="0" t="n">
        <f aca="false">AU28-BM28-BS28-BY28-CD28</f>
        <v>40000000</v>
      </c>
      <c r="CU28" s="0" t="n">
        <f aca="false">AV28-BN28-BT28-BZ28-CE28</f>
        <v>30000000</v>
      </c>
      <c r="CV28" s="0" t="n">
        <f aca="false">MAX(0,CS28+CT28+CU28-AW28)</f>
        <v>0</v>
      </c>
      <c r="CW28" s="0" t="n">
        <f aca="false">MIN(CU28,CV28)</f>
        <v>0</v>
      </c>
      <c r="CX28" s="0" t="n">
        <f aca="false">MIN(CT28,CV28-CW28)</f>
        <v>0</v>
      </c>
      <c r="CY28" s="0" t="n">
        <f aca="false">MIN(CS28,CV28-CW28-CX28)</f>
        <v>0</v>
      </c>
      <c r="CZ28" s="0" t="n">
        <f aca="false">IF(CS28-CY28&lt;Inputs!$B$19,0,CS28-CY28)</f>
        <v>110955260.431482</v>
      </c>
      <c r="DA28" s="0" t="n">
        <f aca="false">IF(CT28-CX28&lt;Inputs!$B$19,0,CT28-CX28)</f>
        <v>40000000</v>
      </c>
      <c r="DB28" s="0" t="n">
        <f aca="false">IF(CU28-CW28&lt;Inputs!$B$19,0,CU28-CW28)</f>
        <v>30000000</v>
      </c>
      <c r="DC28" s="0" t="n">
        <f aca="false">N28-CO28</f>
        <v>0</v>
      </c>
      <c r="DD28" s="0" t="n">
        <f aca="false">O28-CP28</f>
        <v>0</v>
      </c>
      <c r="DE28" s="0" t="n">
        <f aca="false">P28-CQ28</f>
        <v>0</v>
      </c>
      <c r="DF28" s="0" t="n">
        <f aca="false">Q28-CR28</f>
        <v>0</v>
      </c>
      <c r="DG28" s="0" t="n">
        <f aca="false">IF(CZ28+DA28+DB28&lt;=Inputs!$B$19,1,0)</f>
        <v>0</v>
      </c>
      <c r="DH28" s="0" t="n">
        <f aca="false">DG28*CN28</f>
        <v>0</v>
      </c>
      <c r="DI28" s="0" t="n">
        <f aca="false">DG28*(AS28+DH28)</f>
        <v>0</v>
      </c>
      <c r="DJ28" s="0" t="n">
        <f aca="false">DG28*MIN(DC28,DI28)</f>
        <v>0</v>
      </c>
      <c r="DK28" s="0" t="n">
        <f aca="false">DG28*MIN(DD28,DI28-DJ28)</f>
        <v>0</v>
      </c>
      <c r="DL28" s="0" t="n">
        <f aca="false">DG28*MIN(DE28,DI28-DJ28-DK28)</f>
        <v>0</v>
      </c>
      <c r="DM28" s="0" t="n">
        <f aca="false">DG28*MIN(DF28,DI28-DJ28-DK28-DL28)</f>
        <v>0</v>
      </c>
      <c r="DN28" s="0" t="n">
        <f aca="false">DJ28+DK28+DL28+DM28</f>
        <v>0</v>
      </c>
      <c r="DO28" s="0" t="n">
        <f aca="false">CN28-DH28</f>
        <v>3000000</v>
      </c>
      <c r="DP28" s="0" t="n">
        <f aca="false">DC28-DJ28</f>
        <v>0</v>
      </c>
      <c r="DQ28" s="0" t="n">
        <f aca="false">DD28-DK28</f>
        <v>0</v>
      </c>
      <c r="DR28" s="0" t="n">
        <f aca="false">DE28-DL28</f>
        <v>0</v>
      </c>
      <c r="DS28" s="0" t="n">
        <f aca="false">DF28-DM28</f>
        <v>0</v>
      </c>
      <c r="DT28" s="0" t="n">
        <f aca="false">CO28+DJ28</f>
        <v>109849.449723348</v>
      </c>
      <c r="DU28" s="0" t="n">
        <f aca="false">CP28+DK28</f>
        <v>468045.936517478</v>
      </c>
      <c r="DV28" s="0" t="n">
        <f aca="false">AP28+BL28+BR28+BX28+CC28</f>
        <v>7220547.11128369</v>
      </c>
      <c r="DW28" s="0" t="n">
        <f aca="false">CQ28+DL28</f>
        <v>196756.938384004</v>
      </c>
      <c r="DX28" s="0" t="n">
        <f aca="false">AQ28+BM28+BS28+BY28+CD28</f>
        <v>0</v>
      </c>
      <c r="DY28" s="0" t="n">
        <f aca="false">CR28+DM28</f>
        <v>187500</v>
      </c>
      <c r="DZ28" s="0" t="n">
        <f aca="false">AR28+BN28+BT28+BZ28+CE28</f>
        <v>0</v>
      </c>
      <c r="EA28" s="0" t="n">
        <f aca="false">DI28-DN28</f>
        <v>0</v>
      </c>
      <c r="EB28" s="0" t="n">
        <f aca="false">CH28+EA28</f>
        <v>664557.762027274</v>
      </c>
      <c r="EC28" s="0" t="n">
        <f aca="false">R28-I28-MAX(-M28,0)-J28-K28-L28</f>
        <v>664557.762027274</v>
      </c>
      <c r="ED28" s="0" t="n">
        <f aca="false">R28+S28+CM28+DH28-CG28-DT28-DU28-DW28-DY28-DV28-DX28-DZ28-EB28</f>
        <v>0</v>
      </c>
      <c r="EE28" s="0" t="n">
        <f aca="false">IF(AND(EB28&gt;0.000001,DP28+DQ28+DR28+DS28&gt;0.000001),1,0)</f>
        <v>0</v>
      </c>
    </row>
    <row r="29" customFormat="false" ht="15" hidden="false" customHeight="false" outlineLevel="0" collapsed="false">
      <c r="A29" s="0" t="n">
        <f aca="false">ROW()-5</f>
        <v>24</v>
      </c>
      <c r="B29" s="0" t="n">
        <f aca="false">Inputs!$B$11+(Inputs!$B$12-Inputs!$B$11)*(1-EXP(-A29/Inputs!$B$13))+Inputs!$B$8</f>
        <v>0.0363627341323001</v>
      </c>
      <c r="C29" s="0" t="n">
        <f aca="false">CZ28</f>
        <v>110955260.431482</v>
      </c>
      <c r="D29" s="0" t="n">
        <f aca="false">DA28</f>
        <v>40000000</v>
      </c>
      <c r="E29" s="0" t="n">
        <f aca="false">DB28</f>
        <v>30000000</v>
      </c>
      <c r="F29" s="0" t="n">
        <f aca="false">IF(Inputs!$B$22=1,B29+Inputs!$B$23,Inputs!$B$23)/12</f>
        <v>0.00394689451102501</v>
      </c>
      <c r="G29" s="0" t="n">
        <f aca="false">IF(Inputs!$B$27=1,B29+Inputs!$B$28,Inputs!$B$28)/12</f>
        <v>0.00490522784435835</v>
      </c>
      <c r="H29" s="0" t="n">
        <f aca="false">IF(Inputs!$B$32=1,B29+Inputs!$B$33,Inputs!$B$33)/12</f>
        <v>0.00625</v>
      </c>
      <c r="I29" s="0" t="n">
        <f aca="false">Pool!BT29*Inputs!$B$14/12</f>
        <v>105984.332561633</v>
      </c>
      <c r="J29" s="0" t="n">
        <f aca="false">C29*F29</f>
        <v>437928.708366365</v>
      </c>
      <c r="K29" s="0" t="n">
        <f aca="false">D29*G29</f>
        <v>196209.113774334</v>
      </c>
      <c r="L29" s="0" t="n">
        <f aca="false">E29*H29</f>
        <v>187500</v>
      </c>
      <c r="M29" s="0" t="n">
        <f aca="false">Inputs!$B$17*(C29*Inputs!$B$22+D29*Inputs!$B$27+E29*Inputs!$B$32)*(B29-Inputs!$B$18)/12</f>
        <v>0</v>
      </c>
      <c r="N29" s="0" t="n">
        <f aca="false">DP28+I29+MAX(-M29,0)</f>
        <v>105984.332561633</v>
      </c>
      <c r="O29" s="0" t="n">
        <f aca="false">DQ28+J29</f>
        <v>437928.708366365</v>
      </c>
      <c r="P29" s="0" t="n">
        <f aca="false">DR28+K29</f>
        <v>196209.113774334</v>
      </c>
      <c r="Q29" s="0" t="n">
        <f aca="false">DS28+L29</f>
        <v>187500</v>
      </c>
      <c r="R29" s="0" t="n">
        <f aca="false">Pool!BV29+MAX(M29,0)</f>
        <v>1571952.17187303</v>
      </c>
      <c r="S29" s="0" t="n">
        <f aca="false">Pool!BW29+Pool!BX29+Pool!BZ29</f>
        <v>7123950.74627408</v>
      </c>
      <c r="T29" s="0" t="n">
        <f aca="false">MAX(T28,BG28)</f>
        <v>1</v>
      </c>
      <c r="U29" s="0" t="n">
        <f aca="false">MIN(C29,S29)</f>
        <v>7123950.74627408</v>
      </c>
      <c r="V29" s="0" t="n">
        <f aca="false">MIN(D29,S29-U29)</f>
        <v>0</v>
      </c>
      <c r="W29" s="0" t="n">
        <f aca="false">MIN(E29,S29-U29-V29)</f>
        <v>0</v>
      </c>
      <c r="X29" s="0" t="n">
        <f aca="false">IF(C29-(0)&gt;Inputs!$B$19,1,0)</f>
        <v>1</v>
      </c>
      <c r="Y29" s="0" t="n">
        <f aca="false">IF(D29-(0)&gt;Inputs!$B$19,1,0)</f>
        <v>1</v>
      </c>
      <c r="Z29" s="0" t="n">
        <f aca="false">IF(E29-(0)&gt;Inputs!$B$19,1,0)</f>
        <v>1</v>
      </c>
      <c r="AA29" s="0" t="n">
        <f aca="false">IF((X29*C29+Y29*D29+Z29*E29)&gt;0,MIN(C29-(0),S29*X29*C29/(X29*C29+Y29*D29+Z29*E29)),0)</f>
        <v>4368150.49459801</v>
      </c>
      <c r="AB29" s="0" t="n">
        <f aca="false">IF((X29*C29+Y29*D29+Z29*E29)&gt;0,MIN(D29-(0),S29*Y29*D29/(X29*C29+Y29*D29+Z29*E29)),0)</f>
        <v>1574743.00095775</v>
      </c>
      <c r="AC29" s="0" t="n">
        <f aca="false">IF((X29*C29+Y29*D29+Z29*E29)&gt;0,MIN(E29-(0),S29*Z29*E29/(X29*C29+Y29*D29+Z29*E29)),0)</f>
        <v>1181057.25071832</v>
      </c>
      <c r="AD29" s="0" t="n">
        <f aca="false">IF(C29-(AA29)&gt;Inputs!$B$19,1,0)</f>
        <v>1</v>
      </c>
      <c r="AE29" s="0" t="n">
        <f aca="false">IF(D29-(AB29)&gt;Inputs!$B$19,1,0)</f>
        <v>1</v>
      </c>
      <c r="AF29" s="0" t="n">
        <f aca="false">IF(E29-(AC29)&gt;Inputs!$B$19,1,0)</f>
        <v>1</v>
      </c>
      <c r="AG29" s="0" t="n">
        <f aca="false">IF((AD29*C29+AE29*D29+AF29*E29)&gt;0,MIN(C29-(AA29),(S29-(AA29+AB29+AC29))*AD29*C29/(AD29*C29+AE29*D29+AF29*E29)),0)</f>
        <v>0</v>
      </c>
      <c r="AH29" s="0" t="n">
        <f aca="false">IF((AD29*C29+AE29*D29+AF29*E29)&gt;0,MIN(D29-(AB29),(S29-(AA29+AB29+AC29))*AE29*D29/(AD29*C29+AE29*D29+AF29*E29)),0)</f>
        <v>0</v>
      </c>
      <c r="AI29" s="0" t="n">
        <f aca="false">IF((AD29*C29+AE29*D29+AF29*E29)&gt;0,MIN(E29-(AC29),(S29-(AA29+AB29+AC29))*AF29*E29/(AD29*C29+AE29*D29+AF29*E29)),0)</f>
        <v>0</v>
      </c>
      <c r="AJ29" s="0" t="n">
        <f aca="false">IF(C29-(AA29+AG29)&gt;Inputs!$B$19,1,0)</f>
        <v>1</v>
      </c>
      <c r="AK29" s="0" t="n">
        <f aca="false">IF(D29-(AB29+AH29)&gt;Inputs!$B$19,1,0)</f>
        <v>1</v>
      </c>
      <c r="AL29" s="0" t="n">
        <f aca="false">IF(E29-(AC29+AI29)&gt;Inputs!$B$19,1,0)</f>
        <v>1</v>
      </c>
      <c r="AM29" s="0" t="n">
        <f aca="false">IF((AJ29*C29+AK29*D29+AL29*E29)&gt;0,MIN(C29-(AA29+AG29),(S29-(AA29+AB29+AC29+AG29+AH29+AI29))*AJ29*C29/(AJ29*C29+AK29*D29+AL29*E29)),0)</f>
        <v>0</v>
      </c>
      <c r="AN29" s="0" t="n">
        <f aca="false">IF((AJ29*C29+AK29*D29+AL29*E29)&gt;0,MIN(D29-(AB29+AH29),(S29-(AA29+AB29+AC29+AG29+AH29+AI29))*AK29*D29/(AJ29*C29+AK29*D29+AL29*E29)),0)</f>
        <v>0</v>
      </c>
      <c r="AO29" s="0" t="n">
        <f aca="false">IF((AJ29*C29+AK29*D29+AL29*E29)&gt;0,MIN(E29-(AC29+AI29),(S29-(AA29+AB29+AC29+AG29+AH29+AI29))*AL29*E29/(AJ29*C29+AK29*D29+AL29*E29)),0)</f>
        <v>0</v>
      </c>
      <c r="AP29" s="0" t="n">
        <f aca="false">IF(T29=1,U29,AA29+AG29+AM29)</f>
        <v>7123950.74627408</v>
      </c>
      <c r="AQ29" s="0" t="n">
        <f aca="false">IF(T29=1,V29,AB29+AH29+AN29)</f>
        <v>0</v>
      </c>
      <c r="AR29" s="0" t="n">
        <f aca="false">IF(T29=1,W29,AC29+AI29+AO29)</f>
        <v>0</v>
      </c>
      <c r="AS29" s="0" t="n">
        <f aca="false">S29-AP29-AQ29-AR29</f>
        <v>0</v>
      </c>
      <c r="AT29" s="0" t="n">
        <f aca="false">C29-AP29</f>
        <v>103831309.685207</v>
      </c>
      <c r="AU29" s="0" t="n">
        <f aca="false">D29-AQ29</f>
        <v>40000000</v>
      </c>
      <c r="AV29" s="0" t="n">
        <f aca="false">E29-AR29</f>
        <v>30000000</v>
      </c>
      <c r="AW29" s="0" t="n">
        <f aca="false">Pool!CB29</f>
        <v>196629390.516973</v>
      </c>
      <c r="AX29" s="0" t="n">
        <f aca="false">IF((AT29)&gt;Inputs!$B$19,AW29/(AT29),1000000000)</f>
        <v>1.8937389031604</v>
      </c>
      <c r="AY29" s="0" t="n">
        <f aca="false">IF((J29)&gt;0.000000001,(R29-I29-MAX(-M29,0))/(J29),1000000000)</f>
        <v>3.34750339793888</v>
      </c>
      <c r="AZ29" s="0" t="n">
        <f aca="false">IF(OR(AX29&lt;Inputs!$B$24,AY29&lt;Inputs!$B$25),1,0)</f>
        <v>0</v>
      </c>
      <c r="BA29" s="0" t="n">
        <f aca="false">IF((AT29+AU29)&gt;Inputs!$B$19,AW29/(AT29+AU29),1000000000)</f>
        <v>1.3670833627763</v>
      </c>
      <c r="BB29" s="0" t="n">
        <f aca="false">IF((J29+K29)&gt;0.000000001,(R29-I29-MAX(-M29,0))/(J29+K29),1000000000)</f>
        <v>2.31174957261283</v>
      </c>
      <c r="BC29" s="0" t="n">
        <f aca="false">IF(OR(BA29&lt;Inputs!$B$29,BB29&lt;Inputs!$B$30),1,0)</f>
        <v>0</v>
      </c>
      <c r="BD29" s="0" t="n">
        <f aca="false">IF((AT29+AU29+AV29)&gt;Inputs!$B$19,AW29/(AT29+AU29+AV29),1000000000)</f>
        <v>1.13115060154037</v>
      </c>
      <c r="BE29" s="0" t="n">
        <f aca="false">IF((J29+K29+L29)&gt;0.000000001,(R29-I29-MAX(-M29,0))/(J29+K29+L29),1000000000)</f>
        <v>1.7842019924204</v>
      </c>
      <c r="BF29" s="0" t="n">
        <f aca="false">IF(OR(BD29&lt;Inputs!$B$34,BE29&lt;Inputs!$B$35),1,0)</f>
        <v>0</v>
      </c>
      <c r="BG29" s="0" t="n">
        <f aca="false">MAX(AZ29,BC29,BF29)</f>
        <v>0</v>
      </c>
      <c r="BH29" s="0" t="n">
        <f aca="false">MIN(R29,N29)</f>
        <v>105984.332561633</v>
      </c>
      <c r="BI29" s="0" t="n">
        <f aca="false">R29-BH29</f>
        <v>1465967.83931139</v>
      </c>
      <c r="BJ29" s="0" t="n">
        <f aca="false">MIN(BI29,O29)</f>
        <v>437928.708366365</v>
      </c>
      <c r="BK29" s="0" t="n">
        <f aca="false">BI29-BJ29</f>
        <v>1028039.13094503</v>
      </c>
      <c r="BL29" s="0" t="n">
        <f aca="false">AZ29*MIN(AT29,BK29)</f>
        <v>0</v>
      </c>
      <c r="BM29" s="0" t="n">
        <f aca="false">AZ29*MIN(AU29,BK29-BL29)</f>
        <v>0</v>
      </c>
      <c r="BN29" s="0" t="n">
        <f aca="false">AZ29*MIN(AV29,BK29-BL29-BM29)</f>
        <v>0</v>
      </c>
      <c r="BO29" s="0" t="n">
        <f aca="false">BK29-BL29-BM29-BN29</f>
        <v>1028039.13094503</v>
      </c>
      <c r="BP29" s="0" t="n">
        <f aca="false">MIN(BO29,P29)</f>
        <v>196209.113774334</v>
      </c>
      <c r="BQ29" s="0" t="n">
        <f aca="false">BO29-BP29</f>
        <v>831830.017170693</v>
      </c>
      <c r="BR29" s="0" t="n">
        <f aca="false">BC29*MIN((AT29-BL29),BQ29)</f>
        <v>0</v>
      </c>
      <c r="BS29" s="0" t="n">
        <f aca="false">BC29*MIN((AU29-BM29),BQ29-BR29)</f>
        <v>0</v>
      </c>
      <c r="BT29" s="0" t="n">
        <f aca="false">BC29*MIN((AV29-BN29),BQ29-BR29-BS29)</f>
        <v>0</v>
      </c>
      <c r="BU29" s="0" t="n">
        <f aca="false">BQ29-BR29-BS29-BT29</f>
        <v>831830.017170693</v>
      </c>
      <c r="BV29" s="0" t="n">
        <f aca="false">MIN(BU29,Q29)</f>
        <v>187500</v>
      </c>
      <c r="BW29" s="0" t="n">
        <f aca="false">BU29-BV29</f>
        <v>644330.017170693</v>
      </c>
      <c r="BX29" s="0" t="n">
        <f aca="false">BF29*MIN((AT29-BL29-BR29),BW29)</f>
        <v>0</v>
      </c>
      <c r="BY29" s="0" t="n">
        <f aca="false">BF29*MIN((AU29-BM29-BS29),BW29-BX29)</f>
        <v>0</v>
      </c>
      <c r="BZ29" s="0" t="n">
        <f aca="false">BF29*MIN((AV29-BN29-BT29),BW29-BX29-BY29)</f>
        <v>0</v>
      </c>
      <c r="CA29" s="0" t="n">
        <f aca="false">BW29-BX29-BY29-BZ29</f>
        <v>644330.017170693</v>
      </c>
      <c r="CB29" s="0" t="n">
        <f aca="false">MAX(0,AT29+AU29+AV29-BL29-BM29-BN29-BR29-BS29-BT29-BX29-BY29-BZ29-AW29)</f>
        <v>0</v>
      </c>
      <c r="CC29" s="0" t="n">
        <f aca="false">1*MIN((AT29-BL29-BR29-BX29),MIN(CA29,CB29))</f>
        <v>0</v>
      </c>
      <c r="CD29" s="0" t="n">
        <f aca="false">1*MIN((AU29-BM29-BS29-BY29),MIN(CA29,CB29)-CC29)</f>
        <v>0</v>
      </c>
      <c r="CE29" s="0" t="n">
        <f aca="false">1*MIN((AV29-BN29-BT29-BZ29),MIN(CA29,CB29)-CC29-CD29)</f>
        <v>0</v>
      </c>
      <c r="CF29" s="0" t="n">
        <f aca="false">CA29-CC29-CD29-CE29</f>
        <v>644330.017170693</v>
      </c>
      <c r="CG29" s="0" t="n">
        <f aca="false">IF(C29+D29+E29&gt;Inputs!$B$19,MIN(CF29,MAX(0,Inputs!$B$15-DO28)),0)</f>
        <v>0</v>
      </c>
      <c r="CH29" s="0" t="n">
        <f aca="false">CF29-CG29</f>
        <v>644330.017170693</v>
      </c>
      <c r="CI29" s="0" t="n">
        <f aca="false">DO28+CG29</f>
        <v>3000000</v>
      </c>
      <c r="CJ29" s="0" t="n">
        <f aca="false">MIN(MAX(N29-BH29,0),CI29)</f>
        <v>0</v>
      </c>
      <c r="CK29" s="0" t="n">
        <f aca="false">MIN(MAX(O29-BJ29,0),CI29-CJ29)</f>
        <v>0</v>
      </c>
      <c r="CL29" s="0" t="n">
        <f aca="false">MIN(MAX(P29-BP29,0),CI29-CJ29-CK29)</f>
        <v>0</v>
      </c>
      <c r="CM29" s="0" t="n">
        <f aca="false">CJ29+CK29+CL29</f>
        <v>0</v>
      </c>
      <c r="CN29" s="0" t="n">
        <f aca="false">CI29-CM29</f>
        <v>3000000</v>
      </c>
      <c r="CO29" s="0" t="n">
        <f aca="false">BH29+CJ29</f>
        <v>105984.332561633</v>
      </c>
      <c r="CP29" s="0" t="n">
        <f aca="false">BJ29+CK29</f>
        <v>437928.708366365</v>
      </c>
      <c r="CQ29" s="0" t="n">
        <f aca="false">BP29+CL29</f>
        <v>196209.113774334</v>
      </c>
      <c r="CR29" s="0" t="n">
        <f aca="false">BV29</f>
        <v>187500</v>
      </c>
      <c r="CS29" s="0" t="n">
        <f aca="false">AT29-BL29-BR29-BX29-CC29</f>
        <v>103831309.685207</v>
      </c>
      <c r="CT29" s="0" t="n">
        <f aca="false">AU29-BM29-BS29-BY29-CD29</f>
        <v>40000000</v>
      </c>
      <c r="CU29" s="0" t="n">
        <f aca="false">AV29-BN29-BT29-BZ29-CE29</f>
        <v>30000000</v>
      </c>
      <c r="CV29" s="0" t="n">
        <f aca="false">MAX(0,CS29+CT29+CU29-AW29)</f>
        <v>0</v>
      </c>
      <c r="CW29" s="0" t="n">
        <f aca="false">MIN(CU29,CV29)</f>
        <v>0</v>
      </c>
      <c r="CX29" s="0" t="n">
        <f aca="false">MIN(CT29,CV29-CW29)</f>
        <v>0</v>
      </c>
      <c r="CY29" s="0" t="n">
        <f aca="false">MIN(CS29,CV29-CW29-CX29)</f>
        <v>0</v>
      </c>
      <c r="CZ29" s="0" t="n">
        <f aca="false">IF(CS29-CY29&lt;Inputs!$B$19,0,CS29-CY29)</f>
        <v>103831309.685207</v>
      </c>
      <c r="DA29" s="0" t="n">
        <f aca="false">IF(CT29-CX29&lt;Inputs!$B$19,0,CT29-CX29)</f>
        <v>40000000</v>
      </c>
      <c r="DB29" s="0" t="n">
        <f aca="false">IF(CU29-CW29&lt;Inputs!$B$19,0,CU29-CW29)</f>
        <v>30000000</v>
      </c>
      <c r="DC29" s="0" t="n">
        <f aca="false">N29-CO29</f>
        <v>0</v>
      </c>
      <c r="DD29" s="0" t="n">
        <f aca="false">O29-CP29</f>
        <v>0</v>
      </c>
      <c r="DE29" s="0" t="n">
        <f aca="false">P29-CQ29</f>
        <v>0</v>
      </c>
      <c r="DF29" s="0" t="n">
        <f aca="false">Q29-CR29</f>
        <v>0</v>
      </c>
      <c r="DG29" s="0" t="n">
        <f aca="false">IF(CZ29+DA29+DB29&lt;=Inputs!$B$19,1,0)</f>
        <v>0</v>
      </c>
      <c r="DH29" s="0" t="n">
        <f aca="false">DG29*CN29</f>
        <v>0</v>
      </c>
      <c r="DI29" s="0" t="n">
        <f aca="false">DG29*(AS29+DH29)</f>
        <v>0</v>
      </c>
      <c r="DJ29" s="0" t="n">
        <f aca="false">DG29*MIN(DC29,DI29)</f>
        <v>0</v>
      </c>
      <c r="DK29" s="0" t="n">
        <f aca="false">DG29*MIN(DD29,DI29-DJ29)</f>
        <v>0</v>
      </c>
      <c r="DL29" s="0" t="n">
        <f aca="false">DG29*MIN(DE29,DI29-DJ29-DK29)</f>
        <v>0</v>
      </c>
      <c r="DM29" s="0" t="n">
        <f aca="false">DG29*MIN(DF29,DI29-DJ29-DK29-DL29)</f>
        <v>0</v>
      </c>
      <c r="DN29" s="0" t="n">
        <f aca="false">DJ29+DK29+DL29+DM29</f>
        <v>0</v>
      </c>
      <c r="DO29" s="0" t="n">
        <f aca="false">CN29-DH29</f>
        <v>3000000</v>
      </c>
      <c r="DP29" s="0" t="n">
        <f aca="false">DC29-DJ29</f>
        <v>0</v>
      </c>
      <c r="DQ29" s="0" t="n">
        <f aca="false">DD29-DK29</f>
        <v>0</v>
      </c>
      <c r="DR29" s="0" t="n">
        <f aca="false">DE29-DL29</f>
        <v>0</v>
      </c>
      <c r="DS29" s="0" t="n">
        <f aca="false">DF29-DM29</f>
        <v>0</v>
      </c>
      <c r="DT29" s="0" t="n">
        <f aca="false">CO29+DJ29</f>
        <v>105984.332561633</v>
      </c>
      <c r="DU29" s="0" t="n">
        <f aca="false">CP29+DK29</f>
        <v>437928.708366365</v>
      </c>
      <c r="DV29" s="0" t="n">
        <f aca="false">AP29+BL29+BR29+BX29+CC29</f>
        <v>7123950.74627408</v>
      </c>
      <c r="DW29" s="0" t="n">
        <f aca="false">CQ29+DL29</f>
        <v>196209.113774334</v>
      </c>
      <c r="DX29" s="0" t="n">
        <f aca="false">AQ29+BM29+BS29+BY29+CD29</f>
        <v>0</v>
      </c>
      <c r="DY29" s="0" t="n">
        <f aca="false">CR29+DM29</f>
        <v>187500</v>
      </c>
      <c r="DZ29" s="0" t="n">
        <f aca="false">AR29+BN29+BT29+BZ29+CE29</f>
        <v>0</v>
      </c>
      <c r="EA29" s="0" t="n">
        <f aca="false">DI29-DN29</f>
        <v>0</v>
      </c>
      <c r="EB29" s="0" t="n">
        <f aca="false">CH29+EA29</f>
        <v>644330.017170693</v>
      </c>
      <c r="EC29" s="0" t="n">
        <f aca="false">R29-I29-MAX(-M29,0)-J29-K29-L29</f>
        <v>644330.017170693</v>
      </c>
      <c r="ED29" s="0" t="n">
        <f aca="false">R29+S29+CM29+DH29-CG29-DT29-DU29-DW29-DY29-DV29-DX29-DZ29-EB29</f>
        <v>0</v>
      </c>
      <c r="EE29" s="0" t="n">
        <f aca="false">IF(AND(EB29&gt;0.000001,DP29+DQ29+DR29+DS29&gt;0.000001),1,0)</f>
        <v>0</v>
      </c>
    </row>
    <row r="30" customFormat="false" ht="15" hidden="false" customHeight="false" outlineLevel="0" collapsed="false">
      <c r="A30" s="0" t="n">
        <f aca="false">ROW()-5</f>
        <v>25</v>
      </c>
      <c r="B30" s="0" t="n">
        <f aca="false">Inputs!$B$11+(Inputs!$B$12-Inputs!$B$11)*(1-EXP(-A30/Inputs!$B$13))+Inputs!$B$8</f>
        <v>0.0362050938553179</v>
      </c>
      <c r="C30" s="0" t="n">
        <f aca="false">CZ29</f>
        <v>103831309.685207</v>
      </c>
      <c r="D30" s="0" t="n">
        <f aca="false">DA29</f>
        <v>40000000</v>
      </c>
      <c r="E30" s="0" t="n">
        <f aca="false">DB29</f>
        <v>30000000</v>
      </c>
      <c r="F30" s="0" t="n">
        <f aca="false">IF(Inputs!$B$22=1,B30+Inputs!$B$23,Inputs!$B$23)/12</f>
        <v>0.00393375782127649</v>
      </c>
      <c r="G30" s="0" t="n">
        <f aca="false">IF(Inputs!$B$27=1,B30+Inputs!$B$28,Inputs!$B$28)/12</f>
        <v>0.00489209115460983</v>
      </c>
      <c r="H30" s="0" t="n">
        <f aca="false">IF(Inputs!$B$32=1,B30+Inputs!$B$33,Inputs!$B$33)/12</f>
        <v>0.00625</v>
      </c>
      <c r="I30" s="0" t="n">
        <f aca="false">Pool!BT30*Inputs!$B$14/12</f>
        <v>102173.332347953</v>
      </c>
      <c r="J30" s="0" t="n">
        <f aca="false">C30*F30</f>
        <v>408447.226567566</v>
      </c>
      <c r="K30" s="0" t="n">
        <f aca="false">D30*G30</f>
        <v>195683.646184393</v>
      </c>
      <c r="L30" s="0" t="n">
        <f aca="false">E30*H30</f>
        <v>187500</v>
      </c>
      <c r="M30" s="0" t="n">
        <f aca="false">Inputs!$B$17*(C30*Inputs!$B$22+D30*Inputs!$B$27+E30*Inputs!$B$32)*(B30-Inputs!$B$18)/12</f>
        <v>0</v>
      </c>
      <c r="N30" s="0" t="n">
        <f aca="false">DP29+I30+MAX(-M30,0)</f>
        <v>102173.332347953</v>
      </c>
      <c r="O30" s="0" t="n">
        <f aca="false">DQ29+J30</f>
        <v>408447.226567566</v>
      </c>
      <c r="P30" s="0" t="n">
        <f aca="false">DR29+K30</f>
        <v>195683.646184393</v>
      </c>
      <c r="Q30" s="0" t="n">
        <f aca="false">DS29+L30</f>
        <v>187500</v>
      </c>
      <c r="R30" s="0" t="n">
        <f aca="false">Pool!BV30+MAX(M30,0)</f>
        <v>1517952.85026574</v>
      </c>
      <c r="S30" s="0" t="n">
        <f aca="false">Pool!BW30+Pool!BX30+Pool!BZ30</f>
        <v>7028508.34249115</v>
      </c>
      <c r="T30" s="0" t="n">
        <f aca="false">MAX(T29,BG29)</f>
        <v>1</v>
      </c>
      <c r="U30" s="0" t="n">
        <f aca="false">MIN(C30,S30)</f>
        <v>7028508.34249115</v>
      </c>
      <c r="V30" s="0" t="n">
        <f aca="false">MIN(D30,S30-U30)</f>
        <v>0</v>
      </c>
      <c r="W30" s="0" t="n">
        <f aca="false">MIN(E30,S30-U30-V30)</f>
        <v>0</v>
      </c>
      <c r="X30" s="0" t="n">
        <f aca="false">IF(C30-(0)&gt;Inputs!$B$19,1,0)</f>
        <v>1</v>
      </c>
      <c r="Y30" s="0" t="n">
        <f aca="false">IF(D30-(0)&gt;Inputs!$B$19,1,0)</f>
        <v>1</v>
      </c>
      <c r="Z30" s="0" t="n">
        <f aca="false">IF(E30-(0)&gt;Inputs!$B$19,1,0)</f>
        <v>1</v>
      </c>
      <c r="AA30" s="0" t="n">
        <f aca="false">IF((X30*C30+Y30*D30+Z30*E30)&gt;0,MIN(C30-(0),S30*X30*C30/(X30*C30+Y30*D30+Z30*E30)),0)</f>
        <v>4198203.57826116</v>
      </c>
      <c r="AB30" s="0" t="n">
        <f aca="false">IF((X30*C30+Y30*D30+Z30*E30)&gt;0,MIN(D30-(0),S30*Y30*D30/(X30*C30+Y30*D30+Z30*E30)),0)</f>
        <v>1617317.00813142</v>
      </c>
      <c r="AC30" s="0" t="n">
        <f aca="false">IF((X30*C30+Y30*D30+Z30*E30)&gt;0,MIN(E30-(0),S30*Z30*E30/(X30*C30+Y30*D30+Z30*E30)),0)</f>
        <v>1212987.75609856</v>
      </c>
      <c r="AD30" s="0" t="n">
        <f aca="false">IF(C30-(AA30)&gt;Inputs!$B$19,1,0)</f>
        <v>1</v>
      </c>
      <c r="AE30" s="0" t="n">
        <f aca="false">IF(D30-(AB30)&gt;Inputs!$B$19,1,0)</f>
        <v>1</v>
      </c>
      <c r="AF30" s="0" t="n">
        <f aca="false">IF(E30-(AC30)&gt;Inputs!$B$19,1,0)</f>
        <v>1</v>
      </c>
      <c r="AG30" s="0" t="n">
        <f aca="false">IF((AD30*C30+AE30*D30+AF30*E30)&gt;0,MIN(C30-(AA30),(S30-(AA30+AB30+AC30))*AD30*C30/(AD30*C30+AE30*D30+AF30*E30)),0)</f>
        <v>0</v>
      </c>
      <c r="AH30" s="0" t="n">
        <f aca="false">IF((AD30*C30+AE30*D30+AF30*E30)&gt;0,MIN(D30-(AB30),(S30-(AA30+AB30+AC30))*AE30*D30/(AD30*C30+AE30*D30+AF30*E30)),0)</f>
        <v>0</v>
      </c>
      <c r="AI30" s="0" t="n">
        <f aca="false">IF((AD30*C30+AE30*D30+AF30*E30)&gt;0,MIN(E30-(AC30),(S30-(AA30+AB30+AC30))*AF30*E30/(AD30*C30+AE30*D30+AF30*E30)),0)</f>
        <v>0</v>
      </c>
      <c r="AJ30" s="0" t="n">
        <f aca="false">IF(C30-(AA30+AG30)&gt;Inputs!$B$19,1,0)</f>
        <v>1</v>
      </c>
      <c r="AK30" s="0" t="n">
        <f aca="false">IF(D30-(AB30+AH30)&gt;Inputs!$B$19,1,0)</f>
        <v>1</v>
      </c>
      <c r="AL30" s="0" t="n">
        <f aca="false">IF(E30-(AC30+AI30)&gt;Inputs!$B$19,1,0)</f>
        <v>1</v>
      </c>
      <c r="AM30" s="0" t="n">
        <f aca="false">IF((AJ30*C30+AK30*D30+AL30*E30)&gt;0,MIN(C30-(AA30+AG30),(S30-(AA30+AB30+AC30+AG30+AH30+AI30))*AJ30*C30/(AJ30*C30+AK30*D30+AL30*E30)),0)</f>
        <v>0</v>
      </c>
      <c r="AN30" s="0" t="n">
        <f aca="false">IF((AJ30*C30+AK30*D30+AL30*E30)&gt;0,MIN(D30-(AB30+AH30),(S30-(AA30+AB30+AC30+AG30+AH30+AI30))*AK30*D30/(AJ30*C30+AK30*D30+AL30*E30)),0)</f>
        <v>0</v>
      </c>
      <c r="AO30" s="0" t="n">
        <f aca="false">IF((AJ30*C30+AK30*D30+AL30*E30)&gt;0,MIN(E30-(AC30+AI30),(S30-(AA30+AB30+AC30+AG30+AH30+AI30))*AL30*E30/(AJ30*C30+AK30*D30+AL30*E30)),0)</f>
        <v>0</v>
      </c>
      <c r="AP30" s="0" t="n">
        <f aca="false">IF(T30=1,U30,AA30+AG30+AM30)</f>
        <v>7028508.34249115</v>
      </c>
      <c r="AQ30" s="0" t="n">
        <f aca="false">IF(T30=1,V30,AB30+AH30+AN30)</f>
        <v>0</v>
      </c>
      <c r="AR30" s="0" t="n">
        <f aca="false">IF(T30=1,W30,AC30+AI30+AO30)</f>
        <v>0</v>
      </c>
      <c r="AS30" s="0" t="n">
        <f aca="false">S30-AP30-AQ30-AR30</f>
        <v>0</v>
      </c>
      <c r="AT30" s="0" t="n">
        <f aca="false">C30-AP30</f>
        <v>96802801.3427163</v>
      </c>
      <c r="AU30" s="0" t="n">
        <f aca="false">D30-AQ30</f>
        <v>40000000</v>
      </c>
      <c r="AV30" s="0" t="n">
        <f aca="false">E30-AR30</f>
        <v>30000000</v>
      </c>
      <c r="AW30" s="0" t="n">
        <f aca="false">Pool!CB30</f>
        <v>189403537.896737</v>
      </c>
      <c r="AX30" s="0" t="n">
        <f aca="false">IF((AT30)&gt;Inputs!$B$19,AW30/(AT30),1000000000)</f>
        <v>1.95659149600621</v>
      </c>
      <c r="AY30" s="0" t="n">
        <f aca="false">IF((J30)&gt;0.000000001,(R30-I30-MAX(-M30,0))/(J30),1000000000)</f>
        <v>3.46624833228875</v>
      </c>
      <c r="AZ30" s="0" t="n">
        <f aca="false">IF(OR(AX30&lt;Inputs!$B$24,AY30&lt;Inputs!$B$25),1,0)</f>
        <v>0</v>
      </c>
      <c r="BA30" s="0" t="n">
        <f aca="false">IF((AT30+AU30)&gt;Inputs!$B$19,AW30/(AT30+AU30),1000000000)</f>
        <v>1.38450043447755</v>
      </c>
      <c r="BB30" s="0" t="n">
        <f aca="false">IF((J30+K30)&gt;0.000000001,(R30-I30-MAX(-M30,0))/(J30+K30),1000000000)</f>
        <v>2.34349804284721</v>
      </c>
      <c r="BC30" s="0" t="n">
        <f aca="false">IF(OR(BA30&lt;Inputs!$B$29,BB30&lt;Inputs!$B$30),1,0)</f>
        <v>0</v>
      </c>
      <c r="BD30" s="0" t="n">
        <f aca="false">IF((AT30+AU30+AV30)&gt;Inputs!$B$19,AW30/(AT30+AU30+AV30),1000000000)</f>
        <v>1.13549374694005</v>
      </c>
      <c r="BE30" s="0" t="n">
        <f aca="false">IF((J30+K30+L30)&gt;0.000000001,(R30-I30-MAX(-M30,0))/(J30+K30+L30),1000000000)</f>
        <v>1.78843393638261</v>
      </c>
      <c r="BF30" s="0" t="n">
        <f aca="false">IF(OR(BD30&lt;Inputs!$B$34,BE30&lt;Inputs!$B$35),1,0)</f>
        <v>0</v>
      </c>
      <c r="BG30" s="0" t="n">
        <f aca="false">MAX(AZ30,BC30,BF30)</f>
        <v>0</v>
      </c>
      <c r="BH30" s="0" t="n">
        <f aca="false">MIN(R30,N30)</f>
        <v>102173.332347953</v>
      </c>
      <c r="BI30" s="0" t="n">
        <f aca="false">R30-BH30</f>
        <v>1415779.51791779</v>
      </c>
      <c r="BJ30" s="0" t="n">
        <f aca="false">MIN(BI30,O30)</f>
        <v>408447.226567566</v>
      </c>
      <c r="BK30" s="0" t="n">
        <f aca="false">BI30-BJ30</f>
        <v>1007332.29135022</v>
      </c>
      <c r="BL30" s="0" t="n">
        <f aca="false">AZ30*MIN(AT30,BK30)</f>
        <v>0</v>
      </c>
      <c r="BM30" s="0" t="n">
        <f aca="false">AZ30*MIN(AU30,BK30-BL30)</f>
        <v>0</v>
      </c>
      <c r="BN30" s="0" t="n">
        <f aca="false">AZ30*MIN(AV30,BK30-BL30-BM30)</f>
        <v>0</v>
      </c>
      <c r="BO30" s="0" t="n">
        <f aca="false">BK30-BL30-BM30-BN30</f>
        <v>1007332.29135022</v>
      </c>
      <c r="BP30" s="0" t="n">
        <f aca="false">MIN(BO30,P30)</f>
        <v>195683.646184393</v>
      </c>
      <c r="BQ30" s="0" t="n">
        <f aca="false">BO30-BP30</f>
        <v>811648.645165831</v>
      </c>
      <c r="BR30" s="0" t="n">
        <f aca="false">BC30*MIN((AT30-BL30),BQ30)</f>
        <v>0</v>
      </c>
      <c r="BS30" s="0" t="n">
        <f aca="false">BC30*MIN((AU30-BM30),BQ30-BR30)</f>
        <v>0</v>
      </c>
      <c r="BT30" s="0" t="n">
        <f aca="false">BC30*MIN((AV30-BN30),BQ30-BR30-BS30)</f>
        <v>0</v>
      </c>
      <c r="BU30" s="0" t="n">
        <f aca="false">BQ30-BR30-BS30-BT30</f>
        <v>811648.645165831</v>
      </c>
      <c r="BV30" s="0" t="n">
        <f aca="false">MIN(BU30,Q30)</f>
        <v>187500</v>
      </c>
      <c r="BW30" s="0" t="n">
        <f aca="false">BU30-BV30</f>
        <v>624148.645165831</v>
      </c>
      <c r="BX30" s="0" t="n">
        <f aca="false">BF30*MIN((AT30-BL30-BR30),BW30)</f>
        <v>0</v>
      </c>
      <c r="BY30" s="0" t="n">
        <f aca="false">BF30*MIN((AU30-BM30-BS30),BW30-BX30)</f>
        <v>0</v>
      </c>
      <c r="BZ30" s="0" t="n">
        <f aca="false">BF30*MIN((AV30-BN30-BT30),BW30-BX30-BY30)</f>
        <v>0</v>
      </c>
      <c r="CA30" s="0" t="n">
        <f aca="false">BW30-BX30-BY30-BZ30</f>
        <v>624148.645165831</v>
      </c>
      <c r="CB30" s="0" t="n">
        <f aca="false">MAX(0,AT30+AU30+AV30-BL30-BM30-BN30-BR30-BS30-BT30-BX30-BY30-BZ30-AW30)</f>
        <v>0</v>
      </c>
      <c r="CC30" s="0" t="n">
        <f aca="false">1*MIN((AT30-BL30-BR30-BX30),MIN(CA30,CB30))</f>
        <v>0</v>
      </c>
      <c r="CD30" s="0" t="n">
        <f aca="false">1*MIN((AU30-BM30-BS30-BY30),MIN(CA30,CB30)-CC30)</f>
        <v>0</v>
      </c>
      <c r="CE30" s="0" t="n">
        <f aca="false">1*MIN((AV30-BN30-BT30-BZ30),MIN(CA30,CB30)-CC30-CD30)</f>
        <v>0</v>
      </c>
      <c r="CF30" s="0" t="n">
        <f aca="false">CA30-CC30-CD30-CE30</f>
        <v>624148.645165831</v>
      </c>
      <c r="CG30" s="0" t="n">
        <f aca="false">IF(C30+D30+E30&gt;Inputs!$B$19,MIN(CF30,MAX(0,Inputs!$B$15-DO29)),0)</f>
        <v>0</v>
      </c>
      <c r="CH30" s="0" t="n">
        <f aca="false">CF30-CG30</f>
        <v>624148.645165831</v>
      </c>
      <c r="CI30" s="0" t="n">
        <f aca="false">DO29+CG30</f>
        <v>3000000</v>
      </c>
      <c r="CJ30" s="0" t="n">
        <f aca="false">MIN(MAX(N30-BH30,0),CI30)</f>
        <v>0</v>
      </c>
      <c r="CK30" s="0" t="n">
        <f aca="false">MIN(MAX(O30-BJ30,0),CI30-CJ30)</f>
        <v>0</v>
      </c>
      <c r="CL30" s="0" t="n">
        <f aca="false">MIN(MAX(P30-BP30,0),CI30-CJ30-CK30)</f>
        <v>0</v>
      </c>
      <c r="CM30" s="0" t="n">
        <f aca="false">CJ30+CK30+CL30</f>
        <v>0</v>
      </c>
      <c r="CN30" s="0" t="n">
        <f aca="false">CI30-CM30</f>
        <v>3000000</v>
      </c>
      <c r="CO30" s="0" t="n">
        <f aca="false">BH30+CJ30</f>
        <v>102173.332347953</v>
      </c>
      <c r="CP30" s="0" t="n">
        <f aca="false">BJ30+CK30</f>
        <v>408447.226567566</v>
      </c>
      <c r="CQ30" s="0" t="n">
        <f aca="false">BP30+CL30</f>
        <v>195683.646184393</v>
      </c>
      <c r="CR30" s="0" t="n">
        <f aca="false">BV30</f>
        <v>187500</v>
      </c>
      <c r="CS30" s="0" t="n">
        <f aca="false">AT30-BL30-BR30-BX30-CC30</f>
        <v>96802801.3427163</v>
      </c>
      <c r="CT30" s="0" t="n">
        <f aca="false">AU30-BM30-BS30-BY30-CD30</f>
        <v>40000000</v>
      </c>
      <c r="CU30" s="0" t="n">
        <f aca="false">AV30-BN30-BT30-BZ30-CE30</f>
        <v>30000000</v>
      </c>
      <c r="CV30" s="0" t="n">
        <f aca="false">MAX(0,CS30+CT30+CU30-AW30)</f>
        <v>0</v>
      </c>
      <c r="CW30" s="0" t="n">
        <f aca="false">MIN(CU30,CV30)</f>
        <v>0</v>
      </c>
      <c r="CX30" s="0" t="n">
        <f aca="false">MIN(CT30,CV30-CW30)</f>
        <v>0</v>
      </c>
      <c r="CY30" s="0" t="n">
        <f aca="false">MIN(CS30,CV30-CW30-CX30)</f>
        <v>0</v>
      </c>
      <c r="CZ30" s="0" t="n">
        <f aca="false">IF(CS30-CY30&lt;Inputs!$B$19,0,CS30-CY30)</f>
        <v>96802801.3427163</v>
      </c>
      <c r="DA30" s="0" t="n">
        <f aca="false">IF(CT30-CX30&lt;Inputs!$B$19,0,CT30-CX30)</f>
        <v>40000000</v>
      </c>
      <c r="DB30" s="0" t="n">
        <f aca="false">IF(CU30-CW30&lt;Inputs!$B$19,0,CU30-CW30)</f>
        <v>30000000</v>
      </c>
      <c r="DC30" s="0" t="n">
        <f aca="false">N30-CO30</f>
        <v>0</v>
      </c>
      <c r="DD30" s="0" t="n">
        <f aca="false">O30-CP30</f>
        <v>0</v>
      </c>
      <c r="DE30" s="0" t="n">
        <f aca="false">P30-CQ30</f>
        <v>0</v>
      </c>
      <c r="DF30" s="0" t="n">
        <f aca="false">Q30-CR30</f>
        <v>0</v>
      </c>
      <c r="DG30" s="0" t="n">
        <f aca="false">IF(CZ30+DA30+DB30&lt;=Inputs!$B$19,1,0)</f>
        <v>0</v>
      </c>
      <c r="DH30" s="0" t="n">
        <f aca="false">DG30*CN30</f>
        <v>0</v>
      </c>
      <c r="DI30" s="0" t="n">
        <f aca="false">DG30*(AS30+DH30)</f>
        <v>0</v>
      </c>
      <c r="DJ30" s="0" t="n">
        <f aca="false">DG30*MIN(DC30,DI30)</f>
        <v>0</v>
      </c>
      <c r="DK30" s="0" t="n">
        <f aca="false">DG30*MIN(DD30,DI30-DJ30)</f>
        <v>0</v>
      </c>
      <c r="DL30" s="0" t="n">
        <f aca="false">DG30*MIN(DE30,DI30-DJ30-DK30)</f>
        <v>0</v>
      </c>
      <c r="DM30" s="0" t="n">
        <f aca="false">DG30*MIN(DF30,DI30-DJ30-DK30-DL30)</f>
        <v>0</v>
      </c>
      <c r="DN30" s="0" t="n">
        <f aca="false">DJ30+DK30+DL30+DM30</f>
        <v>0</v>
      </c>
      <c r="DO30" s="0" t="n">
        <f aca="false">CN30-DH30</f>
        <v>3000000</v>
      </c>
      <c r="DP30" s="0" t="n">
        <f aca="false">DC30-DJ30</f>
        <v>0</v>
      </c>
      <c r="DQ30" s="0" t="n">
        <f aca="false">DD30-DK30</f>
        <v>0</v>
      </c>
      <c r="DR30" s="0" t="n">
        <f aca="false">DE30-DL30</f>
        <v>0</v>
      </c>
      <c r="DS30" s="0" t="n">
        <f aca="false">DF30-DM30</f>
        <v>0</v>
      </c>
      <c r="DT30" s="0" t="n">
        <f aca="false">CO30+DJ30</f>
        <v>102173.332347953</v>
      </c>
      <c r="DU30" s="0" t="n">
        <f aca="false">CP30+DK30</f>
        <v>408447.226567566</v>
      </c>
      <c r="DV30" s="0" t="n">
        <f aca="false">AP30+BL30+BR30+BX30+CC30</f>
        <v>7028508.34249115</v>
      </c>
      <c r="DW30" s="0" t="n">
        <f aca="false">CQ30+DL30</f>
        <v>195683.646184393</v>
      </c>
      <c r="DX30" s="0" t="n">
        <f aca="false">AQ30+BM30+BS30+BY30+CD30</f>
        <v>0</v>
      </c>
      <c r="DY30" s="0" t="n">
        <f aca="false">CR30+DM30</f>
        <v>187500</v>
      </c>
      <c r="DZ30" s="0" t="n">
        <f aca="false">AR30+BN30+BT30+BZ30+CE30</f>
        <v>0</v>
      </c>
      <c r="EA30" s="0" t="n">
        <f aca="false">DI30-DN30</f>
        <v>0</v>
      </c>
      <c r="EB30" s="0" t="n">
        <f aca="false">CH30+EA30</f>
        <v>624148.645165831</v>
      </c>
      <c r="EC30" s="0" t="n">
        <f aca="false">R30-I30-MAX(-M30,0)-J30-K30-L30</f>
        <v>624148.645165831</v>
      </c>
      <c r="ED30" s="0" t="n">
        <f aca="false">R30+S30+CM30+DH30-CG30-DT30-DU30-DW30-DY30-DV30-DX30-DZ30-EB30</f>
        <v>0</v>
      </c>
      <c r="EE30" s="0" t="n">
        <f aca="false">IF(AND(EB30&gt;0.000001,DP30+DQ30+DR30+DS30&gt;0.000001),1,0)</f>
        <v>0</v>
      </c>
    </row>
    <row r="31" customFormat="false" ht="15" hidden="false" customHeight="false" outlineLevel="0" collapsed="false">
      <c r="A31" s="0" t="n">
        <f aca="false">ROW()-5</f>
        <v>26</v>
      </c>
      <c r="B31" s="0" t="n">
        <f aca="false">Inputs!$B$11+(Inputs!$B$12-Inputs!$B$11)*(1-EXP(-A31/Inputs!$B$13))+Inputs!$B$8</f>
        <v>0.0360538869636208</v>
      </c>
      <c r="C31" s="0" t="n">
        <f aca="false">CZ30</f>
        <v>96802801.3427163</v>
      </c>
      <c r="D31" s="0" t="n">
        <f aca="false">DA30</f>
        <v>40000000</v>
      </c>
      <c r="E31" s="0" t="n">
        <f aca="false">DB30</f>
        <v>30000000</v>
      </c>
      <c r="F31" s="0" t="n">
        <f aca="false">IF(Inputs!$B$22=1,B31+Inputs!$B$23,Inputs!$B$23)/12</f>
        <v>0.0039211572469684</v>
      </c>
      <c r="G31" s="0" t="n">
        <f aca="false">IF(Inputs!$B$27=1,B31+Inputs!$B$28,Inputs!$B$28)/12</f>
        <v>0.00487949058030173</v>
      </c>
      <c r="H31" s="0" t="n">
        <f aca="false">IF(Inputs!$B$32=1,B31+Inputs!$B$33,Inputs!$B$33)/12</f>
        <v>0.00625</v>
      </c>
      <c r="I31" s="0" t="n">
        <f aca="false">Pool!BT31*Inputs!$B$14/12</f>
        <v>98415.7945992364</v>
      </c>
      <c r="J31" s="0" t="n">
        <f aca="false">C31*F31</f>
        <v>379579.006011834</v>
      </c>
      <c r="K31" s="0" t="n">
        <f aca="false">D31*G31</f>
        <v>195179.623212069</v>
      </c>
      <c r="L31" s="0" t="n">
        <f aca="false">E31*H31</f>
        <v>187500</v>
      </c>
      <c r="M31" s="0" t="n">
        <f aca="false">Inputs!$B$17*(C31*Inputs!$B$22+D31*Inputs!$B$27+E31*Inputs!$B$32)*(B31-Inputs!$B$18)/12</f>
        <v>0</v>
      </c>
      <c r="N31" s="0" t="n">
        <f aca="false">DP30+I31+MAX(-M31,0)</f>
        <v>98415.7945992364</v>
      </c>
      <c r="O31" s="0" t="n">
        <f aca="false">DQ30+J31</f>
        <v>379579.006011834</v>
      </c>
      <c r="P31" s="0" t="n">
        <f aca="false">DR30+K31</f>
        <v>195179.623212069</v>
      </c>
      <c r="Q31" s="0" t="n">
        <f aca="false">DS30+L31</f>
        <v>187500</v>
      </c>
      <c r="R31" s="0" t="n">
        <f aca="false">Pool!BV31+MAX(M31,0)</f>
        <v>1464702.99171186</v>
      </c>
      <c r="S31" s="0" t="n">
        <f aca="false">Pool!BW31+Pool!BX31+Pool!BZ31</f>
        <v>6934206.61042339</v>
      </c>
      <c r="T31" s="0" t="n">
        <f aca="false">MAX(T30,BG30)</f>
        <v>1</v>
      </c>
      <c r="U31" s="0" t="n">
        <f aca="false">MIN(C31,S31)</f>
        <v>6934206.61042339</v>
      </c>
      <c r="V31" s="0" t="n">
        <f aca="false">MIN(D31,S31-U31)</f>
        <v>0</v>
      </c>
      <c r="W31" s="0" t="n">
        <f aca="false">MIN(E31,S31-U31-V31)</f>
        <v>0</v>
      </c>
      <c r="X31" s="0" t="n">
        <f aca="false">IF(C31-(0)&gt;Inputs!$B$19,1,0)</f>
        <v>1</v>
      </c>
      <c r="Y31" s="0" t="n">
        <f aca="false">IF(D31-(0)&gt;Inputs!$B$19,1,0)</f>
        <v>1</v>
      </c>
      <c r="Z31" s="0" t="n">
        <f aca="false">IF(E31-(0)&gt;Inputs!$B$19,1,0)</f>
        <v>1</v>
      </c>
      <c r="AA31" s="0" t="n">
        <f aca="false">IF((X31*C31+Y31*D31+Z31*E31)&gt;0,MIN(C31-(0),S31*X31*C31/(X31*C31+Y31*D31+Z31*E31)),0)</f>
        <v>4024216.73721774</v>
      </c>
      <c r="AB31" s="0" t="n">
        <f aca="false">IF((X31*C31+Y31*D31+Z31*E31)&gt;0,MIN(D31-(0),S31*Y31*D31/(X31*C31+Y31*D31+Z31*E31)),0)</f>
        <v>1662851.35611751</v>
      </c>
      <c r="AC31" s="0" t="n">
        <f aca="false">IF((X31*C31+Y31*D31+Z31*E31)&gt;0,MIN(E31-(0),S31*Z31*E31/(X31*C31+Y31*D31+Z31*E31)),0)</f>
        <v>1247138.51708813</v>
      </c>
      <c r="AD31" s="0" t="n">
        <f aca="false">IF(C31-(AA31)&gt;Inputs!$B$19,1,0)</f>
        <v>1</v>
      </c>
      <c r="AE31" s="0" t="n">
        <f aca="false">IF(D31-(AB31)&gt;Inputs!$B$19,1,0)</f>
        <v>1</v>
      </c>
      <c r="AF31" s="0" t="n">
        <f aca="false">IF(E31-(AC31)&gt;Inputs!$B$19,1,0)</f>
        <v>1</v>
      </c>
      <c r="AG31" s="0" t="n">
        <f aca="false">IF((AD31*C31+AE31*D31+AF31*E31)&gt;0,MIN(C31-(AA31),(S31-(AA31+AB31+AC31))*AD31*C31/(AD31*C31+AE31*D31+AF31*E31)),0)</f>
        <v>0</v>
      </c>
      <c r="AH31" s="0" t="n">
        <f aca="false">IF((AD31*C31+AE31*D31+AF31*E31)&gt;0,MIN(D31-(AB31),(S31-(AA31+AB31+AC31))*AE31*D31/(AD31*C31+AE31*D31+AF31*E31)),0)</f>
        <v>0</v>
      </c>
      <c r="AI31" s="0" t="n">
        <f aca="false">IF((AD31*C31+AE31*D31+AF31*E31)&gt;0,MIN(E31-(AC31),(S31-(AA31+AB31+AC31))*AF31*E31/(AD31*C31+AE31*D31+AF31*E31)),0)</f>
        <v>0</v>
      </c>
      <c r="AJ31" s="0" t="n">
        <f aca="false">IF(C31-(AA31+AG31)&gt;Inputs!$B$19,1,0)</f>
        <v>1</v>
      </c>
      <c r="AK31" s="0" t="n">
        <f aca="false">IF(D31-(AB31+AH31)&gt;Inputs!$B$19,1,0)</f>
        <v>1</v>
      </c>
      <c r="AL31" s="0" t="n">
        <f aca="false">IF(E31-(AC31+AI31)&gt;Inputs!$B$19,1,0)</f>
        <v>1</v>
      </c>
      <c r="AM31" s="0" t="n">
        <f aca="false">IF((AJ31*C31+AK31*D31+AL31*E31)&gt;0,MIN(C31-(AA31+AG31),(S31-(AA31+AB31+AC31+AG31+AH31+AI31))*AJ31*C31/(AJ31*C31+AK31*D31+AL31*E31)),0)</f>
        <v>0</v>
      </c>
      <c r="AN31" s="0" t="n">
        <f aca="false">IF((AJ31*C31+AK31*D31+AL31*E31)&gt;0,MIN(D31-(AB31+AH31),(S31-(AA31+AB31+AC31+AG31+AH31+AI31))*AK31*D31/(AJ31*C31+AK31*D31+AL31*E31)),0)</f>
        <v>0</v>
      </c>
      <c r="AO31" s="0" t="n">
        <f aca="false">IF((AJ31*C31+AK31*D31+AL31*E31)&gt;0,MIN(E31-(AC31+AI31),(S31-(AA31+AB31+AC31+AG31+AH31+AI31))*AL31*E31/(AJ31*C31+AK31*D31+AL31*E31)),0)</f>
        <v>0</v>
      </c>
      <c r="AP31" s="0" t="n">
        <f aca="false">IF(T31=1,U31,AA31+AG31+AM31)</f>
        <v>6934206.61042339</v>
      </c>
      <c r="AQ31" s="0" t="n">
        <f aca="false">IF(T31=1,V31,AB31+AH31+AN31)</f>
        <v>0</v>
      </c>
      <c r="AR31" s="0" t="n">
        <f aca="false">IF(T31=1,W31,AC31+AI31+AO31)</f>
        <v>0</v>
      </c>
      <c r="AS31" s="0" t="n">
        <f aca="false">S31-AP31-AQ31-AR31</f>
        <v>0</v>
      </c>
      <c r="AT31" s="0" t="n">
        <f aca="false">C31-AP31</f>
        <v>89868594.7322929</v>
      </c>
      <c r="AU31" s="0" t="n">
        <f aca="false">D31-AQ31</f>
        <v>40000000</v>
      </c>
      <c r="AV31" s="0" t="n">
        <f aca="false">E31-AR31</f>
        <v>30000000</v>
      </c>
      <c r="AW31" s="0" t="n">
        <f aca="false">Pool!CB31</f>
        <v>182279244.563511</v>
      </c>
      <c r="AX31" s="0" t="n">
        <f aca="false">IF((AT31)&gt;Inputs!$B$19,AW31/(AT31),1000000000)</f>
        <v>2.02828635639066</v>
      </c>
      <c r="AY31" s="0" t="n">
        <f aca="false">IF((J31)&gt;0.000000001,(R31-I31-MAX(-M31,0))/(J31),1000000000)</f>
        <v>3.59948041243891</v>
      </c>
      <c r="AZ31" s="0" t="n">
        <f aca="false">IF(OR(AX31&lt;Inputs!$B$24,AY31&lt;Inputs!$B$25),1,0)</f>
        <v>0</v>
      </c>
      <c r="BA31" s="0" t="n">
        <f aca="false">IF((AT31+AU31)&gt;Inputs!$B$19,AW31/(AT31+AU31),1000000000)</f>
        <v>1.40356677408619</v>
      </c>
      <c r="BB31" s="0" t="n">
        <f aca="false">IF((J31+K31)&gt;0.000000001,(R31-I31-MAX(-M31,0))/(J31+K31),1000000000)</f>
        <v>2.37714951571501</v>
      </c>
      <c r="BC31" s="0" t="n">
        <f aca="false">IF(OR(BA31&lt;Inputs!$B$29,BB31&lt;Inputs!$B$30),1,0)</f>
        <v>0</v>
      </c>
      <c r="BD31" s="0" t="n">
        <f aca="false">IF((AT31+AU31+AV31)&gt;Inputs!$B$19,AW31/(AT31+AU31+AV31),1000000000)</f>
        <v>1.14018169027348</v>
      </c>
      <c r="BE31" s="0" t="n">
        <f aca="false">IF((J31+K31+L31)&gt;0.000000001,(R31-I31-MAX(-M31,0))/(J31+K31+L31),1000000000)</f>
        <v>1.79241945545926</v>
      </c>
      <c r="BF31" s="0" t="n">
        <f aca="false">IF(OR(BD31&lt;Inputs!$B$34,BE31&lt;Inputs!$B$35),1,0)</f>
        <v>0</v>
      </c>
      <c r="BG31" s="0" t="n">
        <f aca="false">MAX(AZ31,BC31,BF31)</f>
        <v>0</v>
      </c>
      <c r="BH31" s="0" t="n">
        <f aca="false">MIN(R31,N31)</f>
        <v>98415.7945992364</v>
      </c>
      <c r="BI31" s="0" t="n">
        <f aca="false">R31-BH31</f>
        <v>1366287.19711263</v>
      </c>
      <c r="BJ31" s="0" t="n">
        <f aca="false">MIN(BI31,O31)</f>
        <v>379579.006011834</v>
      </c>
      <c r="BK31" s="0" t="n">
        <f aca="false">BI31-BJ31</f>
        <v>986708.191100793</v>
      </c>
      <c r="BL31" s="0" t="n">
        <f aca="false">AZ31*MIN(AT31,BK31)</f>
        <v>0</v>
      </c>
      <c r="BM31" s="0" t="n">
        <f aca="false">AZ31*MIN(AU31,BK31-BL31)</f>
        <v>0</v>
      </c>
      <c r="BN31" s="0" t="n">
        <f aca="false">AZ31*MIN(AV31,BK31-BL31-BM31)</f>
        <v>0</v>
      </c>
      <c r="BO31" s="0" t="n">
        <f aca="false">BK31-BL31-BM31-BN31</f>
        <v>986708.191100793</v>
      </c>
      <c r="BP31" s="0" t="n">
        <f aca="false">MIN(BO31,P31)</f>
        <v>195179.623212069</v>
      </c>
      <c r="BQ31" s="0" t="n">
        <f aca="false">BO31-BP31</f>
        <v>791528.567888724</v>
      </c>
      <c r="BR31" s="0" t="n">
        <f aca="false">BC31*MIN((AT31-BL31),BQ31)</f>
        <v>0</v>
      </c>
      <c r="BS31" s="0" t="n">
        <f aca="false">BC31*MIN((AU31-BM31),BQ31-BR31)</f>
        <v>0</v>
      </c>
      <c r="BT31" s="0" t="n">
        <f aca="false">BC31*MIN((AV31-BN31),BQ31-BR31-BS31)</f>
        <v>0</v>
      </c>
      <c r="BU31" s="0" t="n">
        <f aca="false">BQ31-BR31-BS31-BT31</f>
        <v>791528.567888724</v>
      </c>
      <c r="BV31" s="0" t="n">
        <f aca="false">MIN(BU31,Q31)</f>
        <v>187500</v>
      </c>
      <c r="BW31" s="0" t="n">
        <f aca="false">BU31-BV31</f>
        <v>604028.567888724</v>
      </c>
      <c r="BX31" s="0" t="n">
        <f aca="false">BF31*MIN((AT31-BL31-BR31),BW31)</f>
        <v>0</v>
      </c>
      <c r="BY31" s="0" t="n">
        <f aca="false">BF31*MIN((AU31-BM31-BS31),BW31-BX31)</f>
        <v>0</v>
      </c>
      <c r="BZ31" s="0" t="n">
        <f aca="false">BF31*MIN((AV31-BN31-BT31),BW31-BX31-BY31)</f>
        <v>0</v>
      </c>
      <c r="CA31" s="0" t="n">
        <f aca="false">BW31-BX31-BY31-BZ31</f>
        <v>604028.567888724</v>
      </c>
      <c r="CB31" s="0" t="n">
        <f aca="false">MAX(0,AT31+AU31+AV31-BL31-BM31-BN31-BR31-BS31-BT31-BX31-BY31-BZ31-AW31)</f>
        <v>0</v>
      </c>
      <c r="CC31" s="0" t="n">
        <f aca="false">1*MIN((AT31-BL31-BR31-BX31),MIN(CA31,CB31))</f>
        <v>0</v>
      </c>
      <c r="CD31" s="0" t="n">
        <f aca="false">1*MIN((AU31-BM31-BS31-BY31),MIN(CA31,CB31)-CC31)</f>
        <v>0</v>
      </c>
      <c r="CE31" s="0" t="n">
        <f aca="false">1*MIN((AV31-BN31-BT31-BZ31),MIN(CA31,CB31)-CC31-CD31)</f>
        <v>0</v>
      </c>
      <c r="CF31" s="0" t="n">
        <f aca="false">CA31-CC31-CD31-CE31</f>
        <v>604028.567888724</v>
      </c>
      <c r="CG31" s="0" t="n">
        <f aca="false">IF(C31+D31+E31&gt;Inputs!$B$19,MIN(CF31,MAX(0,Inputs!$B$15-DO30)),0)</f>
        <v>0</v>
      </c>
      <c r="CH31" s="0" t="n">
        <f aca="false">CF31-CG31</f>
        <v>604028.567888724</v>
      </c>
      <c r="CI31" s="0" t="n">
        <f aca="false">DO30+CG31</f>
        <v>3000000</v>
      </c>
      <c r="CJ31" s="0" t="n">
        <f aca="false">MIN(MAX(N31-BH31,0),CI31)</f>
        <v>0</v>
      </c>
      <c r="CK31" s="0" t="n">
        <f aca="false">MIN(MAX(O31-BJ31,0),CI31-CJ31)</f>
        <v>0</v>
      </c>
      <c r="CL31" s="0" t="n">
        <f aca="false">MIN(MAX(P31-BP31,0),CI31-CJ31-CK31)</f>
        <v>0</v>
      </c>
      <c r="CM31" s="0" t="n">
        <f aca="false">CJ31+CK31+CL31</f>
        <v>0</v>
      </c>
      <c r="CN31" s="0" t="n">
        <f aca="false">CI31-CM31</f>
        <v>3000000</v>
      </c>
      <c r="CO31" s="0" t="n">
        <f aca="false">BH31+CJ31</f>
        <v>98415.7945992364</v>
      </c>
      <c r="CP31" s="0" t="n">
        <f aca="false">BJ31+CK31</f>
        <v>379579.006011834</v>
      </c>
      <c r="CQ31" s="0" t="n">
        <f aca="false">BP31+CL31</f>
        <v>195179.623212069</v>
      </c>
      <c r="CR31" s="0" t="n">
        <f aca="false">BV31</f>
        <v>187500</v>
      </c>
      <c r="CS31" s="0" t="n">
        <f aca="false">AT31-BL31-BR31-BX31-CC31</f>
        <v>89868594.7322929</v>
      </c>
      <c r="CT31" s="0" t="n">
        <f aca="false">AU31-BM31-BS31-BY31-CD31</f>
        <v>40000000</v>
      </c>
      <c r="CU31" s="0" t="n">
        <f aca="false">AV31-BN31-BT31-BZ31-CE31</f>
        <v>30000000</v>
      </c>
      <c r="CV31" s="0" t="n">
        <f aca="false">MAX(0,CS31+CT31+CU31-AW31)</f>
        <v>0</v>
      </c>
      <c r="CW31" s="0" t="n">
        <f aca="false">MIN(CU31,CV31)</f>
        <v>0</v>
      </c>
      <c r="CX31" s="0" t="n">
        <f aca="false">MIN(CT31,CV31-CW31)</f>
        <v>0</v>
      </c>
      <c r="CY31" s="0" t="n">
        <f aca="false">MIN(CS31,CV31-CW31-CX31)</f>
        <v>0</v>
      </c>
      <c r="CZ31" s="0" t="n">
        <f aca="false">IF(CS31-CY31&lt;Inputs!$B$19,0,CS31-CY31)</f>
        <v>89868594.7322929</v>
      </c>
      <c r="DA31" s="0" t="n">
        <f aca="false">IF(CT31-CX31&lt;Inputs!$B$19,0,CT31-CX31)</f>
        <v>40000000</v>
      </c>
      <c r="DB31" s="0" t="n">
        <f aca="false">IF(CU31-CW31&lt;Inputs!$B$19,0,CU31-CW31)</f>
        <v>30000000</v>
      </c>
      <c r="DC31" s="0" t="n">
        <f aca="false">N31-CO31</f>
        <v>0</v>
      </c>
      <c r="DD31" s="0" t="n">
        <f aca="false">O31-CP31</f>
        <v>0</v>
      </c>
      <c r="DE31" s="0" t="n">
        <f aca="false">P31-CQ31</f>
        <v>0</v>
      </c>
      <c r="DF31" s="0" t="n">
        <f aca="false">Q31-CR31</f>
        <v>0</v>
      </c>
      <c r="DG31" s="0" t="n">
        <f aca="false">IF(CZ31+DA31+DB31&lt;=Inputs!$B$19,1,0)</f>
        <v>0</v>
      </c>
      <c r="DH31" s="0" t="n">
        <f aca="false">DG31*CN31</f>
        <v>0</v>
      </c>
      <c r="DI31" s="0" t="n">
        <f aca="false">DG31*(AS31+DH31)</f>
        <v>0</v>
      </c>
      <c r="DJ31" s="0" t="n">
        <f aca="false">DG31*MIN(DC31,DI31)</f>
        <v>0</v>
      </c>
      <c r="DK31" s="0" t="n">
        <f aca="false">DG31*MIN(DD31,DI31-DJ31)</f>
        <v>0</v>
      </c>
      <c r="DL31" s="0" t="n">
        <f aca="false">DG31*MIN(DE31,DI31-DJ31-DK31)</f>
        <v>0</v>
      </c>
      <c r="DM31" s="0" t="n">
        <f aca="false">DG31*MIN(DF31,DI31-DJ31-DK31-DL31)</f>
        <v>0</v>
      </c>
      <c r="DN31" s="0" t="n">
        <f aca="false">DJ31+DK31+DL31+DM31</f>
        <v>0</v>
      </c>
      <c r="DO31" s="0" t="n">
        <f aca="false">CN31-DH31</f>
        <v>3000000</v>
      </c>
      <c r="DP31" s="0" t="n">
        <f aca="false">DC31-DJ31</f>
        <v>0</v>
      </c>
      <c r="DQ31" s="0" t="n">
        <f aca="false">DD31-DK31</f>
        <v>0</v>
      </c>
      <c r="DR31" s="0" t="n">
        <f aca="false">DE31-DL31</f>
        <v>0</v>
      </c>
      <c r="DS31" s="0" t="n">
        <f aca="false">DF31-DM31</f>
        <v>0</v>
      </c>
      <c r="DT31" s="0" t="n">
        <f aca="false">CO31+DJ31</f>
        <v>98415.7945992364</v>
      </c>
      <c r="DU31" s="0" t="n">
        <f aca="false">CP31+DK31</f>
        <v>379579.006011834</v>
      </c>
      <c r="DV31" s="0" t="n">
        <f aca="false">AP31+BL31+BR31+BX31+CC31</f>
        <v>6934206.61042339</v>
      </c>
      <c r="DW31" s="0" t="n">
        <f aca="false">CQ31+DL31</f>
        <v>195179.623212069</v>
      </c>
      <c r="DX31" s="0" t="n">
        <f aca="false">AQ31+BM31+BS31+BY31+CD31</f>
        <v>0</v>
      </c>
      <c r="DY31" s="0" t="n">
        <f aca="false">CR31+DM31</f>
        <v>187500</v>
      </c>
      <c r="DZ31" s="0" t="n">
        <f aca="false">AR31+BN31+BT31+BZ31+CE31</f>
        <v>0</v>
      </c>
      <c r="EA31" s="0" t="n">
        <f aca="false">DI31-DN31</f>
        <v>0</v>
      </c>
      <c r="EB31" s="0" t="n">
        <f aca="false">CH31+EA31</f>
        <v>604028.567888724</v>
      </c>
      <c r="EC31" s="0" t="n">
        <f aca="false">R31-I31-MAX(-M31,0)-J31-K31-L31</f>
        <v>604028.567888724</v>
      </c>
      <c r="ED31" s="0" t="n">
        <f aca="false">R31+S31+CM31+DH31-CG31-DT31-DU31-DW31-DY31-DV31-DX31-DZ31-EB31</f>
        <v>0</v>
      </c>
      <c r="EE31" s="0" t="n">
        <f aca="false">IF(AND(EB31&gt;0.000001,DP31+DQ31+DR31+DS31&gt;0.000001),1,0)</f>
        <v>0</v>
      </c>
    </row>
    <row r="32" customFormat="false" ht="15" hidden="false" customHeight="false" outlineLevel="0" collapsed="false">
      <c r="A32" s="0" t="n">
        <f aca="false">ROW()-5</f>
        <v>27</v>
      </c>
      <c r="B32" s="0" t="n">
        <f aca="false">Inputs!$B$11+(Inputs!$B$12-Inputs!$B$11)*(1-EXP(-A32/Inputs!$B$13))+Inputs!$B$8</f>
        <v>0.0359088509072627</v>
      </c>
      <c r="C32" s="0" t="n">
        <f aca="false">CZ31</f>
        <v>89868594.7322929</v>
      </c>
      <c r="D32" s="0" t="n">
        <f aca="false">DA31</f>
        <v>40000000</v>
      </c>
      <c r="E32" s="0" t="n">
        <f aca="false">DB31</f>
        <v>30000000</v>
      </c>
      <c r="F32" s="0" t="n">
        <f aca="false">IF(Inputs!$B$22=1,B32+Inputs!$B$23,Inputs!$B$23)/12</f>
        <v>0.00390907090893856</v>
      </c>
      <c r="G32" s="0" t="n">
        <f aca="false">IF(Inputs!$B$27=1,B32+Inputs!$B$28,Inputs!$B$28)/12</f>
        <v>0.00486740424227189</v>
      </c>
      <c r="H32" s="0" t="n">
        <f aca="false">IF(Inputs!$B$32=1,B32+Inputs!$B$33,Inputs!$B$33)/12</f>
        <v>0.00625</v>
      </c>
      <c r="I32" s="0" t="n">
        <f aca="false">Pool!BT32*Inputs!$B$14/12</f>
        <v>94711.0724011566</v>
      </c>
      <c r="J32" s="0" t="n">
        <f aca="false">C32*F32</f>
        <v>351302.709295195</v>
      </c>
      <c r="K32" s="0" t="n">
        <f aca="false">D32*G32</f>
        <v>194696.169690876</v>
      </c>
      <c r="L32" s="0" t="n">
        <f aca="false">E32*H32</f>
        <v>187500</v>
      </c>
      <c r="M32" s="0" t="n">
        <f aca="false">Inputs!$B$17*(C32*Inputs!$B$22+D32*Inputs!$B$27+E32*Inputs!$B$32)*(B32-Inputs!$B$18)/12</f>
        <v>-0</v>
      </c>
      <c r="N32" s="0" t="n">
        <f aca="false">DP31+I32+MAX(-M32,0)</f>
        <v>94711.0724011566</v>
      </c>
      <c r="O32" s="0" t="n">
        <f aca="false">DQ31+J32</f>
        <v>351302.709295195</v>
      </c>
      <c r="P32" s="0" t="n">
        <f aca="false">DR31+K32</f>
        <v>194696.169690876</v>
      </c>
      <c r="Q32" s="0" t="n">
        <f aca="false">DS31+L32</f>
        <v>187500</v>
      </c>
      <c r="R32" s="0" t="n">
        <f aca="false">Pool!BV32+MAX(M32,0)</f>
        <v>1412193.57143887</v>
      </c>
      <c r="S32" s="0" t="n">
        <f aca="false">Pool!BW32+Pool!BX32+Pool!BZ32</f>
        <v>6841032.41153128</v>
      </c>
      <c r="T32" s="0" t="n">
        <f aca="false">MAX(T31,BG31)</f>
        <v>1</v>
      </c>
      <c r="U32" s="0" t="n">
        <f aca="false">MIN(C32,S32)</f>
        <v>6841032.41153128</v>
      </c>
      <c r="V32" s="0" t="n">
        <f aca="false">MIN(D32,S32-U32)</f>
        <v>0</v>
      </c>
      <c r="W32" s="0" t="n">
        <f aca="false">MIN(E32,S32-U32-V32)</f>
        <v>0</v>
      </c>
      <c r="X32" s="0" t="n">
        <f aca="false">IF(C32-(0)&gt;Inputs!$B$19,1,0)</f>
        <v>1</v>
      </c>
      <c r="Y32" s="0" t="n">
        <f aca="false">IF(D32-(0)&gt;Inputs!$B$19,1,0)</f>
        <v>1</v>
      </c>
      <c r="Z32" s="0" t="n">
        <f aca="false">IF(E32-(0)&gt;Inputs!$B$19,1,0)</f>
        <v>1</v>
      </c>
      <c r="AA32" s="0" t="n">
        <f aca="false">IF((X32*C32+Y32*D32+Z32*E32)&gt;0,MIN(C32-(0),S32*X32*C32/(X32*C32+Y32*D32+Z32*E32)),0)</f>
        <v>3845620.65095953</v>
      </c>
      <c r="AB32" s="0" t="n">
        <f aca="false">IF((X32*C32+Y32*D32+Z32*E32)&gt;0,MIN(D32-(0),S32*Y32*D32/(X32*C32+Y32*D32+Z32*E32)),0)</f>
        <v>1711663.86318386</v>
      </c>
      <c r="AC32" s="0" t="n">
        <f aca="false">IF((X32*C32+Y32*D32+Z32*E32)&gt;0,MIN(E32-(0),S32*Z32*E32/(X32*C32+Y32*D32+Z32*E32)),0)</f>
        <v>1283747.8973879</v>
      </c>
      <c r="AD32" s="0" t="n">
        <f aca="false">IF(C32-(AA32)&gt;Inputs!$B$19,1,0)</f>
        <v>1</v>
      </c>
      <c r="AE32" s="0" t="n">
        <f aca="false">IF(D32-(AB32)&gt;Inputs!$B$19,1,0)</f>
        <v>1</v>
      </c>
      <c r="AF32" s="0" t="n">
        <f aca="false">IF(E32-(AC32)&gt;Inputs!$B$19,1,0)</f>
        <v>1</v>
      </c>
      <c r="AG32" s="0" t="n">
        <f aca="false">IF((AD32*C32+AE32*D32+AF32*E32)&gt;0,MIN(C32-(AA32),(S32-(AA32+AB32+AC32))*AD32*C32/(AD32*C32+AE32*D32+AF32*E32)),0)</f>
        <v>0</v>
      </c>
      <c r="AH32" s="0" t="n">
        <f aca="false">IF((AD32*C32+AE32*D32+AF32*E32)&gt;0,MIN(D32-(AB32),(S32-(AA32+AB32+AC32))*AE32*D32/(AD32*C32+AE32*D32+AF32*E32)),0)</f>
        <v>0</v>
      </c>
      <c r="AI32" s="0" t="n">
        <f aca="false">IF((AD32*C32+AE32*D32+AF32*E32)&gt;0,MIN(E32-(AC32),(S32-(AA32+AB32+AC32))*AF32*E32/(AD32*C32+AE32*D32+AF32*E32)),0)</f>
        <v>0</v>
      </c>
      <c r="AJ32" s="0" t="n">
        <f aca="false">IF(C32-(AA32+AG32)&gt;Inputs!$B$19,1,0)</f>
        <v>1</v>
      </c>
      <c r="AK32" s="0" t="n">
        <f aca="false">IF(D32-(AB32+AH32)&gt;Inputs!$B$19,1,0)</f>
        <v>1</v>
      </c>
      <c r="AL32" s="0" t="n">
        <f aca="false">IF(E32-(AC32+AI32)&gt;Inputs!$B$19,1,0)</f>
        <v>1</v>
      </c>
      <c r="AM32" s="0" t="n">
        <f aca="false">IF((AJ32*C32+AK32*D32+AL32*E32)&gt;0,MIN(C32-(AA32+AG32),(S32-(AA32+AB32+AC32+AG32+AH32+AI32))*AJ32*C32/(AJ32*C32+AK32*D32+AL32*E32)),0)</f>
        <v>0</v>
      </c>
      <c r="AN32" s="0" t="n">
        <f aca="false">IF((AJ32*C32+AK32*D32+AL32*E32)&gt;0,MIN(D32-(AB32+AH32),(S32-(AA32+AB32+AC32+AG32+AH32+AI32))*AK32*D32/(AJ32*C32+AK32*D32+AL32*E32)),0)</f>
        <v>0</v>
      </c>
      <c r="AO32" s="0" t="n">
        <f aca="false">IF((AJ32*C32+AK32*D32+AL32*E32)&gt;0,MIN(E32-(AC32+AI32),(S32-(AA32+AB32+AC32+AG32+AH32+AI32))*AL32*E32/(AJ32*C32+AK32*D32+AL32*E32)),0)</f>
        <v>0</v>
      </c>
      <c r="AP32" s="0" t="n">
        <f aca="false">IF(T32=1,U32,AA32+AG32+AM32)</f>
        <v>6841032.41153128</v>
      </c>
      <c r="AQ32" s="0" t="n">
        <f aca="false">IF(T32=1,V32,AB32+AH32+AN32)</f>
        <v>0</v>
      </c>
      <c r="AR32" s="0" t="n">
        <f aca="false">IF(T32=1,W32,AC32+AI32+AO32)</f>
        <v>0</v>
      </c>
      <c r="AS32" s="0" t="n">
        <f aca="false">S32-AP32-AQ32-AR32</f>
        <v>0</v>
      </c>
      <c r="AT32" s="0" t="n">
        <f aca="false">C32-AP32</f>
        <v>83027562.3207616</v>
      </c>
      <c r="AU32" s="0" t="n">
        <f aca="false">D32-AQ32</f>
        <v>40000000</v>
      </c>
      <c r="AV32" s="0" t="n">
        <f aca="false">E32-AR32</f>
        <v>30000000</v>
      </c>
      <c r="AW32" s="0" t="n">
        <f aca="false">Pool!CB32</f>
        <v>175255280.9727</v>
      </c>
      <c r="AX32" s="0" t="n">
        <f aca="false">IF((AT32)&gt;Inputs!$B$19,AW32/(AT32),1000000000)</f>
        <v>2.11080846015487</v>
      </c>
      <c r="AY32" s="0" t="n">
        <f aca="false">IF((J32)&gt;0.000000001,(R32-I32-MAX(-M32,0))/(J32),1000000000)</f>
        <v>3.75027708064342</v>
      </c>
      <c r="AZ32" s="0" t="n">
        <f aca="false">IF(OR(AX32&lt;Inputs!$B$24,AY32&lt;Inputs!$B$25),1,0)</f>
        <v>0</v>
      </c>
      <c r="BA32" s="0" t="n">
        <f aca="false">IF((AT32+AU32)&gt;Inputs!$B$19,AW32/(AT32+AU32),1000000000)</f>
        <v>1.4245204705899</v>
      </c>
      <c r="BB32" s="0" t="n">
        <f aca="false">IF((J32+K32)&gt;0.000000001,(R32-I32-MAX(-M32,0))/(J32+K32),1000000000)</f>
        <v>2.41297656413562</v>
      </c>
      <c r="BC32" s="0" t="n">
        <f aca="false">IF(OR(BA32&lt;Inputs!$B$29,BB32&lt;Inputs!$B$30),1,0)</f>
        <v>0</v>
      </c>
      <c r="BD32" s="0" t="n">
        <f aca="false">IF((AT32+AU32+AV32)&gt;Inputs!$B$19,AW32/(AT32+AU32+AV32),1000000000)</f>
        <v>1.14525304013761</v>
      </c>
      <c r="BE32" s="0" t="n">
        <f aca="false">IF((J32+K32+L32)&gt;0.000000001,(R32-I32-MAX(-M32,0))/(J32+K32+L32),1000000000)</f>
        <v>1.79616157131541</v>
      </c>
      <c r="BF32" s="0" t="n">
        <f aca="false">IF(OR(BD32&lt;Inputs!$B$34,BE32&lt;Inputs!$B$35),1,0)</f>
        <v>0</v>
      </c>
      <c r="BG32" s="0" t="n">
        <f aca="false">MAX(AZ32,BC32,BF32)</f>
        <v>0</v>
      </c>
      <c r="BH32" s="0" t="n">
        <f aca="false">MIN(R32,N32)</f>
        <v>94711.0724011566</v>
      </c>
      <c r="BI32" s="0" t="n">
        <f aca="false">R32-BH32</f>
        <v>1317482.49903771</v>
      </c>
      <c r="BJ32" s="0" t="n">
        <f aca="false">MIN(BI32,O32)</f>
        <v>351302.709295195</v>
      </c>
      <c r="BK32" s="0" t="n">
        <f aca="false">BI32-BJ32</f>
        <v>966179.789742514</v>
      </c>
      <c r="BL32" s="0" t="n">
        <f aca="false">AZ32*MIN(AT32,BK32)</f>
        <v>0</v>
      </c>
      <c r="BM32" s="0" t="n">
        <f aca="false">AZ32*MIN(AU32,BK32-BL32)</f>
        <v>0</v>
      </c>
      <c r="BN32" s="0" t="n">
        <f aca="false">AZ32*MIN(AV32,BK32-BL32-BM32)</f>
        <v>0</v>
      </c>
      <c r="BO32" s="0" t="n">
        <f aca="false">BK32-BL32-BM32-BN32</f>
        <v>966179.789742514</v>
      </c>
      <c r="BP32" s="0" t="n">
        <f aca="false">MIN(BO32,P32)</f>
        <v>194696.169690876</v>
      </c>
      <c r="BQ32" s="0" t="n">
        <f aca="false">BO32-BP32</f>
        <v>771483.620051639</v>
      </c>
      <c r="BR32" s="0" t="n">
        <f aca="false">BC32*MIN((AT32-BL32),BQ32)</f>
        <v>0</v>
      </c>
      <c r="BS32" s="0" t="n">
        <f aca="false">BC32*MIN((AU32-BM32),BQ32-BR32)</f>
        <v>0</v>
      </c>
      <c r="BT32" s="0" t="n">
        <f aca="false">BC32*MIN((AV32-BN32),BQ32-BR32-BS32)</f>
        <v>0</v>
      </c>
      <c r="BU32" s="0" t="n">
        <f aca="false">BQ32-BR32-BS32-BT32</f>
        <v>771483.620051639</v>
      </c>
      <c r="BV32" s="0" t="n">
        <f aca="false">MIN(BU32,Q32)</f>
        <v>187500</v>
      </c>
      <c r="BW32" s="0" t="n">
        <f aca="false">BU32-BV32</f>
        <v>583983.620051639</v>
      </c>
      <c r="BX32" s="0" t="n">
        <f aca="false">BF32*MIN((AT32-BL32-BR32),BW32)</f>
        <v>0</v>
      </c>
      <c r="BY32" s="0" t="n">
        <f aca="false">BF32*MIN((AU32-BM32-BS32),BW32-BX32)</f>
        <v>0</v>
      </c>
      <c r="BZ32" s="0" t="n">
        <f aca="false">BF32*MIN((AV32-BN32-BT32),BW32-BX32-BY32)</f>
        <v>0</v>
      </c>
      <c r="CA32" s="0" t="n">
        <f aca="false">BW32-BX32-BY32-BZ32</f>
        <v>583983.620051639</v>
      </c>
      <c r="CB32" s="0" t="n">
        <f aca="false">MAX(0,AT32+AU32+AV32-BL32-BM32-BN32-BR32-BS32-BT32-BX32-BY32-BZ32-AW32)</f>
        <v>0</v>
      </c>
      <c r="CC32" s="0" t="n">
        <f aca="false">1*MIN((AT32-BL32-BR32-BX32),MIN(CA32,CB32))</f>
        <v>0</v>
      </c>
      <c r="CD32" s="0" t="n">
        <f aca="false">1*MIN((AU32-BM32-BS32-BY32),MIN(CA32,CB32)-CC32)</f>
        <v>0</v>
      </c>
      <c r="CE32" s="0" t="n">
        <f aca="false">1*MIN((AV32-BN32-BT32-BZ32),MIN(CA32,CB32)-CC32-CD32)</f>
        <v>0</v>
      </c>
      <c r="CF32" s="0" t="n">
        <f aca="false">CA32-CC32-CD32-CE32</f>
        <v>583983.620051639</v>
      </c>
      <c r="CG32" s="0" t="n">
        <f aca="false">IF(C32+D32+E32&gt;Inputs!$B$19,MIN(CF32,MAX(0,Inputs!$B$15-DO31)),0)</f>
        <v>0</v>
      </c>
      <c r="CH32" s="0" t="n">
        <f aca="false">CF32-CG32</f>
        <v>583983.620051639</v>
      </c>
      <c r="CI32" s="0" t="n">
        <f aca="false">DO31+CG32</f>
        <v>3000000</v>
      </c>
      <c r="CJ32" s="0" t="n">
        <f aca="false">MIN(MAX(N32-BH32,0),CI32)</f>
        <v>0</v>
      </c>
      <c r="CK32" s="0" t="n">
        <f aca="false">MIN(MAX(O32-BJ32,0),CI32-CJ32)</f>
        <v>0</v>
      </c>
      <c r="CL32" s="0" t="n">
        <f aca="false">MIN(MAX(P32-BP32,0),CI32-CJ32-CK32)</f>
        <v>0</v>
      </c>
      <c r="CM32" s="0" t="n">
        <f aca="false">CJ32+CK32+CL32</f>
        <v>0</v>
      </c>
      <c r="CN32" s="0" t="n">
        <f aca="false">CI32-CM32</f>
        <v>3000000</v>
      </c>
      <c r="CO32" s="0" t="n">
        <f aca="false">BH32+CJ32</f>
        <v>94711.0724011566</v>
      </c>
      <c r="CP32" s="0" t="n">
        <f aca="false">BJ32+CK32</f>
        <v>351302.709295195</v>
      </c>
      <c r="CQ32" s="0" t="n">
        <f aca="false">BP32+CL32</f>
        <v>194696.169690876</v>
      </c>
      <c r="CR32" s="0" t="n">
        <f aca="false">BV32</f>
        <v>187500</v>
      </c>
      <c r="CS32" s="0" t="n">
        <f aca="false">AT32-BL32-BR32-BX32-CC32</f>
        <v>83027562.3207616</v>
      </c>
      <c r="CT32" s="0" t="n">
        <f aca="false">AU32-BM32-BS32-BY32-CD32</f>
        <v>40000000</v>
      </c>
      <c r="CU32" s="0" t="n">
        <f aca="false">AV32-BN32-BT32-BZ32-CE32</f>
        <v>30000000</v>
      </c>
      <c r="CV32" s="0" t="n">
        <f aca="false">MAX(0,CS32+CT32+CU32-AW32)</f>
        <v>0</v>
      </c>
      <c r="CW32" s="0" t="n">
        <f aca="false">MIN(CU32,CV32)</f>
        <v>0</v>
      </c>
      <c r="CX32" s="0" t="n">
        <f aca="false">MIN(CT32,CV32-CW32)</f>
        <v>0</v>
      </c>
      <c r="CY32" s="0" t="n">
        <f aca="false">MIN(CS32,CV32-CW32-CX32)</f>
        <v>0</v>
      </c>
      <c r="CZ32" s="0" t="n">
        <f aca="false">IF(CS32-CY32&lt;Inputs!$B$19,0,CS32-CY32)</f>
        <v>83027562.3207616</v>
      </c>
      <c r="DA32" s="0" t="n">
        <f aca="false">IF(CT32-CX32&lt;Inputs!$B$19,0,CT32-CX32)</f>
        <v>40000000</v>
      </c>
      <c r="DB32" s="0" t="n">
        <f aca="false">IF(CU32-CW32&lt;Inputs!$B$19,0,CU32-CW32)</f>
        <v>30000000</v>
      </c>
      <c r="DC32" s="0" t="n">
        <f aca="false">N32-CO32</f>
        <v>0</v>
      </c>
      <c r="DD32" s="0" t="n">
        <f aca="false">O32-CP32</f>
        <v>0</v>
      </c>
      <c r="DE32" s="0" t="n">
        <f aca="false">P32-CQ32</f>
        <v>0</v>
      </c>
      <c r="DF32" s="0" t="n">
        <f aca="false">Q32-CR32</f>
        <v>0</v>
      </c>
      <c r="DG32" s="0" t="n">
        <f aca="false">IF(CZ32+DA32+DB32&lt;=Inputs!$B$19,1,0)</f>
        <v>0</v>
      </c>
      <c r="DH32" s="0" t="n">
        <f aca="false">DG32*CN32</f>
        <v>0</v>
      </c>
      <c r="DI32" s="0" t="n">
        <f aca="false">DG32*(AS32+DH32)</f>
        <v>0</v>
      </c>
      <c r="DJ32" s="0" t="n">
        <f aca="false">DG32*MIN(DC32,DI32)</f>
        <v>0</v>
      </c>
      <c r="DK32" s="0" t="n">
        <f aca="false">DG32*MIN(DD32,DI32-DJ32)</f>
        <v>0</v>
      </c>
      <c r="DL32" s="0" t="n">
        <f aca="false">DG32*MIN(DE32,DI32-DJ32-DK32)</f>
        <v>0</v>
      </c>
      <c r="DM32" s="0" t="n">
        <f aca="false">DG32*MIN(DF32,DI32-DJ32-DK32-DL32)</f>
        <v>0</v>
      </c>
      <c r="DN32" s="0" t="n">
        <f aca="false">DJ32+DK32+DL32+DM32</f>
        <v>0</v>
      </c>
      <c r="DO32" s="0" t="n">
        <f aca="false">CN32-DH32</f>
        <v>3000000</v>
      </c>
      <c r="DP32" s="0" t="n">
        <f aca="false">DC32-DJ32</f>
        <v>0</v>
      </c>
      <c r="DQ32" s="0" t="n">
        <f aca="false">DD32-DK32</f>
        <v>0</v>
      </c>
      <c r="DR32" s="0" t="n">
        <f aca="false">DE32-DL32</f>
        <v>0</v>
      </c>
      <c r="DS32" s="0" t="n">
        <f aca="false">DF32-DM32</f>
        <v>0</v>
      </c>
      <c r="DT32" s="0" t="n">
        <f aca="false">CO32+DJ32</f>
        <v>94711.0724011566</v>
      </c>
      <c r="DU32" s="0" t="n">
        <f aca="false">CP32+DK32</f>
        <v>351302.709295195</v>
      </c>
      <c r="DV32" s="0" t="n">
        <f aca="false">AP32+BL32+BR32+BX32+CC32</f>
        <v>6841032.41153128</v>
      </c>
      <c r="DW32" s="0" t="n">
        <f aca="false">CQ32+DL32</f>
        <v>194696.169690876</v>
      </c>
      <c r="DX32" s="0" t="n">
        <f aca="false">AQ32+BM32+BS32+BY32+CD32</f>
        <v>0</v>
      </c>
      <c r="DY32" s="0" t="n">
        <f aca="false">CR32+DM32</f>
        <v>187500</v>
      </c>
      <c r="DZ32" s="0" t="n">
        <f aca="false">AR32+BN32+BT32+BZ32+CE32</f>
        <v>0</v>
      </c>
      <c r="EA32" s="0" t="n">
        <f aca="false">DI32-DN32</f>
        <v>0</v>
      </c>
      <c r="EB32" s="0" t="n">
        <f aca="false">CH32+EA32</f>
        <v>583983.620051639</v>
      </c>
      <c r="EC32" s="0" t="n">
        <f aca="false">R32-I32-MAX(-M32,0)-J32-K32-L32</f>
        <v>583983.620051639</v>
      </c>
      <c r="ED32" s="0" t="n">
        <f aca="false">R32+S32+CM32+DH32-CG32-DT32-DU32-DW32-DY32-DV32-DX32-DZ32-EB32</f>
        <v>0</v>
      </c>
      <c r="EE32" s="0" t="n">
        <f aca="false">IF(AND(EB32&gt;0.000001,DP32+DQ32+DR32+DS32&gt;0.000001),1,0)</f>
        <v>0</v>
      </c>
    </row>
    <row r="33" customFormat="false" ht="15" hidden="false" customHeight="false" outlineLevel="0" collapsed="false">
      <c r="A33" s="0" t="n">
        <f aca="false">ROW()-5</f>
        <v>28</v>
      </c>
      <c r="B33" s="0" t="n">
        <f aca="false">Inputs!$B$11+(Inputs!$B$12-Inputs!$B$11)*(1-EXP(-A33/Inputs!$B$13))+Inputs!$B$8</f>
        <v>0.0357697338511033</v>
      </c>
      <c r="C33" s="0" t="n">
        <f aca="false">CZ32</f>
        <v>83027562.3207616</v>
      </c>
      <c r="D33" s="0" t="n">
        <f aca="false">DA32</f>
        <v>40000000</v>
      </c>
      <c r="E33" s="0" t="n">
        <f aca="false">DB32</f>
        <v>30000000</v>
      </c>
      <c r="F33" s="0" t="n">
        <f aca="false">IF(Inputs!$B$22=1,B33+Inputs!$B$23,Inputs!$B$23)/12</f>
        <v>0.00389747782092527</v>
      </c>
      <c r="G33" s="0" t="n">
        <f aca="false">IF(Inputs!$B$27=1,B33+Inputs!$B$28,Inputs!$B$28)/12</f>
        <v>0.00485581115425861</v>
      </c>
      <c r="H33" s="0" t="n">
        <f aca="false">IF(Inputs!$B$32=1,B33+Inputs!$B$33,Inputs!$B$33)/12</f>
        <v>0.00625</v>
      </c>
      <c r="I33" s="0" t="n">
        <f aca="false">Pool!BT33*Inputs!$B$14/12</f>
        <v>91058.5263220106</v>
      </c>
      <c r="J33" s="0" t="n">
        <f aca="false">C33*F33</f>
        <v>323598.082670659</v>
      </c>
      <c r="K33" s="0" t="n">
        <f aca="false">D33*G33</f>
        <v>194232.446170344</v>
      </c>
      <c r="L33" s="0" t="n">
        <f aca="false">E33*H33</f>
        <v>187500</v>
      </c>
      <c r="M33" s="0" t="n">
        <f aca="false">Inputs!$B$17*(C33*Inputs!$B$22+D33*Inputs!$B$27+E33*Inputs!$B$32)*(B33-Inputs!$B$18)/12</f>
        <v>-0</v>
      </c>
      <c r="N33" s="0" t="n">
        <f aca="false">DP32+I33+MAX(-M33,0)</f>
        <v>91058.5263220106</v>
      </c>
      <c r="O33" s="0" t="n">
        <f aca="false">DQ32+J33</f>
        <v>323598.082670659</v>
      </c>
      <c r="P33" s="0" t="n">
        <f aca="false">DR32+K33</f>
        <v>194232.446170344</v>
      </c>
      <c r="Q33" s="0" t="n">
        <f aca="false">DS32+L33</f>
        <v>187500</v>
      </c>
      <c r="R33" s="0" t="n">
        <f aca="false">Pool!BV33+MAX(M33,0)</f>
        <v>1360415.66882274</v>
      </c>
      <c r="S33" s="0" t="n">
        <f aca="false">Pool!BW33+Pool!BX33+Pool!BZ33</f>
        <v>6748972.75654154</v>
      </c>
      <c r="T33" s="0" t="n">
        <f aca="false">MAX(T32,BG32)</f>
        <v>1</v>
      </c>
      <c r="U33" s="0" t="n">
        <f aca="false">MIN(C33,S33)</f>
        <v>6748972.75654154</v>
      </c>
      <c r="V33" s="0" t="n">
        <f aca="false">MIN(D33,S33-U33)</f>
        <v>0</v>
      </c>
      <c r="W33" s="0" t="n">
        <f aca="false">MIN(E33,S33-U33-V33)</f>
        <v>0</v>
      </c>
      <c r="X33" s="0" t="n">
        <f aca="false">IF(C33-(0)&gt;Inputs!$B$19,1,0)</f>
        <v>1</v>
      </c>
      <c r="Y33" s="0" t="n">
        <f aca="false">IF(D33-(0)&gt;Inputs!$B$19,1,0)</f>
        <v>1</v>
      </c>
      <c r="Z33" s="0" t="n">
        <f aca="false">IF(E33-(0)&gt;Inputs!$B$19,1,0)</f>
        <v>1</v>
      </c>
      <c r="AA33" s="0" t="n">
        <f aca="false">IF((X33*C33+Y33*D33+Z33*E33)&gt;0,MIN(C33-(0),S33*X33*C33/(X33*C33+Y33*D33+Z33*E33)),0)</f>
        <v>3661763.59112564</v>
      </c>
      <c r="AB33" s="0" t="n">
        <f aca="false">IF((X33*C33+Y33*D33+Z33*E33)&gt;0,MIN(D33-(0),S33*Y33*D33/(X33*C33+Y33*D33+Z33*E33)),0)</f>
        <v>1764119.5230948</v>
      </c>
      <c r="AC33" s="0" t="n">
        <f aca="false">IF((X33*C33+Y33*D33+Z33*E33)&gt;0,MIN(E33-(0),S33*Z33*E33/(X33*C33+Y33*D33+Z33*E33)),0)</f>
        <v>1323089.6423211</v>
      </c>
      <c r="AD33" s="0" t="n">
        <f aca="false">IF(C33-(AA33)&gt;Inputs!$B$19,1,0)</f>
        <v>1</v>
      </c>
      <c r="AE33" s="0" t="n">
        <f aca="false">IF(D33-(AB33)&gt;Inputs!$B$19,1,0)</f>
        <v>1</v>
      </c>
      <c r="AF33" s="0" t="n">
        <f aca="false">IF(E33-(AC33)&gt;Inputs!$B$19,1,0)</f>
        <v>1</v>
      </c>
      <c r="AG33" s="0" t="n">
        <f aca="false">IF((AD33*C33+AE33*D33+AF33*E33)&gt;0,MIN(C33-(AA33),(S33-(AA33+AB33+AC33))*AD33*C33/(AD33*C33+AE33*D33+AF33*E33)),0)</f>
        <v>0</v>
      </c>
      <c r="AH33" s="0" t="n">
        <f aca="false">IF((AD33*C33+AE33*D33+AF33*E33)&gt;0,MIN(D33-(AB33),(S33-(AA33+AB33+AC33))*AE33*D33/(AD33*C33+AE33*D33+AF33*E33)),0)</f>
        <v>0</v>
      </c>
      <c r="AI33" s="0" t="n">
        <f aca="false">IF((AD33*C33+AE33*D33+AF33*E33)&gt;0,MIN(E33-(AC33),(S33-(AA33+AB33+AC33))*AF33*E33/(AD33*C33+AE33*D33+AF33*E33)),0)</f>
        <v>0</v>
      </c>
      <c r="AJ33" s="0" t="n">
        <f aca="false">IF(C33-(AA33+AG33)&gt;Inputs!$B$19,1,0)</f>
        <v>1</v>
      </c>
      <c r="AK33" s="0" t="n">
        <f aca="false">IF(D33-(AB33+AH33)&gt;Inputs!$B$19,1,0)</f>
        <v>1</v>
      </c>
      <c r="AL33" s="0" t="n">
        <f aca="false">IF(E33-(AC33+AI33)&gt;Inputs!$B$19,1,0)</f>
        <v>1</v>
      </c>
      <c r="AM33" s="0" t="n">
        <f aca="false">IF((AJ33*C33+AK33*D33+AL33*E33)&gt;0,MIN(C33-(AA33+AG33),(S33-(AA33+AB33+AC33+AG33+AH33+AI33))*AJ33*C33/(AJ33*C33+AK33*D33+AL33*E33)),0)</f>
        <v>0</v>
      </c>
      <c r="AN33" s="0" t="n">
        <f aca="false">IF((AJ33*C33+AK33*D33+AL33*E33)&gt;0,MIN(D33-(AB33+AH33),(S33-(AA33+AB33+AC33+AG33+AH33+AI33))*AK33*D33/(AJ33*C33+AK33*D33+AL33*E33)),0)</f>
        <v>0</v>
      </c>
      <c r="AO33" s="0" t="n">
        <f aca="false">IF((AJ33*C33+AK33*D33+AL33*E33)&gt;0,MIN(E33-(AC33+AI33),(S33-(AA33+AB33+AC33+AG33+AH33+AI33))*AL33*E33/(AJ33*C33+AK33*D33+AL33*E33)),0)</f>
        <v>0</v>
      </c>
      <c r="AP33" s="0" t="n">
        <f aca="false">IF(T33=1,U33,AA33+AG33+AM33)</f>
        <v>6748972.75654154</v>
      </c>
      <c r="AQ33" s="0" t="n">
        <f aca="false">IF(T33=1,V33,AB33+AH33+AN33)</f>
        <v>0</v>
      </c>
      <c r="AR33" s="0" t="n">
        <f aca="false">IF(T33=1,W33,AC33+AI33+AO33)</f>
        <v>0</v>
      </c>
      <c r="AS33" s="0" t="n">
        <f aca="false">S33-AP33-AQ33-AR33</f>
        <v>0</v>
      </c>
      <c r="AT33" s="0" t="n">
        <f aca="false">C33-AP33</f>
        <v>76278589.5642201</v>
      </c>
      <c r="AU33" s="0" t="n">
        <f aca="false">D33-AQ33</f>
        <v>40000000</v>
      </c>
      <c r="AV33" s="0" t="n">
        <f aca="false">E33-AR33</f>
        <v>30000000</v>
      </c>
      <c r="AW33" s="0" t="n">
        <f aca="false">Pool!CB33</f>
        <v>168330431.80402</v>
      </c>
      <c r="AX33" s="0" t="n">
        <f aca="false">IF((AT33)&gt;Inputs!$B$19,AW33/(AT33),1000000000)</f>
        <v>2.20678479722414</v>
      </c>
      <c r="AY33" s="0" t="n">
        <f aca="false">IF((J33)&gt;0.000000001,(R33-I33-MAX(-M33,0))/(J33),1000000000)</f>
        <v>3.92263493041956</v>
      </c>
      <c r="AZ33" s="0" t="n">
        <f aca="false">IF(OR(AX33&lt;Inputs!$B$24,AY33&lt;Inputs!$B$25),1,0)</f>
        <v>0</v>
      </c>
      <c r="BA33" s="0" t="n">
        <f aca="false">IF((AT33+AU33)&gt;Inputs!$B$19,AW33/(AT33+AU33),1000000000)</f>
        <v>1.44764769193431</v>
      </c>
      <c r="BB33" s="0" t="n">
        <f aca="false">IF((J33+K33)&gt;0.000000001,(R33-I33-MAX(-M33,0))/(J33+K33),1000000000)</f>
        <v>2.45129839166063</v>
      </c>
      <c r="BC33" s="0" t="n">
        <f aca="false">IF(OR(BA33&lt;Inputs!$B$29,BB33&lt;Inputs!$B$30),1,0)</f>
        <v>0</v>
      </c>
      <c r="BD33" s="0" t="n">
        <f aca="false">IF((AT33+AU33+AV33)&gt;Inputs!$B$19,AW33/(AT33+AU33+AV33),1000000000)</f>
        <v>1.1507523575767</v>
      </c>
      <c r="BE33" s="0" t="n">
        <f aca="false">IF((J33+K33+L33)&gt;0.000000001,(R33-I33-MAX(-M33,0))/(J33+K33+L33),1000000000)</f>
        <v>1.79966283975618</v>
      </c>
      <c r="BF33" s="0" t="n">
        <f aca="false">IF(OR(BD33&lt;Inputs!$B$34,BE33&lt;Inputs!$B$35),1,0)</f>
        <v>0</v>
      </c>
      <c r="BG33" s="0" t="n">
        <f aca="false">MAX(AZ33,BC33,BF33)</f>
        <v>0</v>
      </c>
      <c r="BH33" s="0" t="n">
        <f aca="false">MIN(R33,N33)</f>
        <v>91058.5263220106</v>
      </c>
      <c r="BI33" s="0" t="n">
        <f aca="false">R33-BH33</f>
        <v>1269357.14250073</v>
      </c>
      <c r="BJ33" s="0" t="n">
        <f aca="false">MIN(BI33,O33)</f>
        <v>323598.082670659</v>
      </c>
      <c r="BK33" s="0" t="n">
        <f aca="false">BI33-BJ33</f>
        <v>945759.059830066</v>
      </c>
      <c r="BL33" s="0" t="n">
        <f aca="false">AZ33*MIN(AT33,BK33)</f>
        <v>0</v>
      </c>
      <c r="BM33" s="0" t="n">
        <f aca="false">AZ33*MIN(AU33,BK33-BL33)</f>
        <v>0</v>
      </c>
      <c r="BN33" s="0" t="n">
        <f aca="false">AZ33*MIN(AV33,BK33-BL33-BM33)</f>
        <v>0</v>
      </c>
      <c r="BO33" s="0" t="n">
        <f aca="false">BK33-BL33-BM33-BN33</f>
        <v>945759.059830066</v>
      </c>
      <c r="BP33" s="0" t="n">
        <f aca="false">MIN(BO33,P33)</f>
        <v>194232.446170344</v>
      </c>
      <c r="BQ33" s="0" t="n">
        <f aca="false">BO33-BP33</f>
        <v>751526.613659722</v>
      </c>
      <c r="BR33" s="0" t="n">
        <f aca="false">BC33*MIN((AT33-BL33),BQ33)</f>
        <v>0</v>
      </c>
      <c r="BS33" s="0" t="n">
        <f aca="false">BC33*MIN((AU33-BM33),BQ33-BR33)</f>
        <v>0</v>
      </c>
      <c r="BT33" s="0" t="n">
        <f aca="false">BC33*MIN((AV33-BN33),BQ33-BR33-BS33)</f>
        <v>0</v>
      </c>
      <c r="BU33" s="0" t="n">
        <f aca="false">BQ33-BR33-BS33-BT33</f>
        <v>751526.613659722</v>
      </c>
      <c r="BV33" s="0" t="n">
        <f aca="false">MIN(BU33,Q33)</f>
        <v>187500</v>
      </c>
      <c r="BW33" s="0" t="n">
        <f aca="false">BU33-BV33</f>
        <v>564026.613659722</v>
      </c>
      <c r="BX33" s="0" t="n">
        <f aca="false">BF33*MIN((AT33-BL33-BR33),BW33)</f>
        <v>0</v>
      </c>
      <c r="BY33" s="0" t="n">
        <f aca="false">BF33*MIN((AU33-BM33-BS33),BW33-BX33)</f>
        <v>0</v>
      </c>
      <c r="BZ33" s="0" t="n">
        <f aca="false">BF33*MIN((AV33-BN33-BT33),BW33-BX33-BY33)</f>
        <v>0</v>
      </c>
      <c r="CA33" s="0" t="n">
        <f aca="false">BW33-BX33-BY33-BZ33</f>
        <v>564026.613659722</v>
      </c>
      <c r="CB33" s="0" t="n">
        <f aca="false">MAX(0,AT33+AU33+AV33-BL33-BM33-BN33-BR33-BS33-BT33-BX33-BY33-BZ33-AW33)</f>
        <v>0</v>
      </c>
      <c r="CC33" s="0" t="n">
        <f aca="false">1*MIN((AT33-BL33-BR33-BX33),MIN(CA33,CB33))</f>
        <v>0</v>
      </c>
      <c r="CD33" s="0" t="n">
        <f aca="false">1*MIN((AU33-BM33-BS33-BY33),MIN(CA33,CB33)-CC33)</f>
        <v>0</v>
      </c>
      <c r="CE33" s="0" t="n">
        <f aca="false">1*MIN((AV33-BN33-BT33-BZ33),MIN(CA33,CB33)-CC33-CD33)</f>
        <v>0</v>
      </c>
      <c r="CF33" s="0" t="n">
        <f aca="false">CA33-CC33-CD33-CE33</f>
        <v>564026.613659722</v>
      </c>
      <c r="CG33" s="0" t="n">
        <f aca="false">IF(C33+D33+E33&gt;Inputs!$B$19,MIN(CF33,MAX(0,Inputs!$B$15-DO32)),0)</f>
        <v>0</v>
      </c>
      <c r="CH33" s="0" t="n">
        <f aca="false">CF33-CG33</f>
        <v>564026.613659722</v>
      </c>
      <c r="CI33" s="0" t="n">
        <f aca="false">DO32+CG33</f>
        <v>3000000</v>
      </c>
      <c r="CJ33" s="0" t="n">
        <f aca="false">MIN(MAX(N33-BH33,0),CI33)</f>
        <v>0</v>
      </c>
      <c r="CK33" s="0" t="n">
        <f aca="false">MIN(MAX(O33-BJ33,0),CI33-CJ33)</f>
        <v>0</v>
      </c>
      <c r="CL33" s="0" t="n">
        <f aca="false">MIN(MAX(P33-BP33,0),CI33-CJ33-CK33)</f>
        <v>0</v>
      </c>
      <c r="CM33" s="0" t="n">
        <f aca="false">CJ33+CK33+CL33</f>
        <v>0</v>
      </c>
      <c r="CN33" s="0" t="n">
        <f aca="false">CI33-CM33</f>
        <v>3000000</v>
      </c>
      <c r="CO33" s="0" t="n">
        <f aca="false">BH33+CJ33</f>
        <v>91058.5263220106</v>
      </c>
      <c r="CP33" s="0" t="n">
        <f aca="false">BJ33+CK33</f>
        <v>323598.082670659</v>
      </c>
      <c r="CQ33" s="0" t="n">
        <f aca="false">BP33+CL33</f>
        <v>194232.446170344</v>
      </c>
      <c r="CR33" s="0" t="n">
        <f aca="false">BV33</f>
        <v>187500</v>
      </c>
      <c r="CS33" s="0" t="n">
        <f aca="false">AT33-BL33-BR33-BX33-CC33</f>
        <v>76278589.5642201</v>
      </c>
      <c r="CT33" s="0" t="n">
        <f aca="false">AU33-BM33-BS33-BY33-CD33</f>
        <v>40000000</v>
      </c>
      <c r="CU33" s="0" t="n">
        <f aca="false">AV33-BN33-BT33-BZ33-CE33</f>
        <v>30000000</v>
      </c>
      <c r="CV33" s="0" t="n">
        <f aca="false">MAX(0,CS33+CT33+CU33-AW33)</f>
        <v>0</v>
      </c>
      <c r="CW33" s="0" t="n">
        <f aca="false">MIN(CU33,CV33)</f>
        <v>0</v>
      </c>
      <c r="CX33" s="0" t="n">
        <f aca="false">MIN(CT33,CV33-CW33)</f>
        <v>0</v>
      </c>
      <c r="CY33" s="0" t="n">
        <f aca="false">MIN(CS33,CV33-CW33-CX33)</f>
        <v>0</v>
      </c>
      <c r="CZ33" s="0" t="n">
        <f aca="false">IF(CS33-CY33&lt;Inputs!$B$19,0,CS33-CY33)</f>
        <v>76278589.5642201</v>
      </c>
      <c r="DA33" s="0" t="n">
        <f aca="false">IF(CT33-CX33&lt;Inputs!$B$19,0,CT33-CX33)</f>
        <v>40000000</v>
      </c>
      <c r="DB33" s="0" t="n">
        <f aca="false">IF(CU33-CW33&lt;Inputs!$B$19,0,CU33-CW33)</f>
        <v>30000000</v>
      </c>
      <c r="DC33" s="0" t="n">
        <f aca="false">N33-CO33</f>
        <v>0</v>
      </c>
      <c r="DD33" s="0" t="n">
        <f aca="false">O33-CP33</f>
        <v>0</v>
      </c>
      <c r="DE33" s="0" t="n">
        <f aca="false">P33-CQ33</f>
        <v>0</v>
      </c>
      <c r="DF33" s="0" t="n">
        <f aca="false">Q33-CR33</f>
        <v>0</v>
      </c>
      <c r="DG33" s="0" t="n">
        <f aca="false">IF(CZ33+DA33+DB33&lt;=Inputs!$B$19,1,0)</f>
        <v>0</v>
      </c>
      <c r="DH33" s="0" t="n">
        <f aca="false">DG33*CN33</f>
        <v>0</v>
      </c>
      <c r="DI33" s="0" t="n">
        <f aca="false">DG33*(AS33+DH33)</f>
        <v>0</v>
      </c>
      <c r="DJ33" s="0" t="n">
        <f aca="false">DG33*MIN(DC33,DI33)</f>
        <v>0</v>
      </c>
      <c r="DK33" s="0" t="n">
        <f aca="false">DG33*MIN(DD33,DI33-DJ33)</f>
        <v>0</v>
      </c>
      <c r="DL33" s="0" t="n">
        <f aca="false">DG33*MIN(DE33,DI33-DJ33-DK33)</f>
        <v>0</v>
      </c>
      <c r="DM33" s="0" t="n">
        <f aca="false">DG33*MIN(DF33,DI33-DJ33-DK33-DL33)</f>
        <v>0</v>
      </c>
      <c r="DN33" s="0" t="n">
        <f aca="false">DJ33+DK33+DL33+DM33</f>
        <v>0</v>
      </c>
      <c r="DO33" s="0" t="n">
        <f aca="false">CN33-DH33</f>
        <v>3000000</v>
      </c>
      <c r="DP33" s="0" t="n">
        <f aca="false">DC33-DJ33</f>
        <v>0</v>
      </c>
      <c r="DQ33" s="0" t="n">
        <f aca="false">DD33-DK33</f>
        <v>0</v>
      </c>
      <c r="DR33" s="0" t="n">
        <f aca="false">DE33-DL33</f>
        <v>0</v>
      </c>
      <c r="DS33" s="0" t="n">
        <f aca="false">DF33-DM33</f>
        <v>0</v>
      </c>
      <c r="DT33" s="0" t="n">
        <f aca="false">CO33+DJ33</f>
        <v>91058.5263220106</v>
      </c>
      <c r="DU33" s="0" t="n">
        <f aca="false">CP33+DK33</f>
        <v>323598.082670659</v>
      </c>
      <c r="DV33" s="0" t="n">
        <f aca="false">AP33+BL33+BR33+BX33+CC33</f>
        <v>6748972.75654154</v>
      </c>
      <c r="DW33" s="0" t="n">
        <f aca="false">CQ33+DL33</f>
        <v>194232.446170344</v>
      </c>
      <c r="DX33" s="0" t="n">
        <f aca="false">AQ33+BM33+BS33+BY33+CD33</f>
        <v>0</v>
      </c>
      <c r="DY33" s="0" t="n">
        <f aca="false">CR33+DM33</f>
        <v>187500</v>
      </c>
      <c r="DZ33" s="0" t="n">
        <f aca="false">AR33+BN33+BT33+BZ33+CE33</f>
        <v>0</v>
      </c>
      <c r="EA33" s="0" t="n">
        <f aca="false">DI33-DN33</f>
        <v>0</v>
      </c>
      <c r="EB33" s="0" t="n">
        <f aca="false">CH33+EA33</f>
        <v>564026.613659722</v>
      </c>
      <c r="EC33" s="0" t="n">
        <f aca="false">R33-I33-MAX(-M33,0)-J33-K33-L33</f>
        <v>564026.613659722</v>
      </c>
      <c r="ED33" s="0" t="n">
        <f aca="false">R33+S33+CM33+DH33-CG33-DT33-DU33-DW33-DY33-DV33-DX33-DZ33-EB33</f>
        <v>0</v>
      </c>
      <c r="EE33" s="0" t="n">
        <f aca="false">IF(AND(EB33&gt;0.000001,DP33+DQ33+DR33+DS33&gt;0.000001),1,0)</f>
        <v>0</v>
      </c>
    </row>
    <row r="34" customFormat="false" ht="15" hidden="false" customHeight="false" outlineLevel="0" collapsed="false">
      <c r="A34" s="0" t="n">
        <f aca="false">ROW()-5</f>
        <v>29</v>
      </c>
      <c r="B34" s="0" t="n">
        <f aca="false">Inputs!$B$11+(Inputs!$B$12-Inputs!$B$11)*(1-EXP(-A34/Inputs!$B$13))+Inputs!$B$8</f>
        <v>0.0356362942375311</v>
      </c>
      <c r="C34" s="0" t="n">
        <f aca="false">CZ33</f>
        <v>76278589.5642201</v>
      </c>
      <c r="D34" s="0" t="n">
        <f aca="false">DA33</f>
        <v>40000000</v>
      </c>
      <c r="E34" s="0" t="n">
        <f aca="false">DB33</f>
        <v>30000000</v>
      </c>
      <c r="F34" s="0" t="n">
        <f aca="false">IF(Inputs!$B$22=1,B34+Inputs!$B$23,Inputs!$B$23)/12</f>
        <v>0.00388635785312759</v>
      </c>
      <c r="G34" s="0" t="n">
        <f aca="false">IF(Inputs!$B$27=1,B34+Inputs!$B$28,Inputs!$B$28)/12</f>
        <v>0.00484469118646093</v>
      </c>
      <c r="H34" s="0" t="n">
        <f aca="false">IF(Inputs!$B$32=1,B34+Inputs!$B$33,Inputs!$B$33)/12</f>
        <v>0.00625</v>
      </c>
      <c r="I34" s="0" t="n">
        <f aca="false">Pool!BT34*Inputs!$B$14/12</f>
        <v>87457.5243275777</v>
      </c>
      <c r="J34" s="0" t="n">
        <f aca="false">C34*F34</f>
        <v>296445.895578403</v>
      </c>
      <c r="K34" s="0" t="n">
        <f aca="false">D34*G34</f>
        <v>193787.647458437</v>
      </c>
      <c r="L34" s="0" t="n">
        <f aca="false">E34*H34</f>
        <v>187500</v>
      </c>
      <c r="M34" s="0" t="n">
        <f aca="false">Inputs!$B$17*(C34*Inputs!$B$22+D34*Inputs!$B$27+E34*Inputs!$B$32)*(B34-Inputs!$B$18)/12</f>
        <v>-0</v>
      </c>
      <c r="N34" s="0" t="n">
        <f aca="false">DP33+I34+MAX(-M34,0)</f>
        <v>87457.5243275777</v>
      </c>
      <c r="O34" s="0" t="n">
        <f aca="false">DQ33+J34</f>
        <v>296445.895578403</v>
      </c>
      <c r="P34" s="0" t="n">
        <f aca="false">DR33+K34</f>
        <v>193787.647458437</v>
      </c>
      <c r="Q34" s="0" t="n">
        <f aca="false">DS33+L34</f>
        <v>187500</v>
      </c>
      <c r="R34" s="0" t="n">
        <f aca="false">Pool!BV34+MAX(M34,0)</f>
        <v>1309360.46620414</v>
      </c>
      <c r="S34" s="0" t="n">
        <f aca="false">Pool!BW34+Pool!BX34+Pool!BZ34</f>
        <v>6658014.80376051</v>
      </c>
      <c r="T34" s="0" t="n">
        <f aca="false">MAX(T33,BG33)</f>
        <v>1</v>
      </c>
      <c r="U34" s="0" t="n">
        <f aca="false">MIN(C34,S34)</f>
        <v>6658014.80376051</v>
      </c>
      <c r="V34" s="0" t="n">
        <f aca="false">MIN(D34,S34-U34)</f>
        <v>0</v>
      </c>
      <c r="W34" s="0" t="n">
        <f aca="false">MIN(E34,S34-U34-V34)</f>
        <v>0</v>
      </c>
      <c r="X34" s="0" t="n">
        <f aca="false">IF(C34-(0)&gt;Inputs!$B$19,1,0)</f>
        <v>1</v>
      </c>
      <c r="Y34" s="0" t="n">
        <f aca="false">IF(D34-(0)&gt;Inputs!$B$19,1,0)</f>
        <v>1</v>
      </c>
      <c r="Z34" s="0" t="n">
        <f aca="false">IF(E34-(0)&gt;Inputs!$B$19,1,0)</f>
        <v>1</v>
      </c>
      <c r="AA34" s="0" t="n">
        <f aca="false">IF((X34*C34+Y34*D34+Z34*E34)&gt;0,MIN(C34-(0),S34*X34*C34/(X34*C34+Y34*D34+Z34*E34)),0)</f>
        <v>3471895.51144519</v>
      </c>
      <c r="AB34" s="0" t="n">
        <f aca="false">IF((X34*C34+Y34*D34+Z34*E34)&gt;0,MIN(D34-(0),S34*Y34*D34/(X34*C34+Y34*D34+Z34*E34)),0)</f>
        <v>1820639.59560875</v>
      </c>
      <c r="AC34" s="0" t="n">
        <f aca="false">IF((X34*C34+Y34*D34+Z34*E34)&gt;0,MIN(E34-(0),S34*Z34*E34/(X34*C34+Y34*D34+Z34*E34)),0)</f>
        <v>1365479.69670656</v>
      </c>
      <c r="AD34" s="0" t="n">
        <f aca="false">IF(C34-(AA34)&gt;Inputs!$B$19,1,0)</f>
        <v>1</v>
      </c>
      <c r="AE34" s="0" t="n">
        <f aca="false">IF(D34-(AB34)&gt;Inputs!$B$19,1,0)</f>
        <v>1</v>
      </c>
      <c r="AF34" s="0" t="n">
        <f aca="false">IF(E34-(AC34)&gt;Inputs!$B$19,1,0)</f>
        <v>1</v>
      </c>
      <c r="AG34" s="0" t="n">
        <f aca="false">IF((AD34*C34+AE34*D34+AF34*E34)&gt;0,MIN(C34-(AA34),(S34-(AA34+AB34+AC34))*AD34*C34/(AD34*C34+AE34*D34+AF34*E34)),0)</f>
        <v>0</v>
      </c>
      <c r="AH34" s="0" t="n">
        <f aca="false">IF((AD34*C34+AE34*D34+AF34*E34)&gt;0,MIN(D34-(AB34),(S34-(AA34+AB34+AC34))*AE34*D34/(AD34*C34+AE34*D34+AF34*E34)),0)</f>
        <v>0</v>
      </c>
      <c r="AI34" s="0" t="n">
        <f aca="false">IF((AD34*C34+AE34*D34+AF34*E34)&gt;0,MIN(E34-(AC34),(S34-(AA34+AB34+AC34))*AF34*E34/(AD34*C34+AE34*D34+AF34*E34)),0)</f>
        <v>0</v>
      </c>
      <c r="AJ34" s="0" t="n">
        <f aca="false">IF(C34-(AA34+AG34)&gt;Inputs!$B$19,1,0)</f>
        <v>1</v>
      </c>
      <c r="AK34" s="0" t="n">
        <f aca="false">IF(D34-(AB34+AH34)&gt;Inputs!$B$19,1,0)</f>
        <v>1</v>
      </c>
      <c r="AL34" s="0" t="n">
        <f aca="false">IF(E34-(AC34+AI34)&gt;Inputs!$B$19,1,0)</f>
        <v>1</v>
      </c>
      <c r="AM34" s="0" t="n">
        <f aca="false">IF((AJ34*C34+AK34*D34+AL34*E34)&gt;0,MIN(C34-(AA34+AG34),(S34-(AA34+AB34+AC34+AG34+AH34+AI34))*AJ34*C34/(AJ34*C34+AK34*D34+AL34*E34)),0)</f>
        <v>0</v>
      </c>
      <c r="AN34" s="0" t="n">
        <f aca="false">IF((AJ34*C34+AK34*D34+AL34*E34)&gt;0,MIN(D34-(AB34+AH34),(S34-(AA34+AB34+AC34+AG34+AH34+AI34))*AK34*D34/(AJ34*C34+AK34*D34+AL34*E34)),0)</f>
        <v>0</v>
      </c>
      <c r="AO34" s="0" t="n">
        <f aca="false">IF((AJ34*C34+AK34*D34+AL34*E34)&gt;0,MIN(E34-(AC34+AI34),(S34-(AA34+AB34+AC34+AG34+AH34+AI34))*AL34*E34/(AJ34*C34+AK34*D34+AL34*E34)),0)</f>
        <v>0</v>
      </c>
      <c r="AP34" s="0" t="n">
        <f aca="false">IF(T34=1,U34,AA34+AG34+AM34)</f>
        <v>6658014.80376051</v>
      </c>
      <c r="AQ34" s="0" t="n">
        <f aca="false">IF(T34=1,V34,AB34+AH34+AN34)</f>
        <v>0</v>
      </c>
      <c r="AR34" s="0" t="n">
        <f aca="false">IF(T34=1,W34,AC34+AI34+AO34)</f>
        <v>0</v>
      </c>
      <c r="AS34" s="0" t="n">
        <f aca="false">S34-AP34-AQ34-AR34</f>
        <v>0</v>
      </c>
      <c r="AT34" s="0" t="n">
        <f aca="false">C34-AP34</f>
        <v>69620574.7604596</v>
      </c>
      <c r="AU34" s="0" t="n">
        <f aca="false">D34-AQ34</f>
        <v>40000000</v>
      </c>
      <c r="AV34" s="0" t="n">
        <f aca="false">E34-AR34</f>
        <v>30000000</v>
      </c>
      <c r="AW34" s="0" t="n">
        <f aca="false">Pool!CB34</f>
        <v>161503495.799638</v>
      </c>
      <c r="AX34" s="0" t="n">
        <f aca="false">IF((AT34)&gt;Inputs!$B$19,AW34/(AT34),1000000000)</f>
        <v>2.31976676945452</v>
      </c>
      <c r="AY34" s="0" t="n">
        <f aca="false">IF((J34)&gt;0.000000001,(R34-I34-MAX(-M34,0))/(J34),1000000000)</f>
        <v>4.12184132113713</v>
      </c>
      <c r="AZ34" s="0" t="n">
        <f aca="false">IF(OR(AX34&lt;Inputs!$B$24,AY34&lt;Inputs!$B$25),1,0)</f>
        <v>0</v>
      </c>
      <c r="BA34" s="0" t="n">
        <f aca="false">IF((AT34+AU34)&gt;Inputs!$B$19,AW34/(AT34+AU34),1000000000)</f>
        <v>1.47329546622568</v>
      </c>
      <c r="BB34" s="0" t="n">
        <f aca="false">IF((J34+K34)&gt;0.000000001,(R34-I34-MAX(-M34,0))/(J34+K34),1000000000)</f>
        <v>2.49249150579796</v>
      </c>
      <c r="BC34" s="0" t="n">
        <f aca="false">IF(OR(BA34&lt;Inputs!$B$29,BB34&lt;Inputs!$B$30),1,0)</f>
        <v>0</v>
      </c>
      <c r="BD34" s="0" t="n">
        <f aca="false">IF((AT34+AU34+AV34)&gt;Inputs!$B$19,AW34/(AT34+AU34+AV34),1000000000)</f>
        <v>1.15673134906314</v>
      </c>
      <c r="BE34" s="0" t="n">
        <f aca="false">IF((J34+K34+L34)&gt;0.000000001,(R34-I34-MAX(-M34,0))/(J34+K34+L34),1000000000)</f>
        <v>1.80292528594847</v>
      </c>
      <c r="BF34" s="0" t="n">
        <f aca="false">IF(OR(BD34&lt;Inputs!$B$34,BE34&lt;Inputs!$B$35),1,0)</f>
        <v>0</v>
      </c>
      <c r="BG34" s="0" t="n">
        <f aca="false">MAX(AZ34,BC34,BF34)</f>
        <v>0</v>
      </c>
      <c r="BH34" s="0" t="n">
        <f aca="false">MIN(R34,N34)</f>
        <v>87457.5243275777</v>
      </c>
      <c r="BI34" s="0" t="n">
        <f aca="false">R34-BH34</f>
        <v>1221902.94187656</v>
      </c>
      <c r="BJ34" s="0" t="n">
        <f aca="false">MIN(BI34,O34)</f>
        <v>296445.895578403</v>
      </c>
      <c r="BK34" s="0" t="n">
        <f aca="false">BI34-BJ34</f>
        <v>925457.046298162</v>
      </c>
      <c r="BL34" s="0" t="n">
        <f aca="false">AZ34*MIN(AT34,BK34)</f>
        <v>0</v>
      </c>
      <c r="BM34" s="0" t="n">
        <f aca="false">AZ34*MIN(AU34,BK34-BL34)</f>
        <v>0</v>
      </c>
      <c r="BN34" s="0" t="n">
        <f aca="false">AZ34*MIN(AV34,BK34-BL34-BM34)</f>
        <v>0</v>
      </c>
      <c r="BO34" s="0" t="n">
        <f aca="false">BK34-BL34-BM34-BN34</f>
        <v>925457.046298162</v>
      </c>
      <c r="BP34" s="0" t="n">
        <f aca="false">MIN(BO34,P34)</f>
        <v>193787.647458437</v>
      </c>
      <c r="BQ34" s="0" t="n">
        <f aca="false">BO34-BP34</f>
        <v>731669.398839725</v>
      </c>
      <c r="BR34" s="0" t="n">
        <f aca="false">BC34*MIN((AT34-BL34),BQ34)</f>
        <v>0</v>
      </c>
      <c r="BS34" s="0" t="n">
        <f aca="false">BC34*MIN((AU34-BM34),BQ34-BR34)</f>
        <v>0</v>
      </c>
      <c r="BT34" s="0" t="n">
        <f aca="false">BC34*MIN((AV34-BN34),BQ34-BR34-BS34)</f>
        <v>0</v>
      </c>
      <c r="BU34" s="0" t="n">
        <f aca="false">BQ34-BR34-BS34-BT34</f>
        <v>731669.398839725</v>
      </c>
      <c r="BV34" s="0" t="n">
        <f aca="false">MIN(BU34,Q34)</f>
        <v>187500</v>
      </c>
      <c r="BW34" s="0" t="n">
        <f aca="false">BU34-BV34</f>
        <v>544169.398839725</v>
      </c>
      <c r="BX34" s="0" t="n">
        <f aca="false">BF34*MIN((AT34-BL34-BR34),BW34)</f>
        <v>0</v>
      </c>
      <c r="BY34" s="0" t="n">
        <f aca="false">BF34*MIN((AU34-BM34-BS34),BW34-BX34)</f>
        <v>0</v>
      </c>
      <c r="BZ34" s="0" t="n">
        <f aca="false">BF34*MIN((AV34-BN34-BT34),BW34-BX34-BY34)</f>
        <v>0</v>
      </c>
      <c r="CA34" s="0" t="n">
        <f aca="false">BW34-BX34-BY34-BZ34</f>
        <v>544169.398839725</v>
      </c>
      <c r="CB34" s="0" t="n">
        <f aca="false">MAX(0,AT34+AU34+AV34-BL34-BM34-BN34-BR34-BS34-BT34-BX34-BY34-BZ34-AW34)</f>
        <v>0</v>
      </c>
      <c r="CC34" s="0" t="n">
        <f aca="false">1*MIN((AT34-BL34-BR34-BX34),MIN(CA34,CB34))</f>
        <v>0</v>
      </c>
      <c r="CD34" s="0" t="n">
        <f aca="false">1*MIN((AU34-BM34-BS34-BY34),MIN(CA34,CB34)-CC34)</f>
        <v>0</v>
      </c>
      <c r="CE34" s="0" t="n">
        <f aca="false">1*MIN((AV34-BN34-BT34-BZ34),MIN(CA34,CB34)-CC34-CD34)</f>
        <v>0</v>
      </c>
      <c r="CF34" s="0" t="n">
        <f aca="false">CA34-CC34-CD34-CE34</f>
        <v>544169.398839725</v>
      </c>
      <c r="CG34" s="0" t="n">
        <f aca="false">IF(C34+D34+E34&gt;Inputs!$B$19,MIN(CF34,MAX(0,Inputs!$B$15-DO33)),0)</f>
        <v>0</v>
      </c>
      <c r="CH34" s="0" t="n">
        <f aca="false">CF34-CG34</f>
        <v>544169.398839725</v>
      </c>
      <c r="CI34" s="0" t="n">
        <f aca="false">DO33+CG34</f>
        <v>3000000</v>
      </c>
      <c r="CJ34" s="0" t="n">
        <f aca="false">MIN(MAX(N34-BH34,0),CI34)</f>
        <v>0</v>
      </c>
      <c r="CK34" s="0" t="n">
        <f aca="false">MIN(MAX(O34-BJ34,0),CI34-CJ34)</f>
        <v>0</v>
      </c>
      <c r="CL34" s="0" t="n">
        <f aca="false">MIN(MAX(P34-BP34,0),CI34-CJ34-CK34)</f>
        <v>0</v>
      </c>
      <c r="CM34" s="0" t="n">
        <f aca="false">CJ34+CK34+CL34</f>
        <v>0</v>
      </c>
      <c r="CN34" s="0" t="n">
        <f aca="false">CI34-CM34</f>
        <v>3000000</v>
      </c>
      <c r="CO34" s="0" t="n">
        <f aca="false">BH34+CJ34</f>
        <v>87457.5243275777</v>
      </c>
      <c r="CP34" s="0" t="n">
        <f aca="false">BJ34+CK34</f>
        <v>296445.895578403</v>
      </c>
      <c r="CQ34" s="0" t="n">
        <f aca="false">BP34+CL34</f>
        <v>193787.647458437</v>
      </c>
      <c r="CR34" s="0" t="n">
        <f aca="false">BV34</f>
        <v>187500</v>
      </c>
      <c r="CS34" s="0" t="n">
        <f aca="false">AT34-BL34-BR34-BX34-CC34</f>
        <v>69620574.7604596</v>
      </c>
      <c r="CT34" s="0" t="n">
        <f aca="false">AU34-BM34-BS34-BY34-CD34</f>
        <v>40000000</v>
      </c>
      <c r="CU34" s="0" t="n">
        <f aca="false">AV34-BN34-BT34-BZ34-CE34</f>
        <v>30000000</v>
      </c>
      <c r="CV34" s="0" t="n">
        <f aca="false">MAX(0,CS34+CT34+CU34-AW34)</f>
        <v>0</v>
      </c>
      <c r="CW34" s="0" t="n">
        <f aca="false">MIN(CU34,CV34)</f>
        <v>0</v>
      </c>
      <c r="CX34" s="0" t="n">
        <f aca="false">MIN(CT34,CV34-CW34)</f>
        <v>0</v>
      </c>
      <c r="CY34" s="0" t="n">
        <f aca="false">MIN(CS34,CV34-CW34-CX34)</f>
        <v>0</v>
      </c>
      <c r="CZ34" s="0" t="n">
        <f aca="false">IF(CS34-CY34&lt;Inputs!$B$19,0,CS34-CY34)</f>
        <v>69620574.7604596</v>
      </c>
      <c r="DA34" s="0" t="n">
        <f aca="false">IF(CT34-CX34&lt;Inputs!$B$19,0,CT34-CX34)</f>
        <v>40000000</v>
      </c>
      <c r="DB34" s="0" t="n">
        <f aca="false">IF(CU34-CW34&lt;Inputs!$B$19,0,CU34-CW34)</f>
        <v>30000000</v>
      </c>
      <c r="DC34" s="0" t="n">
        <f aca="false">N34-CO34</f>
        <v>0</v>
      </c>
      <c r="DD34" s="0" t="n">
        <f aca="false">O34-CP34</f>
        <v>0</v>
      </c>
      <c r="DE34" s="0" t="n">
        <f aca="false">P34-CQ34</f>
        <v>0</v>
      </c>
      <c r="DF34" s="0" t="n">
        <f aca="false">Q34-CR34</f>
        <v>0</v>
      </c>
      <c r="DG34" s="0" t="n">
        <f aca="false">IF(CZ34+DA34+DB34&lt;=Inputs!$B$19,1,0)</f>
        <v>0</v>
      </c>
      <c r="DH34" s="0" t="n">
        <f aca="false">DG34*CN34</f>
        <v>0</v>
      </c>
      <c r="DI34" s="0" t="n">
        <f aca="false">DG34*(AS34+DH34)</f>
        <v>0</v>
      </c>
      <c r="DJ34" s="0" t="n">
        <f aca="false">DG34*MIN(DC34,DI34)</f>
        <v>0</v>
      </c>
      <c r="DK34" s="0" t="n">
        <f aca="false">DG34*MIN(DD34,DI34-DJ34)</f>
        <v>0</v>
      </c>
      <c r="DL34" s="0" t="n">
        <f aca="false">DG34*MIN(DE34,DI34-DJ34-DK34)</f>
        <v>0</v>
      </c>
      <c r="DM34" s="0" t="n">
        <f aca="false">DG34*MIN(DF34,DI34-DJ34-DK34-DL34)</f>
        <v>0</v>
      </c>
      <c r="DN34" s="0" t="n">
        <f aca="false">DJ34+DK34+DL34+DM34</f>
        <v>0</v>
      </c>
      <c r="DO34" s="0" t="n">
        <f aca="false">CN34-DH34</f>
        <v>3000000</v>
      </c>
      <c r="DP34" s="0" t="n">
        <f aca="false">DC34-DJ34</f>
        <v>0</v>
      </c>
      <c r="DQ34" s="0" t="n">
        <f aca="false">DD34-DK34</f>
        <v>0</v>
      </c>
      <c r="DR34" s="0" t="n">
        <f aca="false">DE34-DL34</f>
        <v>0</v>
      </c>
      <c r="DS34" s="0" t="n">
        <f aca="false">DF34-DM34</f>
        <v>0</v>
      </c>
      <c r="DT34" s="0" t="n">
        <f aca="false">CO34+DJ34</f>
        <v>87457.5243275777</v>
      </c>
      <c r="DU34" s="0" t="n">
        <f aca="false">CP34+DK34</f>
        <v>296445.895578403</v>
      </c>
      <c r="DV34" s="0" t="n">
        <f aca="false">AP34+BL34+BR34+BX34+CC34</f>
        <v>6658014.80376051</v>
      </c>
      <c r="DW34" s="0" t="n">
        <f aca="false">CQ34+DL34</f>
        <v>193787.647458437</v>
      </c>
      <c r="DX34" s="0" t="n">
        <f aca="false">AQ34+BM34+BS34+BY34+CD34</f>
        <v>0</v>
      </c>
      <c r="DY34" s="0" t="n">
        <f aca="false">CR34+DM34</f>
        <v>187500</v>
      </c>
      <c r="DZ34" s="0" t="n">
        <f aca="false">AR34+BN34+BT34+BZ34+CE34</f>
        <v>0</v>
      </c>
      <c r="EA34" s="0" t="n">
        <f aca="false">DI34-DN34</f>
        <v>0</v>
      </c>
      <c r="EB34" s="0" t="n">
        <f aca="false">CH34+EA34</f>
        <v>544169.398839725</v>
      </c>
      <c r="EC34" s="0" t="n">
        <f aca="false">R34-I34-MAX(-M34,0)-J34-K34-L34</f>
        <v>544169.398839725</v>
      </c>
      <c r="ED34" s="0" t="n">
        <f aca="false">R34+S34+CM34+DH34-CG34-DT34-DU34-DW34-DY34-DV34-DX34-DZ34-EB34</f>
        <v>0</v>
      </c>
      <c r="EE34" s="0" t="n">
        <f aca="false">IF(AND(EB34&gt;0.000001,DP34+DQ34+DR34+DS34&gt;0.000001),1,0)</f>
        <v>0</v>
      </c>
    </row>
    <row r="35" customFormat="false" ht="15" hidden="false" customHeight="false" outlineLevel="0" collapsed="false">
      <c r="A35" s="0" t="n">
        <f aca="false">ROW()-5</f>
        <v>30</v>
      </c>
      <c r="B35" s="0" t="n">
        <f aca="false">Inputs!$B$11+(Inputs!$B$12-Inputs!$B$11)*(1-EXP(-A35/Inputs!$B$13))+Inputs!$B$8</f>
        <v>0.035508300367032</v>
      </c>
      <c r="C35" s="0" t="n">
        <f aca="false">CZ34</f>
        <v>69620574.7604596</v>
      </c>
      <c r="D35" s="0" t="n">
        <f aca="false">DA34</f>
        <v>40000000</v>
      </c>
      <c r="E35" s="0" t="n">
        <f aca="false">DB34</f>
        <v>30000000</v>
      </c>
      <c r="F35" s="0" t="n">
        <f aca="false">IF(Inputs!$B$22=1,B35+Inputs!$B$23,Inputs!$B$23)/12</f>
        <v>0.00387569169725267</v>
      </c>
      <c r="G35" s="0" t="n">
        <f aca="false">IF(Inputs!$B$27=1,B35+Inputs!$B$28,Inputs!$B$28)/12</f>
        <v>0.004834025030586</v>
      </c>
      <c r="H35" s="0" t="n">
        <f aca="false">IF(Inputs!$B$32=1,B35+Inputs!$B$33,Inputs!$B$33)/12</f>
        <v>0.00625</v>
      </c>
      <c r="I35" s="0" t="n">
        <f aca="false">Pool!BT35*Inputs!$B$14/12</f>
        <v>83907.4416969384</v>
      </c>
      <c r="J35" s="0" t="n">
        <f aca="false">C35*F35</f>
        <v>269827.883557072</v>
      </c>
      <c r="K35" s="0" t="n">
        <f aca="false">D35*G35</f>
        <v>193361.00122344</v>
      </c>
      <c r="L35" s="0" t="n">
        <f aca="false">E35*H35</f>
        <v>187500</v>
      </c>
      <c r="M35" s="0" t="n">
        <f aca="false">Inputs!$B$17*(C35*Inputs!$B$22+D35*Inputs!$B$27+E35*Inputs!$B$32)*(B35-Inputs!$B$18)/12</f>
        <v>-0</v>
      </c>
      <c r="N35" s="0" t="n">
        <f aca="false">DP34+I35+MAX(-M35,0)</f>
        <v>83907.4416969384</v>
      </c>
      <c r="O35" s="0" t="n">
        <f aca="false">DQ34+J35</f>
        <v>269827.883557072</v>
      </c>
      <c r="P35" s="0" t="n">
        <f aca="false">DR34+K35</f>
        <v>193361.00122344</v>
      </c>
      <c r="Q35" s="0" t="n">
        <f aca="false">DS34+L35</f>
        <v>187500</v>
      </c>
      <c r="R35" s="0" t="n">
        <f aca="false">Pool!BV35+MAX(M35,0)</f>
        <v>1259019.24771797</v>
      </c>
      <c r="S35" s="0" t="n">
        <f aca="false">Pool!BW35+Pool!BX35+Pool!BZ35</f>
        <v>6568145.85740667</v>
      </c>
      <c r="T35" s="0" t="n">
        <f aca="false">MAX(T34,BG34)</f>
        <v>1</v>
      </c>
      <c r="U35" s="0" t="n">
        <f aca="false">MIN(C35,S35)</f>
        <v>6568145.85740667</v>
      </c>
      <c r="V35" s="0" t="n">
        <f aca="false">MIN(D35,S35-U35)</f>
        <v>0</v>
      </c>
      <c r="W35" s="0" t="n">
        <f aca="false">MIN(E35,S35-U35-V35)</f>
        <v>0</v>
      </c>
      <c r="X35" s="0" t="n">
        <f aca="false">IF(C35-(0)&gt;Inputs!$B$19,1,0)</f>
        <v>1</v>
      </c>
      <c r="Y35" s="0" t="n">
        <f aca="false">IF(D35-(0)&gt;Inputs!$B$19,1,0)</f>
        <v>1</v>
      </c>
      <c r="Z35" s="0" t="n">
        <f aca="false">IF(E35-(0)&gt;Inputs!$B$19,1,0)</f>
        <v>1</v>
      </c>
      <c r="AA35" s="0" t="n">
        <f aca="false">IF((X35*C35+Y35*D35+Z35*E35)&gt;0,MIN(C35-(0),S35*X35*C35/(X35*C35+Y35*D35+Z35*E35)),0)</f>
        <v>3275148.31168482</v>
      </c>
      <c r="AB35" s="0" t="n">
        <f aca="false">IF((X35*C35+Y35*D35+Z35*E35)&gt;0,MIN(D35-(0),S35*Y35*D35/(X35*C35+Y35*D35+Z35*E35)),0)</f>
        <v>1881712.88326963</v>
      </c>
      <c r="AC35" s="0" t="n">
        <f aca="false">IF((X35*C35+Y35*D35+Z35*E35)&gt;0,MIN(E35-(0),S35*Z35*E35/(X35*C35+Y35*D35+Z35*E35)),0)</f>
        <v>1411284.66245222</v>
      </c>
      <c r="AD35" s="0" t="n">
        <f aca="false">IF(C35-(AA35)&gt;Inputs!$B$19,1,0)</f>
        <v>1</v>
      </c>
      <c r="AE35" s="0" t="n">
        <f aca="false">IF(D35-(AB35)&gt;Inputs!$B$19,1,0)</f>
        <v>1</v>
      </c>
      <c r="AF35" s="0" t="n">
        <f aca="false">IF(E35-(AC35)&gt;Inputs!$B$19,1,0)</f>
        <v>1</v>
      </c>
      <c r="AG35" s="0" t="n">
        <f aca="false">IF((AD35*C35+AE35*D35+AF35*E35)&gt;0,MIN(C35-(AA35),(S35-(AA35+AB35+AC35))*AD35*C35/(AD35*C35+AE35*D35+AF35*E35)),0)</f>
        <v>0</v>
      </c>
      <c r="AH35" s="0" t="n">
        <f aca="false">IF((AD35*C35+AE35*D35+AF35*E35)&gt;0,MIN(D35-(AB35),(S35-(AA35+AB35+AC35))*AE35*D35/(AD35*C35+AE35*D35+AF35*E35)),0)</f>
        <v>0</v>
      </c>
      <c r="AI35" s="0" t="n">
        <f aca="false">IF((AD35*C35+AE35*D35+AF35*E35)&gt;0,MIN(E35-(AC35),(S35-(AA35+AB35+AC35))*AF35*E35/(AD35*C35+AE35*D35+AF35*E35)),0)</f>
        <v>0</v>
      </c>
      <c r="AJ35" s="0" t="n">
        <f aca="false">IF(C35-(AA35+AG35)&gt;Inputs!$B$19,1,0)</f>
        <v>1</v>
      </c>
      <c r="AK35" s="0" t="n">
        <f aca="false">IF(D35-(AB35+AH35)&gt;Inputs!$B$19,1,0)</f>
        <v>1</v>
      </c>
      <c r="AL35" s="0" t="n">
        <f aca="false">IF(E35-(AC35+AI35)&gt;Inputs!$B$19,1,0)</f>
        <v>1</v>
      </c>
      <c r="AM35" s="0" t="n">
        <f aca="false">IF((AJ35*C35+AK35*D35+AL35*E35)&gt;0,MIN(C35-(AA35+AG35),(S35-(AA35+AB35+AC35+AG35+AH35+AI35))*AJ35*C35/(AJ35*C35+AK35*D35+AL35*E35)),0)</f>
        <v>0</v>
      </c>
      <c r="AN35" s="0" t="n">
        <f aca="false">IF((AJ35*C35+AK35*D35+AL35*E35)&gt;0,MIN(D35-(AB35+AH35),(S35-(AA35+AB35+AC35+AG35+AH35+AI35))*AK35*D35/(AJ35*C35+AK35*D35+AL35*E35)),0)</f>
        <v>0</v>
      </c>
      <c r="AO35" s="0" t="n">
        <f aca="false">IF((AJ35*C35+AK35*D35+AL35*E35)&gt;0,MIN(E35-(AC35+AI35),(S35-(AA35+AB35+AC35+AG35+AH35+AI35))*AL35*E35/(AJ35*C35+AK35*D35+AL35*E35)),0)</f>
        <v>0</v>
      </c>
      <c r="AP35" s="0" t="n">
        <f aca="false">IF(T35=1,U35,AA35+AG35+AM35)</f>
        <v>6568145.85740667</v>
      </c>
      <c r="AQ35" s="0" t="n">
        <f aca="false">IF(T35=1,V35,AB35+AH35+AN35)</f>
        <v>0</v>
      </c>
      <c r="AR35" s="0" t="n">
        <f aca="false">IF(T35=1,W35,AC35+AI35+AO35)</f>
        <v>0</v>
      </c>
      <c r="AS35" s="0" t="n">
        <f aca="false">S35-AP35-AQ35-AR35</f>
        <v>0</v>
      </c>
      <c r="AT35" s="0" t="n">
        <f aca="false">C35-AP35</f>
        <v>63052428.9030529</v>
      </c>
      <c r="AU35" s="0" t="n">
        <f aca="false">D35-AQ35</f>
        <v>40000000</v>
      </c>
      <c r="AV35" s="0" t="n">
        <f aca="false">E35-AR35</f>
        <v>30000000</v>
      </c>
      <c r="AW35" s="0" t="n">
        <f aca="false">Pool!CB35</f>
        <v>154773285.604125</v>
      </c>
      <c r="AX35" s="0" t="n">
        <f aca="false">IF((AT35)&gt;Inputs!$B$19,AW35/(AT35),1000000000)</f>
        <v>2.45467602591645</v>
      </c>
      <c r="AY35" s="0" t="n">
        <f aca="false">IF((J35)&gt;0.000000001,(R35-I35-MAX(-M35,0))/(J35),1000000000)</f>
        <v>4.35504214957268</v>
      </c>
      <c r="AZ35" s="0" t="n">
        <f aca="false">IF(OR(AX35&lt;Inputs!$B$24,AY35&lt;Inputs!$B$25),1,0)</f>
        <v>0</v>
      </c>
      <c r="BA35" s="0" t="n">
        <f aca="false">IF((AT35+AU35)&gt;Inputs!$B$19,AW35/(AT35+AU35),1000000000)</f>
        <v>1.50188876915972</v>
      </c>
      <c r="BB35" s="0" t="n">
        <f aca="false">IF((J35+K35)&gt;0.000000001,(R35-I35-MAX(-M35,0))/(J35+K35),1000000000)</f>
        <v>2.53700346582772</v>
      </c>
      <c r="BC35" s="0" t="n">
        <f aca="false">IF(OR(BA35&lt;Inputs!$B$29,BB35&lt;Inputs!$B$30),1,0)</f>
        <v>0</v>
      </c>
      <c r="BD35" s="0" t="n">
        <f aca="false">IF((AT35+AU35+AV35)&gt;Inputs!$B$19,AW35/(AT35+AU35+AV35),1000000000)</f>
        <v>1.16325035837488</v>
      </c>
      <c r="BE35" s="0" t="n">
        <f aca="false">IF((J35+K35+L35)&gt;0.000000001,(R35-I35-MAX(-M35,0))/(J35+K35+L35),1000000000)</f>
        <v>1.80595032973004</v>
      </c>
      <c r="BF35" s="0" t="n">
        <f aca="false">IF(OR(BD35&lt;Inputs!$B$34,BE35&lt;Inputs!$B$35),1,0)</f>
        <v>0</v>
      </c>
      <c r="BG35" s="0" t="n">
        <f aca="false">MAX(AZ35,BC35,BF35)</f>
        <v>0</v>
      </c>
      <c r="BH35" s="0" t="n">
        <f aca="false">MIN(R35,N35)</f>
        <v>83907.4416969384</v>
      </c>
      <c r="BI35" s="0" t="n">
        <f aca="false">R35-BH35</f>
        <v>1175111.80602104</v>
      </c>
      <c r="BJ35" s="0" t="n">
        <f aca="false">MIN(BI35,O35)</f>
        <v>269827.883557072</v>
      </c>
      <c r="BK35" s="0" t="n">
        <f aca="false">BI35-BJ35</f>
        <v>905283.922463964</v>
      </c>
      <c r="BL35" s="0" t="n">
        <f aca="false">AZ35*MIN(AT35,BK35)</f>
        <v>0</v>
      </c>
      <c r="BM35" s="0" t="n">
        <f aca="false">AZ35*MIN(AU35,BK35-BL35)</f>
        <v>0</v>
      </c>
      <c r="BN35" s="0" t="n">
        <f aca="false">AZ35*MIN(AV35,BK35-BL35-BM35)</f>
        <v>0</v>
      </c>
      <c r="BO35" s="0" t="n">
        <f aca="false">BK35-BL35-BM35-BN35</f>
        <v>905283.922463964</v>
      </c>
      <c r="BP35" s="0" t="n">
        <f aca="false">MIN(BO35,P35)</f>
        <v>193361.00122344</v>
      </c>
      <c r="BQ35" s="0" t="n">
        <f aca="false">BO35-BP35</f>
        <v>711922.921240524</v>
      </c>
      <c r="BR35" s="0" t="n">
        <f aca="false">BC35*MIN((AT35-BL35),BQ35)</f>
        <v>0</v>
      </c>
      <c r="BS35" s="0" t="n">
        <f aca="false">BC35*MIN((AU35-BM35),BQ35-BR35)</f>
        <v>0</v>
      </c>
      <c r="BT35" s="0" t="n">
        <f aca="false">BC35*MIN((AV35-BN35),BQ35-BR35-BS35)</f>
        <v>0</v>
      </c>
      <c r="BU35" s="0" t="n">
        <f aca="false">BQ35-BR35-BS35-BT35</f>
        <v>711922.921240524</v>
      </c>
      <c r="BV35" s="0" t="n">
        <f aca="false">MIN(BU35,Q35)</f>
        <v>187500</v>
      </c>
      <c r="BW35" s="0" t="n">
        <f aca="false">BU35-BV35</f>
        <v>524422.921240524</v>
      </c>
      <c r="BX35" s="0" t="n">
        <f aca="false">BF35*MIN((AT35-BL35-BR35),BW35)</f>
        <v>0</v>
      </c>
      <c r="BY35" s="0" t="n">
        <f aca="false">BF35*MIN((AU35-BM35-BS35),BW35-BX35)</f>
        <v>0</v>
      </c>
      <c r="BZ35" s="0" t="n">
        <f aca="false">BF35*MIN((AV35-BN35-BT35),BW35-BX35-BY35)</f>
        <v>0</v>
      </c>
      <c r="CA35" s="0" t="n">
        <f aca="false">BW35-BX35-BY35-BZ35</f>
        <v>524422.921240524</v>
      </c>
      <c r="CB35" s="0" t="n">
        <f aca="false">MAX(0,AT35+AU35+AV35-BL35-BM35-BN35-BR35-BS35-BT35-BX35-BY35-BZ35-AW35)</f>
        <v>0</v>
      </c>
      <c r="CC35" s="0" t="n">
        <f aca="false">1*MIN((AT35-BL35-BR35-BX35),MIN(CA35,CB35))</f>
        <v>0</v>
      </c>
      <c r="CD35" s="0" t="n">
        <f aca="false">1*MIN((AU35-BM35-BS35-BY35),MIN(CA35,CB35)-CC35)</f>
        <v>0</v>
      </c>
      <c r="CE35" s="0" t="n">
        <f aca="false">1*MIN((AV35-BN35-BT35-BZ35),MIN(CA35,CB35)-CC35-CD35)</f>
        <v>0</v>
      </c>
      <c r="CF35" s="0" t="n">
        <f aca="false">CA35-CC35-CD35-CE35</f>
        <v>524422.921240524</v>
      </c>
      <c r="CG35" s="0" t="n">
        <f aca="false">IF(C35+D35+E35&gt;Inputs!$B$19,MIN(CF35,MAX(0,Inputs!$B$15-DO34)),0)</f>
        <v>0</v>
      </c>
      <c r="CH35" s="0" t="n">
        <f aca="false">CF35-CG35</f>
        <v>524422.921240524</v>
      </c>
      <c r="CI35" s="0" t="n">
        <f aca="false">DO34+CG35</f>
        <v>3000000</v>
      </c>
      <c r="CJ35" s="0" t="n">
        <f aca="false">MIN(MAX(N35-BH35,0),CI35)</f>
        <v>0</v>
      </c>
      <c r="CK35" s="0" t="n">
        <f aca="false">MIN(MAX(O35-BJ35,0),CI35-CJ35)</f>
        <v>0</v>
      </c>
      <c r="CL35" s="0" t="n">
        <f aca="false">MIN(MAX(P35-BP35,0),CI35-CJ35-CK35)</f>
        <v>0</v>
      </c>
      <c r="CM35" s="0" t="n">
        <f aca="false">CJ35+CK35+CL35</f>
        <v>0</v>
      </c>
      <c r="CN35" s="0" t="n">
        <f aca="false">CI35-CM35</f>
        <v>3000000</v>
      </c>
      <c r="CO35" s="0" t="n">
        <f aca="false">BH35+CJ35</f>
        <v>83907.4416969384</v>
      </c>
      <c r="CP35" s="0" t="n">
        <f aca="false">BJ35+CK35</f>
        <v>269827.883557072</v>
      </c>
      <c r="CQ35" s="0" t="n">
        <f aca="false">BP35+CL35</f>
        <v>193361.00122344</v>
      </c>
      <c r="CR35" s="0" t="n">
        <f aca="false">BV35</f>
        <v>187500</v>
      </c>
      <c r="CS35" s="0" t="n">
        <f aca="false">AT35-BL35-BR35-BX35-CC35</f>
        <v>63052428.9030529</v>
      </c>
      <c r="CT35" s="0" t="n">
        <f aca="false">AU35-BM35-BS35-BY35-CD35</f>
        <v>40000000</v>
      </c>
      <c r="CU35" s="0" t="n">
        <f aca="false">AV35-BN35-BT35-BZ35-CE35</f>
        <v>30000000</v>
      </c>
      <c r="CV35" s="0" t="n">
        <f aca="false">MAX(0,CS35+CT35+CU35-AW35)</f>
        <v>0</v>
      </c>
      <c r="CW35" s="0" t="n">
        <f aca="false">MIN(CU35,CV35)</f>
        <v>0</v>
      </c>
      <c r="CX35" s="0" t="n">
        <f aca="false">MIN(CT35,CV35-CW35)</f>
        <v>0</v>
      </c>
      <c r="CY35" s="0" t="n">
        <f aca="false">MIN(CS35,CV35-CW35-CX35)</f>
        <v>0</v>
      </c>
      <c r="CZ35" s="0" t="n">
        <f aca="false">IF(CS35-CY35&lt;Inputs!$B$19,0,CS35-CY35)</f>
        <v>63052428.9030529</v>
      </c>
      <c r="DA35" s="0" t="n">
        <f aca="false">IF(CT35-CX35&lt;Inputs!$B$19,0,CT35-CX35)</f>
        <v>40000000</v>
      </c>
      <c r="DB35" s="0" t="n">
        <f aca="false">IF(CU35-CW35&lt;Inputs!$B$19,0,CU35-CW35)</f>
        <v>30000000</v>
      </c>
      <c r="DC35" s="0" t="n">
        <f aca="false">N35-CO35</f>
        <v>0</v>
      </c>
      <c r="DD35" s="0" t="n">
        <f aca="false">O35-CP35</f>
        <v>0</v>
      </c>
      <c r="DE35" s="0" t="n">
        <f aca="false">P35-CQ35</f>
        <v>0</v>
      </c>
      <c r="DF35" s="0" t="n">
        <f aca="false">Q35-CR35</f>
        <v>0</v>
      </c>
      <c r="DG35" s="0" t="n">
        <f aca="false">IF(CZ35+DA35+DB35&lt;=Inputs!$B$19,1,0)</f>
        <v>0</v>
      </c>
      <c r="DH35" s="0" t="n">
        <f aca="false">DG35*CN35</f>
        <v>0</v>
      </c>
      <c r="DI35" s="0" t="n">
        <f aca="false">DG35*(AS35+DH35)</f>
        <v>0</v>
      </c>
      <c r="DJ35" s="0" t="n">
        <f aca="false">DG35*MIN(DC35,DI35)</f>
        <v>0</v>
      </c>
      <c r="DK35" s="0" t="n">
        <f aca="false">DG35*MIN(DD35,DI35-DJ35)</f>
        <v>0</v>
      </c>
      <c r="DL35" s="0" t="n">
        <f aca="false">DG35*MIN(DE35,DI35-DJ35-DK35)</f>
        <v>0</v>
      </c>
      <c r="DM35" s="0" t="n">
        <f aca="false">DG35*MIN(DF35,DI35-DJ35-DK35-DL35)</f>
        <v>0</v>
      </c>
      <c r="DN35" s="0" t="n">
        <f aca="false">DJ35+DK35+DL35+DM35</f>
        <v>0</v>
      </c>
      <c r="DO35" s="0" t="n">
        <f aca="false">CN35-DH35</f>
        <v>3000000</v>
      </c>
      <c r="DP35" s="0" t="n">
        <f aca="false">DC35-DJ35</f>
        <v>0</v>
      </c>
      <c r="DQ35" s="0" t="n">
        <f aca="false">DD35-DK35</f>
        <v>0</v>
      </c>
      <c r="DR35" s="0" t="n">
        <f aca="false">DE35-DL35</f>
        <v>0</v>
      </c>
      <c r="DS35" s="0" t="n">
        <f aca="false">DF35-DM35</f>
        <v>0</v>
      </c>
      <c r="DT35" s="0" t="n">
        <f aca="false">CO35+DJ35</f>
        <v>83907.4416969384</v>
      </c>
      <c r="DU35" s="0" t="n">
        <f aca="false">CP35+DK35</f>
        <v>269827.883557072</v>
      </c>
      <c r="DV35" s="0" t="n">
        <f aca="false">AP35+BL35+BR35+BX35+CC35</f>
        <v>6568145.85740667</v>
      </c>
      <c r="DW35" s="0" t="n">
        <f aca="false">CQ35+DL35</f>
        <v>193361.00122344</v>
      </c>
      <c r="DX35" s="0" t="n">
        <f aca="false">AQ35+BM35+BS35+BY35+CD35</f>
        <v>0</v>
      </c>
      <c r="DY35" s="0" t="n">
        <f aca="false">CR35+DM35</f>
        <v>187500</v>
      </c>
      <c r="DZ35" s="0" t="n">
        <f aca="false">AR35+BN35+BT35+BZ35+CE35</f>
        <v>0</v>
      </c>
      <c r="EA35" s="0" t="n">
        <f aca="false">DI35-DN35</f>
        <v>0</v>
      </c>
      <c r="EB35" s="0" t="n">
        <f aca="false">CH35+EA35</f>
        <v>524422.921240524</v>
      </c>
      <c r="EC35" s="0" t="n">
        <f aca="false">R35-I35-MAX(-M35,0)-J35-K35-L35</f>
        <v>524422.921240524</v>
      </c>
      <c r="ED35" s="0" t="n">
        <f aca="false">R35+S35+CM35+DH35-CG35-DT35-DU35-DW35-DY35-DV35-DX35-DZ35-EB35</f>
        <v>0</v>
      </c>
      <c r="EE35" s="0" t="n">
        <f aca="false">IF(AND(EB35&gt;0.000001,DP35+DQ35+DR35+DS35&gt;0.000001),1,0)</f>
        <v>0</v>
      </c>
    </row>
    <row r="36" customFormat="false" ht="15" hidden="false" customHeight="false" outlineLevel="0" collapsed="false">
      <c r="A36" s="0" t="n">
        <f aca="false">ROW()-5</f>
        <v>31</v>
      </c>
      <c r="B36" s="0" t="n">
        <f aca="false">Inputs!$B$11+(Inputs!$B$12-Inputs!$B$11)*(1-EXP(-A36/Inputs!$B$13))+Inputs!$B$8</f>
        <v>0.0353855299958746</v>
      </c>
      <c r="C36" s="0" t="n">
        <f aca="false">CZ35</f>
        <v>63052428.9030529</v>
      </c>
      <c r="D36" s="0" t="n">
        <f aca="false">DA35</f>
        <v>40000000</v>
      </c>
      <c r="E36" s="0" t="n">
        <f aca="false">DB35</f>
        <v>30000000</v>
      </c>
      <c r="F36" s="0" t="n">
        <f aca="false">IF(Inputs!$B$22=1,B36+Inputs!$B$23,Inputs!$B$23)/12</f>
        <v>0.00386546083298955</v>
      </c>
      <c r="G36" s="0" t="n">
        <f aca="false">IF(Inputs!$B$27=1,B36+Inputs!$B$28,Inputs!$B$28)/12</f>
        <v>0.00482379416632289</v>
      </c>
      <c r="H36" s="0" t="n">
        <f aca="false">IF(Inputs!$B$32=1,B36+Inputs!$B$33,Inputs!$B$33)/12</f>
        <v>0.00625</v>
      </c>
      <c r="I36" s="0" t="n">
        <f aca="false">Pool!BT36*Inputs!$B$14/12</f>
        <v>80407.6609392447</v>
      </c>
      <c r="J36" s="0" t="n">
        <f aca="false">C36*F36</f>
        <v>243726.694349609</v>
      </c>
      <c r="K36" s="0" t="n">
        <f aca="false">D36*G36</f>
        <v>192951.766652915</v>
      </c>
      <c r="L36" s="0" t="n">
        <f aca="false">E36*H36</f>
        <v>187500</v>
      </c>
      <c r="M36" s="0" t="n">
        <f aca="false">Inputs!$B$17*(C36*Inputs!$B$22+D36*Inputs!$B$27+E36*Inputs!$B$32)*(B36-Inputs!$B$18)/12</f>
        <v>-0</v>
      </c>
      <c r="N36" s="0" t="n">
        <f aca="false">DP35+I36+MAX(-M36,0)</f>
        <v>80407.6609392447</v>
      </c>
      <c r="O36" s="0" t="n">
        <f aca="false">DQ35+J36</f>
        <v>243726.694349609</v>
      </c>
      <c r="P36" s="0" t="n">
        <f aca="false">DR35+K36</f>
        <v>192951.766652915</v>
      </c>
      <c r="Q36" s="0" t="n">
        <f aca="false">DS35+L36</f>
        <v>187500</v>
      </c>
      <c r="R36" s="0" t="n">
        <f aca="false">Pool!BV36+MAX(M36,0)</f>
        <v>1209383.39813612</v>
      </c>
      <c r="S36" s="0" t="n">
        <f aca="false">Pool!BW36+Pool!BX36+Pool!BZ36</f>
        <v>6479353.36596188</v>
      </c>
      <c r="T36" s="0" t="n">
        <f aca="false">MAX(T35,BG35)</f>
        <v>1</v>
      </c>
      <c r="U36" s="0" t="n">
        <f aca="false">MIN(C36,S36)</f>
        <v>6479353.36596188</v>
      </c>
      <c r="V36" s="0" t="n">
        <f aca="false">MIN(D36,S36-U36)</f>
        <v>0</v>
      </c>
      <c r="W36" s="0" t="n">
        <f aca="false">MIN(E36,S36-U36-V36)</f>
        <v>0</v>
      </c>
      <c r="X36" s="0" t="n">
        <f aca="false">IF(C36-(0)&gt;Inputs!$B$19,1,0)</f>
        <v>1</v>
      </c>
      <c r="Y36" s="0" t="n">
        <f aca="false">IF(D36-(0)&gt;Inputs!$B$19,1,0)</f>
        <v>1</v>
      </c>
      <c r="Z36" s="0" t="n">
        <f aca="false">IF(E36-(0)&gt;Inputs!$B$19,1,0)</f>
        <v>1</v>
      </c>
      <c r="AA36" s="0" t="n">
        <f aca="false">IF((X36*C36+Y36*D36+Z36*E36)&gt;0,MIN(C36-(0),S36*X36*C36/(X36*C36+Y36*D36+Z36*E36)),0)</f>
        <v>3070511.15724272</v>
      </c>
      <c r="AB36" s="0" t="n">
        <f aca="false">IF((X36*C36+Y36*D36+Z36*E36)&gt;0,MIN(D36-(0),S36*Y36*D36/(X36*C36+Y36*D36+Z36*E36)),0)</f>
        <v>1947909.83355381</v>
      </c>
      <c r="AC36" s="0" t="n">
        <f aca="false">IF((X36*C36+Y36*D36+Z36*E36)&gt;0,MIN(E36-(0),S36*Z36*E36/(X36*C36+Y36*D36+Z36*E36)),0)</f>
        <v>1460932.37516535</v>
      </c>
      <c r="AD36" s="0" t="n">
        <f aca="false">IF(C36-(AA36)&gt;Inputs!$B$19,1,0)</f>
        <v>1</v>
      </c>
      <c r="AE36" s="0" t="n">
        <f aca="false">IF(D36-(AB36)&gt;Inputs!$B$19,1,0)</f>
        <v>1</v>
      </c>
      <c r="AF36" s="0" t="n">
        <f aca="false">IF(E36-(AC36)&gt;Inputs!$B$19,1,0)</f>
        <v>1</v>
      </c>
      <c r="AG36" s="0" t="n">
        <f aca="false">IF((AD36*C36+AE36*D36+AF36*E36)&gt;0,MIN(C36-(AA36),(S36-(AA36+AB36+AC36))*AD36*C36/(AD36*C36+AE36*D36+AF36*E36)),0)</f>
        <v>0</v>
      </c>
      <c r="AH36" s="0" t="n">
        <f aca="false">IF((AD36*C36+AE36*D36+AF36*E36)&gt;0,MIN(D36-(AB36),(S36-(AA36+AB36+AC36))*AE36*D36/(AD36*C36+AE36*D36+AF36*E36)),0)</f>
        <v>0</v>
      </c>
      <c r="AI36" s="0" t="n">
        <f aca="false">IF((AD36*C36+AE36*D36+AF36*E36)&gt;0,MIN(E36-(AC36),(S36-(AA36+AB36+AC36))*AF36*E36/(AD36*C36+AE36*D36+AF36*E36)),0)</f>
        <v>0</v>
      </c>
      <c r="AJ36" s="0" t="n">
        <f aca="false">IF(C36-(AA36+AG36)&gt;Inputs!$B$19,1,0)</f>
        <v>1</v>
      </c>
      <c r="AK36" s="0" t="n">
        <f aca="false">IF(D36-(AB36+AH36)&gt;Inputs!$B$19,1,0)</f>
        <v>1</v>
      </c>
      <c r="AL36" s="0" t="n">
        <f aca="false">IF(E36-(AC36+AI36)&gt;Inputs!$B$19,1,0)</f>
        <v>1</v>
      </c>
      <c r="AM36" s="0" t="n">
        <f aca="false">IF((AJ36*C36+AK36*D36+AL36*E36)&gt;0,MIN(C36-(AA36+AG36),(S36-(AA36+AB36+AC36+AG36+AH36+AI36))*AJ36*C36/(AJ36*C36+AK36*D36+AL36*E36)),0)</f>
        <v>0</v>
      </c>
      <c r="AN36" s="0" t="n">
        <f aca="false">IF((AJ36*C36+AK36*D36+AL36*E36)&gt;0,MIN(D36-(AB36+AH36),(S36-(AA36+AB36+AC36+AG36+AH36+AI36))*AK36*D36/(AJ36*C36+AK36*D36+AL36*E36)),0)</f>
        <v>0</v>
      </c>
      <c r="AO36" s="0" t="n">
        <f aca="false">IF((AJ36*C36+AK36*D36+AL36*E36)&gt;0,MIN(E36-(AC36+AI36),(S36-(AA36+AB36+AC36+AG36+AH36+AI36))*AL36*E36/(AJ36*C36+AK36*D36+AL36*E36)),0)</f>
        <v>0</v>
      </c>
      <c r="AP36" s="0" t="n">
        <f aca="false">IF(T36=1,U36,AA36+AG36+AM36)</f>
        <v>6479353.36596188</v>
      </c>
      <c r="AQ36" s="0" t="n">
        <f aca="false">IF(T36=1,V36,AB36+AH36+AN36)</f>
        <v>0</v>
      </c>
      <c r="AR36" s="0" t="n">
        <f aca="false">IF(T36=1,W36,AC36+AI36+AO36)</f>
        <v>0</v>
      </c>
      <c r="AS36" s="0" t="n">
        <f aca="false">S36-AP36-AQ36-AR36</f>
        <v>0</v>
      </c>
      <c r="AT36" s="0" t="n">
        <f aca="false">C36-AP36</f>
        <v>56573075.537091</v>
      </c>
      <c r="AU36" s="0" t="n">
        <f aca="false">D36-AQ36</f>
        <v>40000000</v>
      </c>
      <c r="AV36" s="0" t="n">
        <f aca="false">E36-AR36</f>
        <v>30000000</v>
      </c>
      <c r="AW36" s="0" t="n">
        <f aca="false">Pool!CB36</f>
        <v>148138627.606235</v>
      </c>
      <c r="AX36" s="0" t="n">
        <f aca="false">IF((AT36)&gt;Inputs!$B$19,AW36/(AT36),1000000000)</f>
        <v>2.61853587063887</v>
      </c>
      <c r="AY36" s="0" t="n">
        <f aca="false">IF((J36)&gt;0.000000001,(R36-I36-MAX(-M36,0))/(J36),1000000000)</f>
        <v>4.63213822437288</v>
      </c>
      <c r="AZ36" s="0" t="n">
        <f aca="false">IF(OR(AX36&lt;Inputs!$B$24,AY36&lt;Inputs!$B$25),1,0)</f>
        <v>0</v>
      </c>
      <c r="BA36" s="0" t="n">
        <f aca="false">IF((AT36+AU36)&gt;Inputs!$B$19,AW36/(AT36+AU36),1000000000)</f>
        <v>1.53395371103553</v>
      </c>
      <c r="BB36" s="0" t="n">
        <f aca="false">IF((J36+K36)&gt;0.000000001,(R36-I36-MAX(-M36,0))/(J36+K36),1000000000)</f>
        <v>2.58537078885222</v>
      </c>
      <c r="BC36" s="0" t="n">
        <f aca="false">IF(OR(BA36&lt;Inputs!$B$29,BB36&lt;Inputs!$B$30),1,0)</f>
        <v>0</v>
      </c>
      <c r="BD36" s="0" t="n">
        <f aca="false">IF((AT36+AU36+AV36)&gt;Inputs!$B$19,AW36/(AT36+AU36+AV36),1000000000)</f>
        <v>1.17038024854523</v>
      </c>
      <c r="BE36" s="0" t="n">
        <f aca="false">IF((J36+K36+L36)&gt;0.000000001,(R36-I36-MAX(-M36,0))/(J36+K36+L36),1000000000)</f>
        <v>1.80873869851832</v>
      </c>
      <c r="BF36" s="0" t="n">
        <f aca="false">IF(OR(BD36&lt;Inputs!$B$34,BE36&lt;Inputs!$B$35),1,0)</f>
        <v>0</v>
      </c>
      <c r="BG36" s="0" t="n">
        <f aca="false">MAX(AZ36,BC36,BF36)</f>
        <v>0</v>
      </c>
      <c r="BH36" s="0" t="n">
        <f aca="false">MIN(R36,N36)</f>
        <v>80407.6609392447</v>
      </c>
      <c r="BI36" s="0" t="n">
        <f aca="false">R36-BH36</f>
        <v>1128975.73719687</v>
      </c>
      <c r="BJ36" s="0" t="n">
        <f aca="false">MIN(BI36,O36)</f>
        <v>243726.694349609</v>
      </c>
      <c r="BK36" s="0" t="n">
        <f aca="false">BI36-BJ36</f>
        <v>885249.042847262</v>
      </c>
      <c r="BL36" s="0" t="n">
        <f aca="false">AZ36*MIN(AT36,BK36)</f>
        <v>0</v>
      </c>
      <c r="BM36" s="0" t="n">
        <f aca="false">AZ36*MIN(AU36,BK36-BL36)</f>
        <v>0</v>
      </c>
      <c r="BN36" s="0" t="n">
        <f aca="false">AZ36*MIN(AV36,BK36-BL36-BM36)</f>
        <v>0</v>
      </c>
      <c r="BO36" s="0" t="n">
        <f aca="false">BK36-BL36-BM36-BN36</f>
        <v>885249.042847262</v>
      </c>
      <c r="BP36" s="0" t="n">
        <f aca="false">MIN(BO36,P36)</f>
        <v>192951.766652915</v>
      </c>
      <c r="BQ36" s="0" t="n">
        <f aca="false">BO36-BP36</f>
        <v>692297.276194347</v>
      </c>
      <c r="BR36" s="0" t="n">
        <f aca="false">BC36*MIN((AT36-BL36),BQ36)</f>
        <v>0</v>
      </c>
      <c r="BS36" s="0" t="n">
        <f aca="false">BC36*MIN((AU36-BM36),BQ36-BR36)</f>
        <v>0</v>
      </c>
      <c r="BT36" s="0" t="n">
        <f aca="false">BC36*MIN((AV36-BN36),BQ36-BR36-BS36)</f>
        <v>0</v>
      </c>
      <c r="BU36" s="0" t="n">
        <f aca="false">BQ36-BR36-BS36-BT36</f>
        <v>692297.276194347</v>
      </c>
      <c r="BV36" s="0" t="n">
        <f aca="false">MIN(BU36,Q36)</f>
        <v>187500</v>
      </c>
      <c r="BW36" s="0" t="n">
        <f aca="false">BU36-BV36</f>
        <v>504797.276194347</v>
      </c>
      <c r="BX36" s="0" t="n">
        <f aca="false">BF36*MIN((AT36-BL36-BR36),BW36)</f>
        <v>0</v>
      </c>
      <c r="BY36" s="0" t="n">
        <f aca="false">BF36*MIN((AU36-BM36-BS36),BW36-BX36)</f>
        <v>0</v>
      </c>
      <c r="BZ36" s="0" t="n">
        <f aca="false">BF36*MIN((AV36-BN36-BT36),BW36-BX36-BY36)</f>
        <v>0</v>
      </c>
      <c r="CA36" s="0" t="n">
        <f aca="false">BW36-BX36-BY36-BZ36</f>
        <v>504797.276194347</v>
      </c>
      <c r="CB36" s="0" t="n">
        <f aca="false">MAX(0,AT36+AU36+AV36-BL36-BM36-BN36-BR36-BS36-BT36-BX36-BY36-BZ36-AW36)</f>
        <v>0</v>
      </c>
      <c r="CC36" s="0" t="n">
        <f aca="false">1*MIN((AT36-BL36-BR36-BX36),MIN(CA36,CB36))</f>
        <v>0</v>
      </c>
      <c r="CD36" s="0" t="n">
        <f aca="false">1*MIN((AU36-BM36-BS36-BY36),MIN(CA36,CB36)-CC36)</f>
        <v>0</v>
      </c>
      <c r="CE36" s="0" t="n">
        <f aca="false">1*MIN((AV36-BN36-BT36-BZ36),MIN(CA36,CB36)-CC36-CD36)</f>
        <v>0</v>
      </c>
      <c r="CF36" s="0" t="n">
        <f aca="false">CA36-CC36-CD36-CE36</f>
        <v>504797.276194347</v>
      </c>
      <c r="CG36" s="0" t="n">
        <f aca="false">IF(C36+D36+E36&gt;Inputs!$B$19,MIN(CF36,MAX(0,Inputs!$B$15-DO35)),0)</f>
        <v>0</v>
      </c>
      <c r="CH36" s="0" t="n">
        <f aca="false">CF36-CG36</f>
        <v>504797.276194347</v>
      </c>
      <c r="CI36" s="0" t="n">
        <f aca="false">DO35+CG36</f>
        <v>3000000</v>
      </c>
      <c r="CJ36" s="0" t="n">
        <f aca="false">MIN(MAX(N36-BH36,0),CI36)</f>
        <v>0</v>
      </c>
      <c r="CK36" s="0" t="n">
        <f aca="false">MIN(MAX(O36-BJ36,0),CI36-CJ36)</f>
        <v>0</v>
      </c>
      <c r="CL36" s="0" t="n">
        <f aca="false">MIN(MAX(P36-BP36,0),CI36-CJ36-CK36)</f>
        <v>0</v>
      </c>
      <c r="CM36" s="0" t="n">
        <f aca="false">CJ36+CK36+CL36</f>
        <v>0</v>
      </c>
      <c r="CN36" s="0" t="n">
        <f aca="false">CI36-CM36</f>
        <v>3000000</v>
      </c>
      <c r="CO36" s="0" t="n">
        <f aca="false">BH36+CJ36</f>
        <v>80407.6609392447</v>
      </c>
      <c r="CP36" s="0" t="n">
        <f aca="false">BJ36+CK36</f>
        <v>243726.694349609</v>
      </c>
      <c r="CQ36" s="0" t="n">
        <f aca="false">BP36+CL36</f>
        <v>192951.766652915</v>
      </c>
      <c r="CR36" s="0" t="n">
        <f aca="false">BV36</f>
        <v>187500</v>
      </c>
      <c r="CS36" s="0" t="n">
        <f aca="false">AT36-BL36-BR36-BX36-CC36</f>
        <v>56573075.537091</v>
      </c>
      <c r="CT36" s="0" t="n">
        <f aca="false">AU36-BM36-BS36-BY36-CD36</f>
        <v>40000000</v>
      </c>
      <c r="CU36" s="0" t="n">
        <f aca="false">AV36-BN36-BT36-BZ36-CE36</f>
        <v>30000000</v>
      </c>
      <c r="CV36" s="0" t="n">
        <f aca="false">MAX(0,CS36+CT36+CU36-AW36)</f>
        <v>0</v>
      </c>
      <c r="CW36" s="0" t="n">
        <f aca="false">MIN(CU36,CV36)</f>
        <v>0</v>
      </c>
      <c r="CX36" s="0" t="n">
        <f aca="false">MIN(CT36,CV36-CW36)</f>
        <v>0</v>
      </c>
      <c r="CY36" s="0" t="n">
        <f aca="false">MIN(CS36,CV36-CW36-CX36)</f>
        <v>0</v>
      </c>
      <c r="CZ36" s="0" t="n">
        <f aca="false">IF(CS36-CY36&lt;Inputs!$B$19,0,CS36-CY36)</f>
        <v>56573075.537091</v>
      </c>
      <c r="DA36" s="0" t="n">
        <f aca="false">IF(CT36-CX36&lt;Inputs!$B$19,0,CT36-CX36)</f>
        <v>40000000</v>
      </c>
      <c r="DB36" s="0" t="n">
        <f aca="false">IF(CU36-CW36&lt;Inputs!$B$19,0,CU36-CW36)</f>
        <v>30000000</v>
      </c>
      <c r="DC36" s="0" t="n">
        <f aca="false">N36-CO36</f>
        <v>0</v>
      </c>
      <c r="DD36" s="0" t="n">
        <f aca="false">O36-CP36</f>
        <v>0</v>
      </c>
      <c r="DE36" s="0" t="n">
        <f aca="false">P36-CQ36</f>
        <v>0</v>
      </c>
      <c r="DF36" s="0" t="n">
        <f aca="false">Q36-CR36</f>
        <v>0</v>
      </c>
      <c r="DG36" s="0" t="n">
        <f aca="false">IF(CZ36+DA36+DB36&lt;=Inputs!$B$19,1,0)</f>
        <v>0</v>
      </c>
      <c r="DH36" s="0" t="n">
        <f aca="false">DG36*CN36</f>
        <v>0</v>
      </c>
      <c r="DI36" s="0" t="n">
        <f aca="false">DG36*(AS36+DH36)</f>
        <v>0</v>
      </c>
      <c r="DJ36" s="0" t="n">
        <f aca="false">DG36*MIN(DC36,DI36)</f>
        <v>0</v>
      </c>
      <c r="DK36" s="0" t="n">
        <f aca="false">DG36*MIN(DD36,DI36-DJ36)</f>
        <v>0</v>
      </c>
      <c r="DL36" s="0" t="n">
        <f aca="false">DG36*MIN(DE36,DI36-DJ36-DK36)</f>
        <v>0</v>
      </c>
      <c r="DM36" s="0" t="n">
        <f aca="false">DG36*MIN(DF36,DI36-DJ36-DK36-DL36)</f>
        <v>0</v>
      </c>
      <c r="DN36" s="0" t="n">
        <f aca="false">DJ36+DK36+DL36+DM36</f>
        <v>0</v>
      </c>
      <c r="DO36" s="0" t="n">
        <f aca="false">CN36-DH36</f>
        <v>3000000</v>
      </c>
      <c r="DP36" s="0" t="n">
        <f aca="false">DC36-DJ36</f>
        <v>0</v>
      </c>
      <c r="DQ36" s="0" t="n">
        <f aca="false">DD36-DK36</f>
        <v>0</v>
      </c>
      <c r="DR36" s="0" t="n">
        <f aca="false">DE36-DL36</f>
        <v>0</v>
      </c>
      <c r="DS36" s="0" t="n">
        <f aca="false">DF36-DM36</f>
        <v>0</v>
      </c>
      <c r="DT36" s="0" t="n">
        <f aca="false">CO36+DJ36</f>
        <v>80407.6609392447</v>
      </c>
      <c r="DU36" s="0" t="n">
        <f aca="false">CP36+DK36</f>
        <v>243726.694349609</v>
      </c>
      <c r="DV36" s="0" t="n">
        <f aca="false">AP36+BL36+BR36+BX36+CC36</f>
        <v>6479353.36596188</v>
      </c>
      <c r="DW36" s="0" t="n">
        <f aca="false">CQ36+DL36</f>
        <v>192951.766652915</v>
      </c>
      <c r="DX36" s="0" t="n">
        <f aca="false">AQ36+BM36+BS36+BY36+CD36</f>
        <v>0</v>
      </c>
      <c r="DY36" s="0" t="n">
        <f aca="false">CR36+DM36</f>
        <v>187500</v>
      </c>
      <c r="DZ36" s="0" t="n">
        <f aca="false">AR36+BN36+BT36+BZ36+CE36</f>
        <v>0</v>
      </c>
      <c r="EA36" s="0" t="n">
        <f aca="false">DI36-DN36</f>
        <v>0</v>
      </c>
      <c r="EB36" s="0" t="n">
        <f aca="false">CH36+EA36</f>
        <v>504797.276194347</v>
      </c>
      <c r="EC36" s="0" t="n">
        <f aca="false">R36-I36-MAX(-M36,0)-J36-K36-L36</f>
        <v>504797.276194347</v>
      </c>
      <c r="ED36" s="0" t="n">
        <f aca="false">R36+S36+CM36+DH36-CG36-DT36-DU36-DW36-DY36-DV36-DX36-DZ36-EB36</f>
        <v>0</v>
      </c>
      <c r="EE36" s="0" t="n">
        <f aca="false">IF(AND(EB36&gt;0.000001,DP36+DQ36+DR36+DS36&gt;0.000001),1,0)</f>
        <v>0</v>
      </c>
    </row>
    <row r="37" customFormat="false" ht="15" hidden="false" customHeight="false" outlineLevel="0" collapsed="false">
      <c r="A37" s="0" t="n">
        <f aca="false">ROW()-5</f>
        <v>32</v>
      </c>
      <c r="B37" s="0" t="n">
        <f aca="false">Inputs!$B$11+(Inputs!$B$12-Inputs!$B$11)*(1-EXP(-A37/Inputs!$B$13))+Inputs!$B$8</f>
        <v>0.0352677699502151</v>
      </c>
      <c r="C37" s="0" t="n">
        <f aca="false">CZ36</f>
        <v>56573075.537091</v>
      </c>
      <c r="D37" s="0" t="n">
        <f aca="false">DA36</f>
        <v>40000000</v>
      </c>
      <c r="E37" s="0" t="n">
        <f aca="false">DB36</f>
        <v>30000000</v>
      </c>
      <c r="F37" s="0" t="n">
        <f aca="false">IF(Inputs!$B$22=1,B37+Inputs!$B$23,Inputs!$B$23)/12</f>
        <v>0.00385564749585126</v>
      </c>
      <c r="G37" s="0" t="n">
        <f aca="false">IF(Inputs!$B$27=1,B37+Inputs!$B$28,Inputs!$B$28)/12</f>
        <v>0.00481398082918459</v>
      </c>
      <c r="H37" s="0" t="n">
        <f aca="false">IF(Inputs!$B$32=1,B37+Inputs!$B$33,Inputs!$B$33)/12</f>
        <v>0.00625</v>
      </c>
      <c r="I37" s="0" t="n">
        <f aca="false">Pool!BT37*Inputs!$B$14/12</f>
        <v>76957.5717114327</v>
      </c>
      <c r="J37" s="0" t="n">
        <f aca="false">C37*F37</f>
        <v>218125.837027189</v>
      </c>
      <c r="K37" s="0" t="n">
        <f aca="false">D37*G37</f>
        <v>192559.233167384</v>
      </c>
      <c r="L37" s="0" t="n">
        <f aca="false">E37*H37</f>
        <v>187500</v>
      </c>
      <c r="M37" s="0" t="n">
        <f aca="false">Inputs!$B$17*(C37*Inputs!$B$22+D37*Inputs!$B$27+E37*Inputs!$B$32)*(B37-Inputs!$B$18)/12</f>
        <v>-0</v>
      </c>
      <c r="N37" s="0" t="n">
        <f aca="false">DP36+I37+MAX(-M37,0)</f>
        <v>76957.5717114327</v>
      </c>
      <c r="O37" s="0" t="n">
        <f aca="false">DQ36+J37</f>
        <v>218125.837027189</v>
      </c>
      <c r="P37" s="0" t="n">
        <f aca="false">DR36+K37</f>
        <v>192559.233167384</v>
      </c>
      <c r="Q37" s="0" t="n">
        <f aca="false">DS36+L37</f>
        <v>187500</v>
      </c>
      <c r="R37" s="0" t="n">
        <f aca="false">Pool!BV37+MAX(M37,0)</f>
        <v>1160444.4017233</v>
      </c>
      <c r="S37" s="0" t="n">
        <f aca="false">Pool!BW37+Pool!BX37+Pool!BZ37</f>
        <v>6391624.92054126</v>
      </c>
      <c r="T37" s="0" t="n">
        <f aca="false">MAX(T36,BG36)</f>
        <v>1</v>
      </c>
      <c r="U37" s="0" t="n">
        <f aca="false">MIN(C37,S37)</f>
        <v>6391624.92054126</v>
      </c>
      <c r="V37" s="0" t="n">
        <f aca="false">MIN(D37,S37-U37)</f>
        <v>0</v>
      </c>
      <c r="W37" s="0" t="n">
        <f aca="false">MIN(E37,S37-U37-V37)</f>
        <v>0</v>
      </c>
      <c r="X37" s="0" t="n">
        <f aca="false">IF(C37-(0)&gt;Inputs!$B$19,1,0)</f>
        <v>1</v>
      </c>
      <c r="Y37" s="0" t="n">
        <f aca="false">IF(D37-(0)&gt;Inputs!$B$19,1,0)</f>
        <v>1</v>
      </c>
      <c r="Z37" s="0" t="n">
        <f aca="false">IF(E37-(0)&gt;Inputs!$B$19,1,0)</f>
        <v>1</v>
      </c>
      <c r="AA37" s="0" t="n">
        <f aca="false">IF((X37*C37+Y37*D37+Z37*E37)&gt;0,MIN(C37-(0),S37*X37*C37/(X37*C37+Y37*D37+Z37*E37)),0)</f>
        <v>2856799.34614983</v>
      </c>
      <c r="AB37" s="0" t="n">
        <f aca="false">IF((X37*C37+Y37*D37+Z37*E37)&gt;0,MIN(D37-(0),S37*Y37*D37/(X37*C37+Y37*D37+Z37*E37)),0)</f>
        <v>2019900.32822368</v>
      </c>
      <c r="AC37" s="0" t="n">
        <f aca="false">IF((X37*C37+Y37*D37+Z37*E37)&gt;0,MIN(E37-(0),S37*Z37*E37/(X37*C37+Y37*D37+Z37*E37)),0)</f>
        <v>1514925.24616776</v>
      </c>
      <c r="AD37" s="0" t="n">
        <f aca="false">IF(C37-(AA37)&gt;Inputs!$B$19,1,0)</f>
        <v>1</v>
      </c>
      <c r="AE37" s="0" t="n">
        <f aca="false">IF(D37-(AB37)&gt;Inputs!$B$19,1,0)</f>
        <v>1</v>
      </c>
      <c r="AF37" s="0" t="n">
        <f aca="false">IF(E37-(AC37)&gt;Inputs!$B$19,1,0)</f>
        <v>1</v>
      </c>
      <c r="AG37" s="0" t="n">
        <f aca="false">IF((AD37*C37+AE37*D37+AF37*E37)&gt;0,MIN(C37-(AA37),(S37-(AA37+AB37+AC37))*AD37*C37/(AD37*C37+AE37*D37+AF37*E37)),0)</f>
        <v>0</v>
      </c>
      <c r="AH37" s="0" t="n">
        <f aca="false">IF((AD37*C37+AE37*D37+AF37*E37)&gt;0,MIN(D37-(AB37),(S37-(AA37+AB37+AC37))*AE37*D37/(AD37*C37+AE37*D37+AF37*E37)),0)</f>
        <v>0</v>
      </c>
      <c r="AI37" s="0" t="n">
        <f aca="false">IF((AD37*C37+AE37*D37+AF37*E37)&gt;0,MIN(E37-(AC37),(S37-(AA37+AB37+AC37))*AF37*E37/(AD37*C37+AE37*D37+AF37*E37)),0)</f>
        <v>0</v>
      </c>
      <c r="AJ37" s="0" t="n">
        <f aca="false">IF(C37-(AA37+AG37)&gt;Inputs!$B$19,1,0)</f>
        <v>1</v>
      </c>
      <c r="AK37" s="0" t="n">
        <f aca="false">IF(D37-(AB37+AH37)&gt;Inputs!$B$19,1,0)</f>
        <v>1</v>
      </c>
      <c r="AL37" s="0" t="n">
        <f aca="false">IF(E37-(AC37+AI37)&gt;Inputs!$B$19,1,0)</f>
        <v>1</v>
      </c>
      <c r="AM37" s="0" t="n">
        <f aca="false">IF((AJ37*C37+AK37*D37+AL37*E37)&gt;0,MIN(C37-(AA37+AG37),(S37-(AA37+AB37+AC37+AG37+AH37+AI37))*AJ37*C37/(AJ37*C37+AK37*D37+AL37*E37)),0)</f>
        <v>0</v>
      </c>
      <c r="AN37" s="0" t="n">
        <f aca="false">IF((AJ37*C37+AK37*D37+AL37*E37)&gt;0,MIN(D37-(AB37+AH37),(S37-(AA37+AB37+AC37+AG37+AH37+AI37))*AK37*D37/(AJ37*C37+AK37*D37+AL37*E37)),0)</f>
        <v>0</v>
      </c>
      <c r="AO37" s="0" t="n">
        <f aca="false">IF((AJ37*C37+AK37*D37+AL37*E37)&gt;0,MIN(E37-(AC37+AI37),(S37-(AA37+AB37+AC37+AG37+AH37+AI37))*AL37*E37/(AJ37*C37+AK37*D37+AL37*E37)),0)</f>
        <v>0</v>
      </c>
      <c r="AP37" s="0" t="n">
        <f aca="false">IF(T37=1,U37,AA37+AG37+AM37)</f>
        <v>6391624.92054126</v>
      </c>
      <c r="AQ37" s="0" t="n">
        <f aca="false">IF(T37=1,V37,AB37+AH37+AN37)</f>
        <v>0</v>
      </c>
      <c r="AR37" s="0" t="n">
        <f aca="false">IF(T37=1,W37,AC37+AI37+AO37)</f>
        <v>0</v>
      </c>
      <c r="AS37" s="0" t="n">
        <f aca="false">S37-AP37-AQ37-AR37</f>
        <v>0</v>
      </c>
      <c r="AT37" s="0" t="n">
        <f aca="false">C37-AP37</f>
        <v>50181450.6165498</v>
      </c>
      <c r="AU37" s="0" t="n">
        <f aca="false">D37-AQ37</f>
        <v>40000000</v>
      </c>
      <c r="AV37" s="0" t="n">
        <f aca="false">E37-AR37</f>
        <v>30000000</v>
      </c>
      <c r="AW37" s="0" t="n">
        <f aca="false">Pool!CB37</f>
        <v>141598361.782462</v>
      </c>
      <c r="AX37" s="0" t="n">
        <f aca="false">IF((AT37)&gt;Inputs!$B$19,AW37/(AT37),1000000000)</f>
        <v>2.82172715301625</v>
      </c>
      <c r="AY37" s="0" t="n">
        <f aca="false">IF((J37)&gt;0.000000001,(R37-I37-MAX(-M37,0))/(J37),1000000000)</f>
        <v>4.96725580416599</v>
      </c>
      <c r="AZ37" s="0" t="n">
        <f aca="false">IF(OR(AX37&lt;Inputs!$B$24,AY37&lt;Inputs!$B$25),1,0)</f>
        <v>0</v>
      </c>
      <c r="BA37" s="0" t="n">
        <f aca="false">IF((AT37+AU37)&gt;Inputs!$B$19,AW37/(AT37+AU37),1000000000)</f>
        <v>1.57014952425789</v>
      </c>
      <c r="BB37" s="0" t="n">
        <f aca="false">IF((J37+K37)&gt;0.000000001,(R37-I37-MAX(-M37,0))/(J37+K37),1000000000)</f>
        <v>2.63824255773052</v>
      </c>
      <c r="BC37" s="0" t="n">
        <f aca="false">IF(OR(BA37&lt;Inputs!$B$29,BB37&lt;Inputs!$B$30),1,0)</f>
        <v>0</v>
      </c>
      <c r="BD37" s="0" t="n">
        <f aca="false">IF((AT37+AU37+AV37)&gt;Inputs!$B$19,AW37/(AT37+AU37+AV37),1000000000)</f>
        <v>1.17820479829491</v>
      </c>
      <c r="BE37" s="0" t="n">
        <f aca="false">IF((J37+K37+L37)&gt;0.000000001,(R37-I37-MAX(-M37,0))/(J37+K37+L37),1000000000)</f>
        <v>1.81129032468069</v>
      </c>
      <c r="BF37" s="0" t="n">
        <f aca="false">IF(OR(BD37&lt;Inputs!$B$34,BE37&lt;Inputs!$B$35),1,0)</f>
        <v>0</v>
      </c>
      <c r="BG37" s="0" t="n">
        <f aca="false">MAX(AZ37,BC37,BF37)</f>
        <v>0</v>
      </c>
      <c r="BH37" s="0" t="n">
        <f aca="false">MIN(R37,N37)</f>
        <v>76957.5717114327</v>
      </c>
      <c r="BI37" s="0" t="n">
        <f aca="false">R37-BH37</f>
        <v>1083486.83001187</v>
      </c>
      <c r="BJ37" s="0" t="n">
        <f aca="false">MIN(BI37,O37)</f>
        <v>218125.837027189</v>
      </c>
      <c r="BK37" s="0" t="n">
        <f aca="false">BI37-BJ37</f>
        <v>865360.992984681</v>
      </c>
      <c r="BL37" s="0" t="n">
        <f aca="false">AZ37*MIN(AT37,BK37)</f>
        <v>0</v>
      </c>
      <c r="BM37" s="0" t="n">
        <f aca="false">AZ37*MIN(AU37,BK37-BL37)</f>
        <v>0</v>
      </c>
      <c r="BN37" s="0" t="n">
        <f aca="false">AZ37*MIN(AV37,BK37-BL37-BM37)</f>
        <v>0</v>
      </c>
      <c r="BO37" s="0" t="n">
        <f aca="false">BK37-BL37-BM37-BN37</f>
        <v>865360.992984681</v>
      </c>
      <c r="BP37" s="0" t="n">
        <f aca="false">MIN(BO37,P37)</f>
        <v>192559.233167384</v>
      </c>
      <c r="BQ37" s="0" t="n">
        <f aca="false">BO37-BP37</f>
        <v>672801.759817297</v>
      </c>
      <c r="BR37" s="0" t="n">
        <f aca="false">BC37*MIN((AT37-BL37),BQ37)</f>
        <v>0</v>
      </c>
      <c r="BS37" s="0" t="n">
        <f aca="false">BC37*MIN((AU37-BM37),BQ37-BR37)</f>
        <v>0</v>
      </c>
      <c r="BT37" s="0" t="n">
        <f aca="false">BC37*MIN((AV37-BN37),BQ37-BR37-BS37)</f>
        <v>0</v>
      </c>
      <c r="BU37" s="0" t="n">
        <f aca="false">BQ37-BR37-BS37-BT37</f>
        <v>672801.759817297</v>
      </c>
      <c r="BV37" s="0" t="n">
        <f aca="false">MIN(BU37,Q37)</f>
        <v>187500</v>
      </c>
      <c r="BW37" s="0" t="n">
        <f aca="false">BU37-BV37</f>
        <v>485301.759817297</v>
      </c>
      <c r="BX37" s="0" t="n">
        <f aca="false">BF37*MIN((AT37-BL37-BR37),BW37)</f>
        <v>0</v>
      </c>
      <c r="BY37" s="0" t="n">
        <f aca="false">BF37*MIN((AU37-BM37-BS37),BW37-BX37)</f>
        <v>0</v>
      </c>
      <c r="BZ37" s="0" t="n">
        <f aca="false">BF37*MIN((AV37-BN37-BT37),BW37-BX37-BY37)</f>
        <v>0</v>
      </c>
      <c r="CA37" s="0" t="n">
        <f aca="false">BW37-BX37-BY37-BZ37</f>
        <v>485301.759817297</v>
      </c>
      <c r="CB37" s="0" t="n">
        <f aca="false">MAX(0,AT37+AU37+AV37-BL37-BM37-BN37-BR37-BS37-BT37-BX37-BY37-BZ37-AW37)</f>
        <v>0</v>
      </c>
      <c r="CC37" s="0" t="n">
        <f aca="false">1*MIN((AT37-BL37-BR37-BX37),MIN(CA37,CB37))</f>
        <v>0</v>
      </c>
      <c r="CD37" s="0" t="n">
        <f aca="false">1*MIN((AU37-BM37-BS37-BY37),MIN(CA37,CB37)-CC37)</f>
        <v>0</v>
      </c>
      <c r="CE37" s="0" t="n">
        <f aca="false">1*MIN((AV37-BN37-BT37-BZ37),MIN(CA37,CB37)-CC37-CD37)</f>
        <v>0</v>
      </c>
      <c r="CF37" s="0" t="n">
        <f aca="false">CA37-CC37-CD37-CE37</f>
        <v>485301.759817297</v>
      </c>
      <c r="CG37" s="0" t="n">
        <f aca="false">IF(C37+D37+E37&gt;Inputs!$B$19,MIN(CF37,MAX(0,Inputs!$B$15-DO36)),0)</f>
        <v>0</v>
      </c>
      <c r="CH37" s="0" t="n">
        <f aca="false">CF37-CG37</f>
        <v>485301.759817297</v>
      </c>
      <c r="CI37" s="0" t="n">
        <f aca="false">DO36+CG37</f>
        <v>3000000</v>
      </c>
      <c r="CJ37" s="0" t="n">
        <f aca="false">MIN(MAX(N37-BH37,0),CI37)</f>
        <v>0</v>
      </c>
      <c r="CK37" s="0" t="n">
        <f aca="false">MIN(MAX(O37-BJ37,0),CI37-CJ37)</f>
        <v>0</v>
      </c>
      <c r="CL37" s="0" t="n">
        <f aca="false">MIN(MAX(P37-BP37,0),CI37-CJ37-CK37)</f>
        <v>0</v>
      </c>
      <c r="CM37" s="0" t="n">
        <f aca="false">CJ37+CK37+CL37</f>
        <v>0</v>
      </c>
      <c r="CN37" s="0" t="n">
        <f aca="false">CI37-CM37</f>
        <v>3000000</v>
      </c>
      <c r="CO37" s="0" t="n">
        <f aca="false">BH37+CJ37</f>
        <v>76957.5717114327</v>
      </c>
      <c r="CP37" s="0" t="n">
        <f aca="false">BJ37+CK37</f>
        <v>218125.837027189</v>
      </c>
      <c r="CQ37" s="0" t="n">
        <f aca="false">BP37+CL37</f>
        <v>192559.233167384</v>
      </c>
      <c r="CR37" s="0" t="n">
        <f aca="false">BV37</f>
        <v>187500</v>
      </c>
      <c r="CS37" s="0" t="n">
        <f aca="false">AT37-BL37-BR37-BX37-CC37</f>
        <v>50181450.6165498</v>
      </c>
      <c r="CT37" s="0" t="n">
        <f aca="false">AU37-BM37-BS37-BY37-CD37</f>
        <v>40000000</v>
      </c>
      <c r="CU37" s="0" t="n">
        <f aca="false">AV37-BN37-BT37-BZ37-CE37</f>
        <v>30000000</v>
      </c>
      <c r="CV37" s="0" t="n">
        <f aca="false">MAX(0,CS37+CT37+CU37-AW37)</f>
        <v>0</v>
      </c>
      <c r="CW37" s="0" t="n">
        <f aca="false">MIN(CU37,CV37)</f>
        <v>0</v>
      </c>
      <c r="CX37" s="0" t="n">
        <f aca="false">MIN(CT37,CV37-CW37)</f>
        <v>0</v>
      </c>
      <c r="CY37" s="0" t="n">
        <f aca="false">MIN(CS37,CV37-CW37-CX37)</f>
        <v>0</v>
      </c>
      <c r="CZ37" s="0" t="n">
        <f aca="false">IF(CS37-CY37&lt;Inputs!$B$19,0,CS37-CY37)</f>
        <v>50181450.6165498</v>
      </c>
      <c r="DA37" s="0" t="n">
        <f aca="false">IF(CT37-CX37&lt;Inputs!$B$19,0,CT37-CX37)</f>
        <v>40000000</v>
      </c>
      <c r="DB37" s="0" t="n">
        <f aca="false">IF(CU37-CW37&lt;Inputs!$B$19,0,CU37-CW37)</f>
        <v>30000000</v>
      </c>
      <c r="DC37" s="0" t="n">
        <f aca="false">N37-CO37</f>
        <v>0</v>
      </c>
      <c r="DD37" s="0" t="n">
        <f aca="false">O37-CP37</f>
        <v>0</v>
      </c>
      <c r="DE37" s="0" t="n">
        <f aca="false">P37-CQ37</f>
        <v>0</v>
      </c>
      <c r="DF37" s="0" t="n">
        <f aca="false">Q37-CR37</f>
        <v>0</v>
      </c>
      <c r="DG37" s="0" t="n">
        <f aca="false">IF(CZ37+DA37+DB37&lt;=Inputs!$B$19,1,0)</f>
        <v>0</v>
      </c>
      <c r="DH37" s="0" t="n">
        <f aca="false">DG37*CN37</f>
        <v>0</v>
      </c>
      <c r="DI37" s="0" t="n">
        <f aca="false">DG37*(AS37+DH37)</f>
        <v>0</v>
      </c>
      <c r="DJ37" s="0" t="n">
        <f aca="false">DG37*MIN(DC37,DI37)</f>
        <v>0</v>
      </c>
      <c r="DK37" s="0" t="n">
        <f aca="false">DG37*MIN(DD37,DI37-DJ37)</f>
        <v>0</v>
      </c>
      <c r="DL37" s="0" t="n">
        <f aca="false">DG37*MIN(DE37,DI37-DJ37-DK37)</f>
        <v>0</v>
      </c>
      <c r="DM37" s="0" t="n">
        <f aca="false">DG37*MIN(DF37,DI37-DJ37-DK37-DL37)</f>
        <v>0</v>
      </c>
      <c r="DN37" s="0" t="n">
        <f aca="false">DJ37+DK37+DL37+DM37</f>
        <v>0</v>
      </c>
      <c r="DO37" s="0" t="n">
        <f aca="false">CN37-DH37</f>
        <v>3000000</v>
      </c>
      <c r="DP37" s="0" t="n">
        <f aca="false">DC37-DJ37</f>
        <v>0</v>
      </c>
      <c r="DQ37" s="0" t="n">
        <f aca="false">DD37-DK37</f>
        <v>0</v>
      </c>
      <c r="DR37" s="0" t="n">
        <f aca="false">DE37-DL37</f>
        <v>0</v>
      </c>
      <c r="DS37" s="0" t="n">
        <f aca="false">DF37-DM37</f>
        <v>0</v>
      </c>
      <c r="DT37" s="0" t="n">
        <f aca="false">CO37+DJ37</f>
        <v>76957.5717114327</v>
      </c>
      <c r="DU37" s="0" t="n">
        <f aca="false">CP37+DK37</f>
        <v>218125.837027189</v>
      </c>
      <c r="DV37" s="0" t="n">
        <f aca="false">AP37+BL37+BR37+BX37+CC37</f>
        <v>6391624.92054126</v>
      </c>
      <c r="DW37" s="0" t="n">
        <f aca="false">CQ37+DL37</f>
        <v>192559.233167384</v>
      </c>
      <c r="DX37" s="0" t="n">
        <f aca="false">AQ37+BM37+BS37+BY37+CD37</f>
        <v>0</v>
      </c>
      <c r="DY37" s="0" t="n">
        <f aca="false">CR37+DM37</f>
        <v>187500</v>
      </c>
      <c r="DZ37" s="0" t="n">
        <f aca="false">AR37+BN37+BT37+BZ37+CE37</f>
        <v>0</v>
      </c>
      <c r="EA37" s="0" t="n">
        <f aca="false">DI37-DN37</f>
        <v>0</v>
      </c>
      <c r="EB37" s="0" t="n">
        <f aca="false">CH37+EA37</f>
        <v>485301.759817297</v>
      </c>
      <c r="EC37" s="0" t="n">
        <f aca="false">R37-I37-MAX(-M37,0)-J37-K37-L37</f>
        <v>485301.759817297</v>
      </c>
      <c r="ED37" s="0" t="n">
        <f aca="false">R37+S37+CM37+DH37-CG37-DT37-DU37-DW37-DY37-DV37-DX37-DZ37-EB37</f>
        <v>0</v>
      </c>
      <c r="EE37" s="0" t="n">
        <f aca="false">IF(AND(EB37&gt;0.000001,DP37+DQ37+DR37+DS37&gt;0.000001),1,0)</f>
        <v>0</v>
      </c>
    </row>
    <row r="38" customFormat="false" ht="15" hidden="false" customHeight="false" outlineLevel="0" collapsed="false">
      <c r="A38" s="0" t="n">
        <f aca="false">ROW()-5</f>
        <v>33</v>
      </c>
      <c r="B38" s="0" t="n">
        <f aca="false">Inputs!$B$11+(Inputs!$B$12-Inputs!$B$11)*(1-EXP(-A38/Inputs!$B$13))+Inputs!$B$8</f>
        <v>0.0351548157559498</v>
      </c>
      <c r="C38" s="0" t="n">
        <f aca="false">CZ37</f>
        <v>50181450.6165498</v>
      </c>
      <c r="D38" s="0" t="n">
        <f aca="false">DA37</f>
        <v>40000000</v>
      </c>
      <c r="E38" s="0" t="n">
        <f aca="false">DB37</f>
        <v>30000000</v>
      </c>
      <c r="F38" s="0" t="n">
        <f aca="false">IF(Inputs!$B$22=1,B38+Inputs!$B$23,Inputs!$B$23)/12</f>
        <v>0.00384623464632915</v>
      </c>
      <c r="G38" s="0" t="n">
        <f aca="false">IF(Inputs!$B$27=1,B38+Inputs!$B$28,Inputs!$B$28)/12</f>
        <v>0.00480456797966249</v>
      </c>
      <c r="H38" s="0" t="n">
        <f aca="false">IF(Inputs!$B$32=1,B38+Inputs!$B$33,Inputs!$B$33)/12</f>
        <v>0.00625</v>
      </c>
      <c r="I38" s="0" t="n">
        <f aca="false">Pool!BT38*Inputs!$B$14/12</f>
        <v>73556.5707368643</v>
      </c>
      <c r="J38" s="0" t="n">
        <f aca="false">C38*F38</f>
        <v>193009.633964429</v>
      </c>
      <c r="K38" s="0" t="n">
        <f aca="false">D38*G38</f>
        <v>192182.719186499</v>
      </c>
      <c r="L38" s="0" t="n">
        <f aca="false">E38*H38</f>
        <v>187500</v>
      </c>
      <c r="M38" s="0" t="n">
        <f aca="false">Inputs!$B$17*(C38*Inputs!$B$22+D38*Inputs!$B$27+E38*Inputs!$B$32)*(B38-Inputs!$B$18)/12</f>
        <v>-0</v>
      </c>
      <c r="N38" s="0" t="n">
        <f aca="false">DP37+I38+MAX(-M38,0)</f>
        <v>73556.5707368643</v>
      </c>
      <c r="O38" s="0" t="n">
        <f aca="false">DQ37+J38</f>
        <v>193009.633964429</v>
      </c>
      <c r="P38" s="0" t="n">
        <f aca="false">DR37+K38</f>
        <v>192182.719186499</v>
      </c>
      <c r="Q38" s="0" t="n">
        <f aca="false">DS37+L38</f>
        <v>187500</v>
      </c>
      <c r="R38" s="0" t="n">
        <f aca="false">Pool!BV38+MAX(M38,0)</f>
        <v>1112193.84110589</v>
      </c>
      <c r="S38" s="0" t="n">
        <f aca="false">Pool!BW38+Pool!BX38+Pool!BZ38</f>
        <v>6304948.25328137</v>
      </c>
      <c r="T38" s="0" t="n">
        <f aca="false">MAX(T37,BG37)</f>
        <v>1</v>
      </c>
      <c r="U38" s="0" t="n">
        <f aca="false">MIN(C38,S38)</f>
        <v>6304948.25328137</v>
      </c>
      <c r="V38" s="0" t="n">
        <f aca="false">MIN(D38,S38-U38)</f>
        <v>0</v>
      </c>
      <c r="W38" s="0" t="n">
        <f aca="false">MIN(E38,S38-U38-V38)</f>
        <v>0</v>
      </c>
      <c r="X38" s="0" t="n">
        <f aca="false">IF(C38-(0)&gt;Inputs!$B$19,1,0)</f>
        <v>1</v>
      </c>
      <c r="Y38" s="0" t="n">
        <f aca="false">IF(D38-(0)&gt;Inputs!$B$19,1,0)</f>
        <v>1</v>
      </c>
      <c r="Z38" s="0" t="n">
        <f aca="false">IF(E38-(0)&gt;Inputs!$B$19,1,0)</f>
        <v>1</v>
      </c>
      <c r="AA38" s="0" t="n">
        <f aca="false">IF((X38*C38+Y38*D38+Z38*E38)&gt;0,MIN(C38-(0),S38*X38*C38/(X38*C38+Y38*D38+Z38*E38)),0)</f>
        <v>2632614.66548126</v>
      </c>
      <c r="AB38" s="0" t="n">
        <f aca="false">IF((X38*C38+Y38*D38+Z38*E38)&gt;0,MIN(D38-(0),S38*Y38*D38/(X38*C38+Y38*D38+Z38*E38)),0)</f>
        <v>2098476.33588578</v>
      </c>
      <c r="AC38" s="0" t="n">
        <f aca="false">IF((X38*C38+Y38*D38+Z38*E38)&gt;0,MIN(E38-(0),S38*Z38*E38/(X38*C38+Y38*D38+Z38*E38)),0)</f>
        <v>1573857.25191433</v>
      </c>
      <c r="AD38" s="0" t="n">
        <f aca="false">IF(C38-(AA38)&gt;Inputs!$B$19,1,0)</f>
        <v>1</v>
      </c>
      <c r="AE38" s="0" t="n">
        <f aca="false">IF(D38-(AB38)&gt;Inputs!$B$19,1,0)</f>
        <v>1</v>
      </c>
      <c r="AF38" s="0" t="n">
        <f aca="false">IF(E38-(AC38)&gt;Inputs!$B$19,1,0)</f>
        <v>1</v>
      </c>
      <c r="AG38" s="0" t="n">
        <f aca="false">IF((AD38*C38+AE38*D38+AF38*E38)&gt;0,MIN(C38-(AA38),(S38-(AA38+AB38+AC38))*AD38*C38/(AD38*C38+AE38*D38+AF38*E38)),0)</f>
        <v>0</v>
      </c>
      <c r="AH38" s="0" t="n">
        <f aca="false">IF((AD38*C38+AE38*D38+AF38*E38)&gt;0,MIN(D38-(AB38),(S38-(AA38+AB38+AC38))*AE38*D38/(AD38*C38+AE38*D38+AF38*E38)),0)</f>
        <v>0</v>
      </c>
      <c r="AI38" s="0" t="n">
        <f aca="false">IF((AD38*C38+AE38*D38+AF38*E38)&gt;0,MIN(E38-(AC38),(S38-(AA38+AB38+AC38))*AF38*E38/(AD38*C38+AE38*D38+AF38*E38)),0)</f>
        <v>0</v>
      </c>
      <c r="AJ38" s="0" t="n">
        <f aca="false">IF(C38-(AA38+AG38)&gt;Inputs!$B$19,1,0)</f>
        <v>1</v>
      </c>
      <c r="AK38" s="0" t="n">
        <f aca="false">IF(D38-(AB38+AH38)&gt;Inputs!$B$19,1,0)</f>
        <v>1</v>
      </c>
      <c r="AL38" s="0" t="n">
        <f aca="false">IF(E38-(AC38+AI38)&gt;Inputs!$B$19,1,0)</f>
        <v>1</v>
      </c>
      <c r="AM38" s="0" t="n">
        <f aca="false">IF((AJ38*C38+AK38*D38+AL38*E38)&gt;0,MIN(C38-(AA38+AG38),(S38-(AA38+AB38+AC38+AG38+AH38+AI38))*AJ38*C38/(AJ38*C38+AK38*D38+AL38*E38)),0)</f>
        <v>0</v>
      </c>
      <c r="AN38" s="0" t="n">
        <f aca="false">IF((AJ38*C38+AK38*D38+AL38*E38)&gt;0,MIN(D38-(AB38+AH38),(S38-(AA38+AB38+AC38+AG38+AH38+AI38))*AK38*D38/(AJ38*C38+AK38*D38+AL38*E38)),0)</f>
        <v>0</v>
      </c>
      <c r="AO38" s="0" t="n">
        <f aca="false">IF((AJ38*C38+AK38*D38+AL38*E38)&gt;0,MIN(E38-(AC38+AI38),(S38-(AA38+AB38+AC38+AG38+AH38+AI38))*AL38*E38/(AJ38*C38+AK38*D38+AL38*E38)),0)</f>
        <v>0</v>
      </c>
      <c r="AP38" s="0" t="n">
        <f aca="false">IF(T38=1,U38,AA38+AG38+AM38)</f>
        <v>6304948.25328137</v>
      </c>
      <c r="AQ38" s="0" t="n">
        <f aca="false">IF(T38=1,V38,AB38+AH38+AN38)</f>
        <v>0</v>
      </c>
      <c r="AR38" s="0" t="n">
        <f aca="false">IF(T38=1,W38,AC38+AI38+AO38)</f>
        <v>0</v>
      </c>
      <c r="AS38" s="0" t="n">
        <f aca="false">S38-AP38-AQ38-AR38</f>
        <v>0</v>
      </c>
      <c r="AT38" s="0" t="n">
        <f aca="false">C38-AP38</f>
        <v>43876502.3632684</v>
      </c>
      <c r="AU38" s="0" t="n">
        <f aca="false">D38-AQ38</f>
        <v>40000000</v>
      </c>
      <c r="AV38" s="0" t="n">
        <f aca="false">E38-AR38</f>
        <v>30000000</v>
      </c>
      <c r="AW38" s="0" t="n">
        <f aca="false">Pool!CB38</f>
        <v>135151341.542373</v>
      </c>
      <c r="AX38" s="0" t="n">
        <f aca="false">IF((AT38)&gt;Inputs!$B$19,AW38/(AT38),1000000000)</f>
        <v>3.08026698261884</v>
      </c>
      <c r="AY38" s="0" t="n">
        <f aca="false">IF((J38)&gt;0.000000001,(R38-I38-MAX(-M38,0))/(J38),1000000000)</f>
        <v>5.38127164450477</v>
      </c>
      <c r="AZ38" s="0" t="n">
        <f aca="false">IF(OR(AX38&lt;Inputs!$B$24,AY38&lt;Inputs!$B$25),1,0)</f>
        <v>0</v>
      </c>
      <c r="BA38" s="0" t="n">
        <f aca="false">IF((AT38+AU38)&gt;Inputs!$B$19,AW38/(AT38+AU38),1000000000)</f>
        <v>1.61131351134593</v>
      </c>
      <c r="BB38" s="0" t="n">
        <f aca="false">IF((J38+K38)&gt;0.000000001,(R38-I38-MAX(-M38,0))/(J38+K38),1000000000)</f>
        <v>2.69641196631456</v>
      </c>
      <c r="BC38" s="0" t="n">
        <f aca="false">IF(OR(BA38&lt;Inputs!$B$29,BB38&lt;Inputs!$B$30),1,0)</f>
        <v>0</v>
      </c>
      <c r="BD38" s="0" t="n">
        <f aca="false">IF((AT38+AU38+AV38)&gt;Inputs!$B$19,AW38/(AT38+AU38+AV38),1000000000)</f>
        <v>1.18682378486861</v>
      </c>
      <c r="BE38" s="0" t="n">
        <f aca="false">IF((J38+K38+L38)&gt;0.000000001,(R38-I38-MAX(-M38,0))/(J38+K38+L38),1000000000)</f>
        <v>1.81360422337489</v>
      </c>
      <c r="BF38" s="0" t="n">
        <f aca="false">IF(OR(BD38&lt;Inputs!$B$34,BE38&lt;Inputs!$B$35),1,0)</f>
        <v>0</v>
      </c>
      <c r="BG38" s="0" t="n">
        <f aca="false">MAX(AZ38,BC38,BF38)</f>
        <v>0</v>
      </c>
      <c r="BH38" s="0" t="n">
        <f aca="false">MIN(R38,N38)</f>
        <v>73556.5707368643</v>
      </c>
      <c r="BI38" s="0" t="n">
        <f aca="false">R38-BH38</f>
        <v>1038637.27036903</v>
      </c>
      <c r="BJ38" s="0" t="n">
        <f aca="false">MIN(BI38,O38)</f>
        <v>193009.633964429</v>
      </c>
      <c r="BK38" s="0" t="n">
        <f aca="false">BI38-BJ38</f>
        <v>845627.636404598</v>
      </c>
      <c r="BL38" s="0" t="n">
        <f aca="false">AZ38*MIN(AT38,BK38)</f>
        <v>0</v>
      </c>
      <c r="BM38" s="0" t="n">
        <f aca="false">AZ38*MIN(AU38,BK38-BL38)</f>
        <v>0</v>
      </c>
      <c r="BN38" s="0" t="n">
        <f aca="false">AZ38*MIN(AV38,BK38-BL38-BM38)</f>
        <v>0</v>
      </c>
      <c r="BO38" s="0" t="n">
        <f aca="false">BK38-BL38-BM38-BN38</f>
        <v>845627.636404598</v>
      </c>
      <c r="BP38" s="0" t="n">
        <f aca="false">MIN(BO38,P38)</f>
        <v>192182.719186499</v>
      </c>
      <c r="BQ38" s="0" t="n">
        <f aca="false">BO38-BP38</f>
        <v>653444.917218099</v>
      </c>
      <c r="BR38" s="0" t="n">
        <f aca="false">BC38*MIN((AT38-BL38),BQ38)</f>
        <v>0</v>
      </c>
      <c r="BS38" s="0" t="n">
        <f aca="false">BC38*MIN((AU38-BM38),BQ38-BR38)</f>
        <v>0</v>
      </c>
      <c r="BT38" s="0" t="n">
        <f aca="false">BC38*MIN((AV38-BN38),BQ38-BR38-BS38)</f>
        <v>0</v>
      </c>
      <c r="BU38" s="0" t="n">
        <f aca="false">BQ38-BR38-BS38-BT38</f>
        <v>653444.917218099</v>
      </c>
      <c r="BV38" s="0" t="n">
        <f aca="false">MIN(BU38,Q38)</f>
        <v>187500</v>
      </c>
      <c r="BW38" s="0" t="n">
        <f aca="false">BU38-BV38</f>
        <v>465944.917218099</v>
      </c>
      <c r="BX38" s="0" t="n">
        <f aca="false">BF38*MIN((AT38-BL38-BR38),BW38)</f>
        <v>0</v>
      </c>
      <c r="BY38" s="0" t="n">
        <f aca="false">BF38*MIN((AU38-BM38-BS38),BW38-BX38)</f>
        <v>0</v>
      </c>
      <c r="BZ38" s="0" t="n">
        <f aca="false">BF38*MIN((AV38-BN38-BT38),BW38-BX38-BY38)</f>
        <v>0</v>
      </c>
      <c r="CA38" s="0" t="n">
        <f aca="false">BW38-BX38-BY38-BZ38</f>
        <v>465944.917218099</v>
      </c>
      <c r="CB38" s="0" t="n">
        <f aca="false">MAX(0,AT38+AU38+AV38-BL38-BM38-BN38-BR38-BS38-BT38-BX38-BY38-BZ38-AW38)</f>
        <v>0</v>
      </c>
      <c r="CC38" s="0" t="n">
        <f aca="false">1*MIN((AT38-BL38-BR38-BX38),MIN(CA38,CB38))</f>
        <v>0</v>
      </c>
      <c r="CD38" s="0" t="n">
        <f aca="false">1*MIN((AU38-BM38-BS38-BY38),MIN(CA38,CB38)-CC38)</f>
        <v>0</v>
      </c>
      <c r="CE38" s="0" t="n">
        <f aca="false">1*MIN((AV38-BN38-BT38-BZ38),MIN(CA38,CB38)-CC38-CD38)</f>
        <v>0</v>
      </c>
      <c r="CF38" s="0" t="n">
        <f aca="false">CA38-CC38-CD38-CE38</f>
        <v>465944.917218099</v>
      </c>
      <c r="CG38" s="0" t="n">
        <f aca="false">IF(C38+D38+E38&gt;Inputs!$B$19,MIN(CF38,MAX(0,Inputs!$B$15-DO37)),0)</f>
        <v>0</v>
      </c>
      <c r="CH38" s="0" t="n">
        <f aca="false">CF38-CG38</f>
        <v>465944.917218099</v>
      </c>
      <c r="CI38" s="0" t="n">
        <f aca="false">DO37+CG38</f>
        <v>3000000</v>
      </c>
      <c r="CJ38" s="0" t="n">
        <f aca="false">MIN(MAX(N38-BH38,0),CI38)</f>
        <v>0</v>
      </c>
      <c r="CK38" s="0" t="n">
        <f aca="false">MIN(MAX(O38-BJ38,0),CI38-CJ38)</f>
        <v>0</v>
      </c>
      <c r="CL38" s="0" t="n">
        <f aca="false">MIN(MAX(P38-BP38,0),CI38-CJ38-CK38)</f>
        <v>0</v>
      </c>
      <c r="CM38" s="0" t="n">
        <f aca="false">CJ38+CK38+CL38</f>
        <v>0</v>
      </c>
      <c r="CN38" s="0" t="n">
        <f aca="false">CI38-CM38</f>
        <v>3000000</v>
      </c>
      <c r="CO38" s="0" t="n">
        <f aca="false">BH38+CJ38</f>
        <v>73556.5707368643</v>
      </c>
      <c r="CP38" s="0" t="n">
        <f aca="false">BJ38+CK38</f>
        <v>193009.633964429</v>
      </c>
      <c r="CQ38" s="0" t="n">
        <f aca="false">BP38+CL38</f>
        <v>192182.719186499</v>
      </c>
      <c r="CR38" s="0" t="n">
        <f aca="false">BV38</f>
        <v>187500</v>
      </c>
      <c r="CS38" s="0" t="n">
        <f aca="false">AT38-BL38-BR38-BX38-CC38</f>
        <v>43876502.3632684</v>
      </c>
      <c r="CT38" s="0" t="n">
        <f aca="false">AU38-BM38-BS38-BY38-CD38</f>
        <v>40000000</v>
      </c>
      <c r="CU38" s="0" t="n">
        <f aca="false">AV38-BN38-BT38-BZ38-CE38</f>
        <v>30000000</v>
      </c>
      <c r="CV38" s="0" t="n">
        <f aca="false">MAX(0,CS38+CT38+CU38-AW38)</f>
        <v>0</v>
      </c>
      <c r="CW38" s="0" t="n">
        <f aca="false">MIN(CU38,CV38)</f>
        <v>0</v>
      </c>
      <c r="CX38" s="0" t="n">
        <f aca="false">MIN(CT38,CV38-CW38)</f>
        <v>0</v>
      </c>
      <c r="CY38" s="0" t="n">
        <f aca="false">MIN(CS38,CV38-CW38-CX38)</f>
        <v>0</v>
      </c>
      <c r="CZ38" s="0" t="n">
        <f aca="false">IF(CS38-CY38&lt;Inputs!$B$19,0,CS38-CY38)</f>
        <v>43876502.3632684</v>
      </c>
      <c r="DA38" s="0" t="n">
        <f aca="false">IF(CT38-CX38&lt;Inputs!$B$19,0,CT38-CX38)</f>
        <v>40000000</v>
      </c>
      <c r="DB38" s="0" t="n">
        <f aca="false">IF(CU38-CW38&lt;Inputs!$B$19,0,CU38-CW38)</f>
        <v>30000000</v>
      </c>
      <c r="DC38" s="0" t="n">
        <f aca="false">N38-CO38</f>
        <v>0</v>
      </c>
      <c r="DD38" s="0" t="n">
        <f aca="false">O38-CP38</f>
        <v>0</v>
      </c>
      <c r="DE38" s="0" t="n">
        <f aca="false">P38-CQ38</f>
        <v>0</v>
      </c>
      <c r="DF38" s="0" t="n">
        <f aca="false">Q38-CR38</f>
        <v>0</v>
      </c>
      <c r="DG38" s="0" t="n">
        <f aca="false">IF(CZ38+DA38+DB38&lt;=Inputs!$B$19,1,0)</f>
        <v>0</v>
      </c>
      <c r="DH38" s="0" t="n">
        <f aca="false">DG38*CN38</f>
        <v>0</v>
      </c>
      <c r="DI38" s="0" t="n">
        <f aca="false">DG38*(AS38+DH38)</f>
        <v>0</v>
      </c>
      <c r="DJ38" s="0" t="n">
        <f aca="false">DG38*MIN(DC38,DI38)</f>
        <v>0</v>
      </c>
      <c r="DK38" s="0" t="n">
        <f aca="false">DG38*MIN(DD38,DI38-DJ38)</f>
        <v>0</v>
      </c>
      <c r="DL38" s="0" t="n">
        <f aca="false">DG38*MIN(DE38,DI38-DJ38-DK38)</f>
        <v>0</v>
      </c>
      <c r="DM38" s="0" t="n">
        <f aca="false">DG38*MIN(DF38,DI38-DJ38-DK38-DL38)</f>
        <v>0</v>
      </c>
      <c r="DN38" s="0" t="n">
        <f aca="false">DJ38+DK38+DL38+DM38</f>
        <v>0</v>
      </c>
      <c r="DO38" s="0" t="n">
        <f aca="false">CN38-DH38</f>
        <v>3000000</v>
      </c>
      <c r="DP38" s="0" t="n">
        <f aca="false">DC38-DJ38</f>
        <v>0</v>
      </c>
      <c r="DQ38" s="0" t="n">
        <f aca="false">DD38-DK38</f>
        <v>0</v>
      </c>
      <c r="DR38" s="0" t="n">
        <f aca="false">DE38-DL38</f>
        <v>0</v>
      </c>
      <c r="DS38" s="0" t="n">
        <f aca="false">DF38-DM38</f>
        <v>0</v>
      </c>
      <c r="DT38" s="0" t="n">
        <f aca="false">CO38+DJ38</f>
        <v>73556.5707368643</v>
      </c>
      <c r="DU38" s="0" t="n">
        <f aca="false">CP38+DK38</f>
        <v>193009.633964429</v>
      </c>
      <c r="DV38" s="0" t="n">
        <f aca="false">AP38+BL38+BR38+BX38+CC38</f>
        <v>6304948.25328137</v>
      </c>
      <c r="DW38" s="0" t="n">
        <f aca="false">CQ38+DL38</f>
        <v>192182.719186499</v>
      </c>
      <c r="DX38" s="0" t="n">
        <f aca="false">AQ38+BM38+BS38+BY38+CD38</f>
        <v>0</v>
      </c>
      <c r="DY38" s="0" t="n">
        <f aca="false">CR38+DM38</f>
        <v>187500</v>
      </c>
      <c r="DZ38" s="0" t="n">
        <f aca="false">AR38+BN38+BT38+BZ38+CE38</f>
        <v>0</v>
      </c>
      <c r="EA38" s="0" t="n">
        <f aca="false">DI38-DN38</f>
        <v>0</v>
      </c>
      <c r="EB38" s="0" t="n">
        <f aca="false">CH38+EA38</f>
        <v>465944.917218099</v>
      </c>
      <c r="EC38" s="0" t="n">
        <f aca="false">R38-I38-MAX(-M38,0)-J38-K38-L38</f>
        <v>465944.917218099</v>
      </c>
      <c r="ED38" s="0" t="n">
        <f aca="false">R38+S38+CM38+DH38-CG38-DT38-DU38-DW38-DY38-DV38-DX38-DZ38-EB38</f>
        <v>0</v>
      </c>
      <c r="EE38" s="0" t="n">
        <f aca="false">IF(AND(EB38&gt;0.000001,DP38+DQ38+DR38+DS38&gt;0.000001),1,0)</f>
        <v>0</v>
      </c>
    </row>
    <row r="39" customFormat="false" ht="15" hidden="false" customHeight="false" outlineLevel="0" collapsed="false">
      <c r="A39" s="0" t="n">
        <f aca="false">ROW()-5</f>
        <v>34</v>
      </c>
      <c r="B39" s="0" t="n">
        <f aca="false">Inputs!$B$11+(Inputs!$B$12-Inputs!$B$11)*(1-EXP(-A39/Inputs!$B$13))+Inputs!$B$8</f>
        <v>0.0350464712836743</v>
      </c>
      <c r="C39" s="0" t="n">
        <f aca="false">CZ38</f>
        <v>43876502.3632684</v>
      </c>
      <c r="D39" s="0" t="n">
        <f aca="false">DA38</f>
        <v>40000000</v>
      </c>
      <c r="E39" s="0" t="n">
        <f aca="false">DB38</f>
        <v>30000000</v>
      </c>
      <c r="F39" s="0" t="n">
        <f aca="false">IF(Inputs!$B$22=1,B39+Inputs!$B$23,Inputs!$B$23)/12</f>
        <v>0.00383720594030619</v>
      </c>
      <c r="G39" s="0" t="n">
        <f aca="false">IF(Inputs!$B$27=1,B39+Inputs!$B$28,Inputs!$B$28)/12</f>
        <v>0.00479553927363953</v>
      </c>
      <c r="H39" s="0" t="n">
        <f aca="false">IF(Inputs!$B$32=1,B39+Inputs!$B$33,Inputs!$B$33)/12</f>
        <v>0.00625</v>
      </c>
      <c r="I39" s="0" t="n">
        <f aca="false">Pool!BT39*Inputs!$B$14/12</f>
        <v>70204.0617248899</v>
      </c>
      <c r="J39" s="0" t="n">
        <f aca="false">C39*F39</f>
        <v>168363.175508192</v>
      </c>
      <c r="K39" s="0" t="n">
        <f aca="false">D39*G39</f>
        <v>191821.570945581</v>
      </c>
      <c r="L39" s="0" t="n">
        <f aca="false">E39*H39</f>
        <v>187500</v>
      </c>
      <c r="M39" s="0" t="n">
        <f aca="false">Inputs!$B$17*(C39*Inputs!$B$22+D39*Inputs!$B$27+E39*Inputs!$B$32)*(B39-Inputs!$B$18)/12</f>
        <v>-0</v>
      </c>
      <c r="N39" s="0" t="n">
        <f aca="false">DP38+I39+MAX(-M39,0)</f>
        <v>70204.0617248899</v>
      </c>
      <c r="O39" s="0" t="n">
        <f aca="false">DQ38+J39</f>
        <v>168363.175508192</v>
      </c>
      <c r="P39" s="0" t="n">
        <f aca="false">DR38+K39</f>
        <v>191821.570945581</v>
      </c>
      <c r="Q39" s="0" t="n">
        <f aca="false">DS38+L39</f>
        <v>187500</v>
      </c>
      <c r="R39" s="0" t="n">
        <f aca="false">Pool!BV39+MAX(M39,0)</f>
        <v>1064623.39615344</v>
      </c>
      <c r="S39" s="0" t="n">
        <f aca="false">Pool!BW39+Pool!BX39+Pool!BZ39</f>
        <v>6219311.23574663</v>
      </c>
      <c r="T39" s="0" t="n">
        <f aca="false">MAX(T38,BG38)</f>
        <v>1</v>
      </c>
      <c r="U39" s="0" t="n">
        <f aca="false">MIN(C39,S39)</f>
        <v>6219311.23574663</v>
      </c>
      <c r="V39" s="0" t="n">
        <f aca="false">MIN(D39,S39-U39)</f>
        <v>0</v>
      </c>
      <c r="W39" s="0" t="n">
        <f aca="false">MIN(E39,S39-U39-V39)</f>
        <v>0</v>
      </c>
      <c r="X39" s="0" t="n">
        <f aca="false">IF(C39-(0)&gt;Inputs!$B$19,1,0)</f>
        <v>1</v>
      </c>
      <c r="Y39" s="0" t="n">
        <f aca="false">IF(D39-(0)&gt;Inputs!$B$19,1,0)</f>
        <v>1</v>
      </c>
      <c r="Z39" s="0" t="n">
        <f aca="false">IF(E39-(0)&gt;Inputs!$B$19,1,0)</f>
        <v>1</v>
      </c>
      <c r="AA39" s="0" t="n">
        <f aca="false">IF((X39*C39+Y39*D39+Z39*E39)&gt;0,MIN(C39-(0),S39*X39*C39/(X39*C39+Y39*D39+Z39*E39)),0)</f>
        <v>2396294.39322469</v>
      </c>
      <c r="AB39" s="0" t="n">
        <f aca="false">IF((X39*C39+Y39*D39+Z39*E39)&gt;0,MIN(D39-(0),S39*Y39*D39/(X39*C39+Y39*D39+Z39*E39)),0)</f>
        <v>2184581.05286968</v>
      </c>
      <c r="AC39" s="0" t="n">
        <f aca="false">IF((X39*C39+Y39*D39+Z39*E39)&gt;0,MIN(E39-(0),S39*Z39*E39/(X39*C39+Y39*D39+Z39*E39)),0)</f>
        <v>1638435.78965226</v>
      </c>
      <c r="AD39" s="0" t="n">
        <f aca="false">IF(C39-(AA39)&gt;Inputs!$B$19,1,0)</f>
        <v>1</v>
      </c>
      <c r="AE39" s="0" t="n">
        <f aca="false">IF(D39-(AB39)&gt;Inputs!$B$19,1,0)</f>
        <v>1</v>
      </c>
      <c r="AF39" s="0" t="n">
        <f aca="false">IF(E39-(AC39)&gt;Inputs!$B$19,1,0)</f>
        <v>1</v>
      </c>
      <c r="AG39" s="0" t="n">
        <f aca="false">IF((AD39*C39+AE39*D39+AF39*E39)&gt;0,MIN(C39-(AA39),(S39-(AA39+AB39+AC39))*AD39*C39/(AD39*C39+AE39*D39+AF39*E39)),0)</f>
        <v>0</v>
      </c>
      <c r="AH39" s="0" t="n">
        <f aca="false">IF((AD39*C39+AE39*D39+AF39*E39)&gt;0,MIN(D39-(AB39),(S39-(AA39+AB39+AC39))*AE39*D39/(AD39*C39+AE39*D39+AF39*E39)),0)</f>
        <v>0</v>
      </c>
      <c r="AI39" s="0" t="n">
        <f aca="false">IF((AD39*C39+AE39*D39+AF39*E39)&gt;0,MIN(E39-(AC39),(S39-(AA39+AB39+AC39))*AF39*E39/(AD39*C39+AE39*D39+AF39*E39)),0)</f>
        <v>0</v>
      </c>
      <c r="AJ39" s="0" t="n">
        <f aca="false">IF(C39-(AA39+AG39)&gt;Inputs!$B$19,1,0)</f>
        <v>1</v>
      </c>
      <c r="AK39" s="0" t="n">
        <f aca="false">IF(D39-(AB39+AH39)&gt;Inputs!$B$19,1,0)</f>
        <v>1</v>
      </c>
      <c r="AL39" s="0" t="n">
        <f aca="false">IF(E39-(AC39+AI39)&gt;Inputs!$B$19,1,0)</f>
        <v>1</v>
      </c>
      <c r="AM39" s="0" t="n">
        <f aca="false">IF((AJ39*C39+AK39*D39+AL39*E39)&gt;0,MIN(C39-(AA39+AG39),(S39-(AA39+AB39+AC39+AG39+AH39+AI39))*AJ39*C39/(AJ39*C39+AK39*D39+AL39*E39)),0)</f>
        <v>0</v>
      </c>
      <c r="AN39" s="0" t="n">
        <f aca="false">IF((AJ39*C39+AK39*D39+AL39*E39)&gt;0,MIN(D39-(AB39+AH39),(S39-(AA39+AB39+AC39+AG39+AH39+AI39))*AK39*D39/(AJ39*C39+AK39*D39+AL39*E39)),0)</f>
        <v>0</v>
      </c>
      <c r="AO39" s="0" t="n">
        <f aca="false">IF((AJ39*C39+AK39*D39+AL39*E39)&gt;0,MIN(E39-(AC39+AI39),(S39-(AA39+AB39+AC39+AG39+AH39+AI39))*AL39*E39/(AJ39*C39+AK39*D39+AL39*E39)),0)</f>
        <v>0</v>
      </c>
      <c r="AP39" s="0" t="n">
        <f aca="false">IF(T39=1,U39,AA39+AG39+AM39)</f>
        <v>6219311.23574663</v>
      </c>
      <c r="AQ39" s="0" t="n">
        <f aca="false">IF(T39=1,V39,AB39+AH39+AN39)</f>
        <v>0</v>
      </c>
      <c r="AR39" s="0" t="n">
        <f aca="false">IF(T39=1,W39,AC39+AI39+AO39)</f>
        <v>0</v>
      </c>
      <c r="AS39" s="0" t="n">
        <f aca="false">S39-AP39-AQ39-AR39</f>
        <v>0</v>
      </c>
      <c r="AT39" s="0" t="n">
        <f aca="false">C39-AP39</f>
        <v>37657191.1275218</v>
      </c>
      <c r="AU39" s="0" t="n">
        <f aca="false">D39-AQ39</f>
        <v>40000000</v>
      </c>
      <c r="AV39" s="0" t="n">
        <f aca="false">E39-AR39</f>
        <v>30000000</v>
      </c>
      <c r="AW39" s="0" t="n">
        <f aca="false">Pool!CB39</f>
        <v>128796433.575685</v>
      </c>
      <c r="AX39" s="0" t="n">
        <f aca="false">IF((AT39)&gt;Inputs!$B$19,AW39/(AT39),1000000000)</f>
        <v>3.42023474718362</v>
      </c>
      <c r="AY39" s="0" t="n">
        <f aca="false">IF((J39)&gt;0.000000001,(R39-I39-MAX(-M39,0))/(J39),1000000000)</f>
        <v>5.90639450359002</v>
      </c>
      <c r="AZ39" s="0" t="n">
        <f aca="false">IF(OR(AX39&lt;Inputs!$B$24,AY39&lt;Inputs!$B$25),1,0)</f>
        <v>0</v>
      </c>
      <c r="BA39" s="0" t="n">
        <f aca="false">IF((AT39+AU39)&gt;Inputs!$B$19,AW39/(AT39+AU39),1000000000)</f>
        <v>1.65852552359493</v>
      </c>
      <c r="BB39" s="0" t="n">
        <f aca="false">IF((J39+K39)&gt;0.000000001,(R39-I39-MAX(-M39,0))/(J39+K39),1000000000)</f>
        <v>2.76085909861309</v>
      </c>
      <c r="BC39" s="0" t="n">
        <f aca="false">IF(OR(BA39&lt;Inputs!$B$29,BB39&lt;Inputs!$B$30),1,0)</f>
        <v>0</v>
      </c>
      <c r="BD39" s="0" t="n">
        <f aca="false">IF((AT39+AU39+AV39)&gt;Inputs!$B$19,AW39/(AT39+AU39+AV39),1000000000)</f>
        <v>1.1963569941475</v>
      </c>
      <c r="BE39" s="0" t="n">
        <f aca="false">IF((J39+K39+L39)&gt;0.000000001,(R39-I39-MAX(-M39,0))/(J39+K39+L39),1000000000)</f>
        <v>1.8156783457406</v>
      </c>
      <c r="BF39" s="0" t="n">
        <f aca="false">IF(OR(BD39&lt;Inputs!$B$34,BE39&lt;Inputs!$B$35),1,0)</f>
        <v>0</v>
      </c>
      <c r="BG39" s="0" t="n">
        <f aca="false">MAX(AZ39,BC39,BF39)</f>
        <v>0</v>
      </c>
      <c r="BH39" s="0" t="n">
        <f aca="false">MIN(R39,N39)</f>
        <v>70204.0617248899</v>
      </c>
      <c r="BI39" s="0" t="n">
        <f aca="false">R39-BH39</f>
        <v>994419.334428548</v>
      </c>
      <c r="BJ39" s="0" t="n">
        <f aca="false">MIN(BI39,O39)</f>
        <v>168363.175508192</v>
      </c>
      <c r="BK39" s="0" t="n">
        <f aca="false">BI39-BJ39</f>
        <v>826056.158920356</v>
      </c>
      <c r="BL39" s="0" t="n">
        <f aca="false">AZ39*MIN(AT39,BK39)</f>
        <v>0</v>
      </c>
      <c r="BM39" s="0" t="n">
        <f aca="false">AZ39*MIN(AU39,BK39-BL39)</f>
        <v>0</v>
      </c>
      <c r="BN39" s="0" t="n">
        <f aca="false">AZ39*MIN(AV39,BK39-BL39-BM39)</f>
        <v>0</v>
      </c>
      <c r="BO39" s="0" t="n">
        <f aca="false">BK39-BL39-BM39-BN39</f>
        <v>826056.158920356</v>
      </c>
      <c r="BP39" s="0" t="n">
        <f aca="false">MIN(BO39,P39)</f>
        <v>191821.570945581</v>
      </c>
      <c r="BQ39" s="0" t="n">
        <f aca="false">BO39-BP39</f>
        <v>634234.587974775</v>
      </c>
      <c r="BR39" s="0" t="n">
        <f aca="false">BC39*MIN((AT39-BL39),BQ39)</f>
        <v>0</v>
      </c>
      <c r="BS39" s="0" t="n">
        <f aca="false">BC39*MIN((AU39-BM39),BQ39-BR39)</f>
        <v>0</v>
      </c>
      <c r="BT39" s="0" t="n">
        <f aca="false">BC39*MIN((AV39-BN39),BQ39-BR39-BS39)</f>
        <v>0</v>
      </c>
      <c r="BU39" s="0" t="n">
        <f aca="false">BQ39-BR39-BS39-BT39</f>
        <v>634234.587974775</v>
      </c>
      <c r="BV39" s="0" t="n">
        <f aca="false">MIN(BU39,Q39)</f>
        <v>187500</v>
      </c>
      <c r="BW39" s="0" t="n">
        <f aca="false">BU39-BV39</f>
        <v>446734.587974775</v>
      </c>
      <c r="BX39" s="0" t="n">
        <f aca="false">BF39*MIN((AT39-BL39-BR39),BW39)</f>
        <v>0</v>
      </c>
      <c r="BY39" s="0" t="n">
        <f aca="false">BF39*MIN((AU39-BM39-BS39),BW39-BX39)</f>
        <v>0</v>
      </c>
      <c r="BZ39" s="0" t="n">
        <f aca="false">BF39*MIN((AV39-BN39-BT39),BW39-BX39-BY39)</f>
        <v>0</v>
      </c>
      <c r="CA39" s="0" t="n">
        <f aca="false">BW39-BX39-BY39-BZ39</f>
        <v>446734.587974775</v>
      </c>
      <c r="CB39" s="0" t="n">
        <f aca="false">MAX(0,AT39+AU39+AV39-BL39-BM39-BN39-BR39-BS39-BT39-BX39-BY39-BZ39-AW39)</f>
        <v>0</v>
      </c>
      <c r="CC39" s="0" t="n">
        <f aca="false">1*MIN((AT39-BL39-BR39-BX39),MIN(CA39,CB39))</f>
        <v>0</v>
      </c>
      <c r="CD39" s="0" t="n">
        <f aca="false">1*MIN((AU39-BM39-BS39-BY39),MIN(CA39,CB39)-CC39)</f>
        <v>0</v>
      </c>
      <c r="CE39" s="0" t="n">
        <f aca="false">1*MIN((AV39-BN39-BT39-BZ39),MIN(CA39,CB39)-CC39-CD39)</f>
        <v>0</v>
      </c>
      <c r="CF39" s="0" t="n">
        <f aca="false">CA39-CC39-CD39-CE39</f>
        <v>446734.587974775</v>
      </c>
      <c r="CG39" s="0" t="n">
        <f aca="false">IF(C39+D39+E39&gt;Inputs!$B$19,MIN(CF39,MAX(0,Inputs!$B$15-DO38)),0)</f>
        <v>0</v>
      </c>
      <c r="CH39" s="0" t="n">
        <f aca="false">CF39-CG39</f>
        <v>446734.587974775</v>
      </c>
      <c r="CI39" s="0" t="n">
        <f aca="false">DO38+CG39</f>
        <v>3000000</v>
      </c>
      <c r="CJ39" s="0" t="n">
        <f aca="false">MIN(MAX(N39-BH39,0),CI39)</f>
        <v>0</v>
      </c>
      <c r="CK39" s="0" t="n">
        <f aca="false">MIN(MAX(O39-BJ39,0),CI39-CJ39)</f>
        <v>0</v>
      </c>
      <c r="CL39" s="0" t="n">
        <f aca="false">MIN(MAX(P39-BP39,0),CI39-CJ39-CK39)</f>
        <v>0</v>
      </c>
      <c r="CM39" s="0" t="n">
        <f aca="false">CJ39+CK39+CL39</f>
        <v>0</v>
      </c>
      <c r="CN39" s="0" t="n">
        <f aca="false">CI39-CM39</f>
        <v>3000000</v>
      </c>
      <c r="CO39" s="0" t="n">
        <f aca="false">BH39+CJ39</f>
        <v>70204.0617248899</v>
      </c>
      <c r="CP39" s="0" t="n">
        <f aca="false">BJ39+CK39</f>
        <v>168363.175508192</v>
      </c>
      <c r="CQ39" s="0" t="n">
        <f aca="false">BP39+CL39</f>
        <v>191821.570945581</v>
      </c>
      <c r="CR39" s="0" t="n">
        <f aca="false">BV39</f>
        <v>187500</v>
      </c>
      <c r="CS39" s="0" t="n">
        <f aca="false">AT39-BL39-BR39-BX39-CC39</f>
        <v>37657191.1275218</v>
      </c>
      <c r="CT39" s="0" t="n">
        <f aca="false">AU39-BM39-BS39-BY39-CD39</f>
        <v>40000000</v>
      </c>
      <c r="CU39" s="0" t="n">
        <f aca="false">AV39-BN39-BT39-BZ39-CE39</f>
        <v>30000000</v>
      </c>
      <c r="CV39" s="0" t="n">
        <f aca="false">MAX(0,CS39+CT39+CU39-AW39)</f>
        <v>0</v>
      </c>
      <c r="CW39" s="0" t="n">
        <f aca="false">MIN(CU39,CV39)</f>
        <v>0</v>
      </c>
      <c r="CX39" s="0" t="n">
        <f aca="false">MIN(CT39,CV39-CW39)</f>
        <v>0</v>
      </c>
      <c r="CY39" s="0" t="n">
        <f aca="false">MIN(CS39,CV39-CW39-CX39)</f>
        <v>0</v>
      </c>
      <c r="CZ39" s="0" t="n">
        <f aca="false">IF(CS39-CY39&lt;Inputs!$B$19,0,CS39-CY39)</f>
        <v>37657191.1275218</v>
      </c>
      <c r="DA39" s="0" t="n">
        <f aca="false">IF(CT39-CX39&lt;Inputs!$B$19,0,CT39-CX39)</f>
        <v>40000000</v>
      </c>
      <c r="DB39" s="0" t="n">
        <f aca="false">IF(CU39-CW39&lt;Inputs!$B$19,0,CU39-CW39)</f>
        <v>30000000</v>
      </c>
      <c r="DC39" s="0" t="n">
        <f aca="false">N39-CO39</f>
        <v>0</v>
      </c>
      <c r="DD39" s="0" t="n">
        <f aca="false">O39-CP39</f>
        <v>0</v>
      </c>
      <c r="DE39" s="0" t="n">
        <f aca="false">P39-CQ39</f>
        <v>0</v>
      </c>
      <c r="DF39" s="0" t="n">
        <f aca="false">Q39-CR39</f>
        <v>0</v>
      </c>
      <c r="DG39" s="0" t="n">
        <f aca="false">IF(CZ39+DA39+DB39&lt;=Inputs!$B$19,1,0)</f>
        <v>0</v>
      </c>
      <c r="DH39" s="0" t="n">
        <f aca="false">DG39*CN39</f>
        <v>0</v>
      </c>
      <c r="DI39" s="0" t="n">
        <f aca="false">DG39*(AS39+DH39)</f>
        <v>0</v>
      </c>
      <c r="DJ39" s="0" t="n">
        <f aca="false">DG39*MIN(DC39,DI39)</f>
        <v>0</v>
      </c>
      <c r="DK39" s="0" t="n">
        <f aca="false">DG39*MIN(DD39,DI39-DJ39)</f>
        <v>0</v>
      </c>
      <c r="DL39" s="0" t="n">
        <f aca="false">DG39*MIN(DE39,DI39-DJ39-DK39)</f>
        <v>0</v>
      </c>
      <c r="DM39" s="0" t="n">
        <f aca="false">DG39*MIN(DF39,DI39-DJ39-DK39-DL39)</f>
        <v>0</v>
      </c>
      <c r="DN39" s="0" t="n">
        <f aca="false">DJ39+DK39+DL39+DM39</f>
        <v>0</v>
      </c>
      <c r="DO39" s="0" t="n">
        <f aca="false">CN39-DH39</f>
        <v>3000000</v>
      </c>
      <c r="DP39" s="0" t="n">
        <f aca="false">DC39-DJ39</f>
        <v>0</v>
      </c>
      <c r="DQ39" s="0" t="n">
        <f aca="false">DD39-DK39</f>
        <v>0</v>
      </c>
      <c r="DR39" s="0" t="n">
        <f aca="false">DE39-DL39</f>
        <v>0</v>
      </c>
      <c r="DS39" s="0" t="n">
        <f aca="false">DF39-DM39</f>
        <v>0</v>
      </c>
      <c r="DT39" s="0" t="n">
        <f aca="false">CO39+DJ39</f>
        <v>70204.0617248899</v>
      </c>
      <c r="DU39" s="0" t="n">
        <f aca="false">CP39+DK39</f>
        <v>168363.175508192</v>
      </c>
      <c r="DV39" s="0" t="n">
        <f aca="false">AP39+BL39+BR39+BX39+CC39</f>
        <v>6219311.23574663</v>
      </c>
      <c r="DW39" s="0" t="n">
        <f aca="false">CQ39+DL39</f>
        <v>191821.570945581</v>
      </c>
      <c r="DX39" s="0" t="n">
        <f aca="false">AQ39+BM39+BS39+BY39+CD39</f>
        <v>0</v>
      </c>
      <c r="DY39" s="0" t="n">
        <f aca="false">CR39+DM39</f>
        <v>187500</v>
      </c>
      <c r="DZ39" s="0" t="n">
        <f aca="false">AR39+BN39+BT39+BZ39+CE39</f>
        <v>0</v>
      </c>
      <c r="EA39" s="0" t="n">
        <f aca="false">DI39-DN39</f>
        <v>0</v>
      </c>
      <c r="EB39" s="0" t="n">
        <f aca="false">CH39+EA39</f>
        <v>446734.587974775</v>
      </c>
      <c r="EC39" s="0" t="n">
        <f aca="false">R39-I39-MAX(-M39,0)-J39-K39-L39</f>
        <v>446734.587974775</v>
      </c>
      <c r="ED39" s="0" t="n">
        <f aca="false">R39+S39+CM39+DH39-CG39-DT39-DU39-DW39-DY39-DV39-DX39-DZ39-EB39</f>
        <v>0</v>
      </c>
      <c r="EE39" s="0" t="n">
        <f aca="false">IF(AND(EB39&gt;0.000001,DP39+DQ39+DR39+DS39&gt;0.000001),1,0)</f>
        <v>0</v>
      </c>
    </row>
    <row r="40" customFormat="false" ht="15" hidden="false" customHeight="false" outlineLevel="0" collapsed="false">
      <c r="A40" s="0" t="n">
        <f aca="false">ROW()-5</f>
        <v>35</v>
      </c>
      <c r="B40" s="0" t="n">
        <f aca="false">Inputs!$B$11+(Inputs!$B$12-Inputs!$B$11)*(1-EXP(-A40/Inputs!$B$13))+Inputs!$B$8</f>
        <v>0.0349425484081316</v>
      </c>
      <c r="C40" s="0" t="n">
        <f aca="false">CZ39</f>
        <v>37657191.1275218</v>
      </c>
      <c r="D40" s="0" t="n">
        <f aca="false">DA39</f>
        <v>40000000</v>
      </c>
      <c r="E40" s="0" t="n">
        <f aca="false">DB39</f>
        <v>30000000</v>
      </c>
      <c r="F40" s="0" t="n">
        <f aca="false">IF(Inputs!$B$22=1,B40+Inputs!$B$23,Inputs!$B$23)/12</f>
        <v>0.00382854570067763</v>
      </c>
      <c r="G40" s="0" t="n">
        <f aca="false">IF(Inputs!$B$27=1,B40+Inputs!$B$28,Inputs!$B$28)/12</f>
        <v>0.00478687903401096</v>
      </c>
      <c r="H40" s="0" t="n">
        <f aca="false">IF(Inputs!$B$32=1,B40+Inputs!$B$33,Inputs!$B$33)/12</f>
        <v>0.00625</v>
      </c>
      <c r="I40" s="0" t="n">
        <f aca="false">Pool!BT40*Inputs!$B$14/12</f>
        <v>66899.4552913198</v>
      </c>
      <c r="J40" s="0" t="n">
        <f aca="false">C40*F40</f>
        <v>144172.277190869</v>
      </c>
      <c r="K40" s="0" t="n">
        <f aca="false">D40*G40</f>
        <v>191475.161360439</v>
      </c>
      <c r="L40" s="0" t="n">
        <f aca="false">E40*H40</f>
        <v>187500</v>
      </c>
      <c r="M40" s="0" t="n">
        <f aca="false">Inputs!$B$17*(C40*Inputs!$B$22+D40*Inputs!$B$27+E40*Inputs!$B$32)*(B40-Inputs!$B$18)/12</f>
        <v>-0</v>
      </c>
      <c r="N40" s="0" t="n">
        <f aca="false">DP39+I40+MAX(-M40,0)</f>
        <v>66899.4552913198</v>
      </c>
      <c r="O40" s="0" t="n">
        <f aca="false">DQ39+J40</f>
        <v>144172.277190869</v>
      </c>
      <c r="P40" s="0" t="n">
        <f aca="false">DR39+K40</f>
        <v>191475.161360439</v>
      </c>
      <c r="Q40" s="0" t="n">
        <f aca="false">DS39+L40</f>
        <v>187500</v>
      </c>
      <c r="R40" s="0" t="n">
        <f aca="false">Pool!BV40+MAX(M40,0)</f>
        <v>1017724.84287289</v>
      </c>
      <c r="S40" s="0" t="n">
        <f aca="false">Pool!BW40+Pool!BX40+Pool!BZ40</f>
        <v>6134701.87735369</v>
      </c>
      <c r="T40" s="0" t="n">
        <f aca="false">MAX(T39,BG39)</f>
        <v>1</v>
      </c>
      <c r="U40" s="0" t="n">
        <f aca="false">MIN(C40,S40)</f>
        <v>6134701.87735369</v>
      </c>
      <c r="V40" s="0" t="n">
        <f aca="false">MIN(D40,S40-U40)</f>
        <v>0</v>
      </c>
      <c r="W40" s="0" t="n">
        <f aca="false">MIN(E40,S40-U40-V40)</f>
        <v>0</v>
      </c>
      <c r="X40" s="0" t="n">
        <f aca="false">IF(C40-(0)&gt;Inputs!$B$19,1,0)</f>
        <v>1</v>
      </c>
      <c r="Y40" s="0" t="n">
        <f aca="false">IF(D40-(0)&gt;Inputs!$B$19,1,0)</f>
        <v>1</v>
      </c>
      <c r="Z40" s="0" t="n">
        <f aca="false">IF(E40-(0)&gt;Inputs!$B$19,1,0)</f>
        <v>1</v>
      </c>
      <c r="AA40" s="0" t="n">
        <f aca="false">IF((X40*C40+Y40*D40+Z40*E40)&gt;0,MIN(C40-(0),S40*X40*C40/(X40*C40+Y40*D40+Z40*E40)),0)</f>
        <v>2145844.96108795</v>
      </c>
      <c r="AB40" s="0" t="n">
        <f aca="false">IF((X40*C40+Y40*D40+Z40*E40)&gt;0,MIN(D40-(0),S40*Y40*D40/(X40*C40+Y40*D40+Z40*E40)),0)</f>
        <v>2279346.80929471</v>
      </c>
      <c r="AC40" s="0" t="n">
        <f aca="false">IF((X40*C40+Y40*D40+Z40*E40)&gt;0,MIN(E40-(0),S40*Z40*E40/(X40*C40+Y40*D40+Z40*E40)),0)</f>
        <v>1709510.10697103</v>
      </c>
      <c r="AD40" s="0" t="n">
        <f aca="false">IF(C40-(AA40)&gt;Inputs!$B$19,1,0)</f>
        <v>1</v>
      </c>
      <c r="AE40" s="0" t="n">
        <f aca="false">IF(D40-(AB40)&gt;Inputs!$B$19,1,0)</f>
        <v>1</v>
      </c>
      <c r="AF40" s="0" t="n">
        <f aca="false">IF(E40-(AC40)&gt;Inputs!$B$19,1,0)</f>
        <v>1</v>
      </c>
      <c r="AG40" s="0" t="n">
        <f aca="false">IF((AD40*C40+AE40*D40+AF40*E40)&gt;0,MIN(C40-(AA40),(S40-(AA40+AB40+AC40))*AD40*C40/(AD40*C40+AE40*D40+AF40*E40)),0)</f>
        <v>0</v>
      </c>
      <c r="AH40" s="0" t="n">
        <f aca="false">IF((AD40*C40+AE40*D40+AF40*E40)&gt;0,MIN(D40-(AB40),(S40-(AA40+AB40+AC40))*AE40*D40/(AD40*C40+AE40*D40+AF40*E40)),0)</f>
        <v>0</v>
      </c>
      <c r="AI40" s="0" t="n">
        <f aca="false">IF((AD40*C40+AE40*D40+AF40*E40)&gt;0,MIN(E40-(AC40),(S40-(AA40+AB40+AC40))*AF40*E40/(AD40*C40+AE40*D40+AF40*E40)),0)</f>
        <v>0</v>
      </c>
      <c r="AJ40" s="0" t="n">
        <f aca="false">IF(C40-(AA40+AG40)&gt;Inputs!$B$19,1,0)</f>
        <v>1</v>
      </c>
      <c r="AK40" s="0" t="n">
        <f aca="false">IF(D40-(AB40+AH40)&gt;Inputs!$B$19,1,0)</f>
        <v>1</v>
      </c>
      <c r="AL40" s="0" t="n">
        <f aca="false">IF(E40-(AC40+AI40)&gt;Inputs!$B$19,1,0)</f>
        <v>1</v>
      </c>
      <c r="AM40" s="0" t="n">
        <f aca="false">IF((AJ40*C40+AK40*D40+AL40*E40)&gt;0,MIN(C40-(AA40+AG40),(S40-(AA40+AB40+AC40+AG40+AH40+AI40))*AJ40*C40/(AJ40*C40+AK40*D40+AL40*E40)),0)</f>
        <v>0</v>
      </c>
      <c r="AN40" s="0" t="n">
        <f aca="false">IF((AJ40*C40+AK40*D40+AL40*E40)&gt;0,MIN(D40-(AB40+AH40),(S40-(AA40+AB40+AC40+AG40+AH40+AI40))*AK40*D40/(AJ40*C40+AK40*D40+AL40*E40)),0)</f>
        <v>0</v>
      </c>
      <c r="AO40" s="0" t="n">
        <f aca="false">IF((AJ40*C40+AK40*D40+AL40*E40)&gt;0,MIN(E40-(AC40+AI40),(S40-(AA40+AB40+AC40+AG40+AH40+AI40))*AL40*E40/(AJ40*C40+AK40*D40+AL40*E40)),0)</f>
        <v>0</v>
      </c>
      <c r="AP40" s="0" t="n">
        <f aca="false">IF(T40=1,U40,AA40+AG40+AM40)</f>
        <v>6134701.87735369</v>
      </c>
      <c r="AQ40" s="0" t="n">
        <f aca="false">IF(T40=1,V40,AB40+AH40+AN40)</f>
        <v>0</v>
      </c>
      <c r="AR40" s="0" t="n">
        <f aca="false">IF(T40=1,W40,AC40+AI40+AO40)</f>
        <v>0</v>
      </c>
      <c r="AS40" s="0" t="n">
        <f aca="false">S40-AP40-AQ40-AR40</f>
        <v>0</v>
      </c>
      <c r="AT40" s="0" t="n">
        <f aca="false">C40-AP40</f>
        <v>31522489.2501681</v>
      </c>
      <c r="AU40" s="0" t="n">
        <f aca="false">D40-AQ40</f>
        <v>40000000</v>
      </c>
      <c r="AV40" s="0" t="n">
        <f aca="false">E40-AR40</f>
        <v>30000000</v>
      </c>
      <c r="AW40" s="0" t="n">
        <f aca="false">Pool!CB40</f>
        <v>122532517.701072</v>
      </c>
      <c r="AX40" s="0" t="n">
        <f aca="false">IF((AT40)&gt;Inputs!$B$19,AW40/(AT40),1000000000)</f>
        <v>3.88714599055398</v>
      </c>
      <c r="AY40" s="0" t="n">
        <f aca="false">IF((J40)&gt;0.000000001,(R40-I40-MAX(-M40,0))/(J40),1000000000)</f>
        <v>6.5950639478544</v>
      </c>
      <c r="AZ40" s="0" t="n">
        <f aca="false">IF(OR(AX40&lt;Inputs!$B$24,AY40&lt;Inputs!$B$25),1,0)</f>
        <v>0</v>
      </c>
      <c r="BA40" s="0" t="n">
        <f aca="false">IF((AT40+AU40)&gt;Inputs!$B$19,AW40/(AT40+AU40),1000000000)</f>
        <v>1.71320264417089</v>
      </c>
      <c r="BB40" s="0" t="n">
        <f aca="false">IF((J40+K40)&gt;0.000000001,(R40-I40-MAX(-M40,0))/(J40+K40),1000000000)</f>
        <v>2.83280990221597</v>
      </c>
      <c r="BC40" s="0" t="n">
        <f aca="false">IF(OR(BA40&lt;Inputs!$B$29,BB40&lt;Inputs!$B$30),1,0)</f>
        <v>0</v>
      </c>
      <c r="BD40" s="0" t="n">
        <f aca="false">IF((AT40+AU40+AV40)&gt;Inputs!$B$19,AW40/(AT40+AU40+AV40),1000000000)</f>
        <v>1.20694950060899</v>
      </c>
      <c r="BE40" s="0" t="n">
        <f aca="false">IF((J40+K40+L40)&gt;0.000000001,(R40-I40-MAX(-M40,0))/(J40+K40+L40),1000000000)</f>
        <v>1.81750940081936</v>
      </c>
      <c r="BF40" s="0" t="n">
        <f aca="false">IF(OR(BD40&lt;Inputs!$B$34,BE40&lt;Inputs!$B$35),1,0)</f>
        <v>0</v>
      </c>
      <c r="BG40" s="0" t="n">
        <f aca="false">MAX(AZ40,BC40,BF40)</f>
        <v>0</v>
      </c>
      <c r="BH40" s="0" t="n">
        <f aca="false">MIN(R40,N40)</f>
        <v>66899.4552913198</v>
      </c>
      <c r="BI40" s="0" t="n">
        <f aca="false">R40-BH40</f>
        <v>950825.387581573</v>
      </c>
      <c r="BJ40" s="0" t="n">
        <f aca="false">MIN(BI40,O40)</f>
        <v>144172.277190869</v>
      </c>
      <c r="BK40" s="0" t="n">
        <f aca="false">BI40-BJ40</f>
        <v>806653.110390703</v>
      </c>
      <c r="BL40" s="0" t="n">
        <f aca="false">AZ40*MIN(AT40,BK40)</f>
        <v>0</v>
      </c>
      <c r="BM40" s="0" t="n">
        <f aca="false">AZ40*MIN(AU40,BK40-BL40)</f>
        <v>0</v>
      </c>
      <c r="BN40" s="0" t="n">
        <f aca="false">AZ40*MIN(AV40,BK40-BL40-BM40)</f>
        <v>0</v>
      </c>
      <c r="BO40" s="0" t="n">
        <f aca="false">BK40-BL40-BM40-BN40</f>
        <v>806653.110390703</v>
      </c>
      <c r="BP40" s="0" t="n">
        <f aca="false">MIN(BO40,P40)</f>
        <v>191475.161360439</v>
      </c>
      <c r="BQ40" s="0" t="n">
        <f aca="false">BO40-BP40</f>
        <v>615177.949030265</v>
      </c>
      <c r="BR40" s="0" t="n">
        <f aca="false">BC40*MIN((AT40-BL40),BQ40)</f>
        <v>0</v>
      </c>
      <c r="BS40" s="0" t="n">
        <f aca="false">BC40*MIN((AU40-BM40),BQ40-BR40)</f>
        <v>0</v>
      </c>
      <c r="BT40" s="0" t="n">
        <f aca="false">BC40*MIN((AV40-BN40),BQ40-BR40-BS40)</f>
        <v>0</v>
      </c>
      <c r="BU40" s="0" t="n">
        <f aca="false">BQ40-BR40-BS40-BT40</f>
        <v>615177.949030265</v>
      </c>
      <c r="BV40" s="0" t="n">
        <f aca="false">MIN(BU40,Q40)</f>
        <v>187500</v>
      </c>
      <c r="BW40" s="0" t="n">
        <f aca="false">BU40-BV40</f>
        <v>427677.949030265</v>
      </c>
      <c r="BX40" s="0" t="n">
        <f aca="false">BF40*MIN((AT40-BL40-BR40),BW40)</f>
        <v>0</v>
      </c>
      <c r="BY40" s="0" t="n">
        <f aca="false">BF40*MIN((AU40-BM40-BS40),BW40-BX40)</f>
        <v>0</v>
      </c>
      <c r="BZ40" s="0" t="n">
        <f aca="false">BF40*MIN((AV40-BN40-BT40),BW40-BX40-BY40)</f>
        <v>0</v>
      </c>
      <c r="CA40" s="0" t="n">
        <f aca="false">BW40-BX40-BY40-BZ40</f>
        <v>427677.949030265</v>
      </c>
      <c r="CB40" s="0" t="n">
        <f aca="false">MAX(0,AT40+AU40+AV40-BL40-BM40-BN40-BR40-BS40-BT40-BX40-BY40-BZ40-AW40)</f>
        <v>0</v>
      </c>
      <c r="CC40" s="0" t="n">
        <f aca="false">1*MIN((AT40-BL40-BR40-BX40),MIN(CA40,CB40))</f>
        <v>0</v>
      </c>
      <c r="CD40" s="0" t="n">
        <f aca="false">1*MIN((AU40-BM40-BS40-BY40),MIN(CA40,CB40)-CC40)</f>
        <v>0</v>
      </c>
      <c r="CE40" s="0" t="n">
        <f aca="false">1*MIN((AV40-BN40-BT40-BZ40),MIN(CA40,CB40)-CC40-CD40)</f>
        <v>0</v>
      </c>
      <c r="CF40" s="0" t="n">
        <f aca="false">CA40-CC40-CD40-CE40</f>
        <v>427677.949030265</v>
      </c>
      <c r="CG40" s="0" t="n">
        <f aca="false">IF(C40+D40+E40&gt;Inputs!$B$19,MIN(CF40,MAX(0,Inputs!$B$15-DO39)),0)</f>
        <v>0</v>
      </c>
      <c r="CH40" s="0" t="n">
        <f aca="false">CF40-CG40</f>
        <v>427677.949030265</v>
      </c>
      <c r="CI40" s="0" t="n">
        <f aca="false">DO39+CG40</f>
        <v>3000000</v>
      </c>
      <c r="CJ40" s="0" t="n">
        <f aca="false">MIN(MAX(N40-BH40,0),CI40)</f>
        <v>0</v>
      </c>
      <c r="CK40" s="0" t="n">
        <f aca="false">MIN(MAX(O40-BJ40,0),CI40-CJ40)</f>
        <v>0</v>
      </c>
      <c r="CL40" s="0" t="n">
        <f aca="false">MIN(MAX(P40-BP40,0),CI40-CJ40-CK40)</f>
        <v>0</v>
      </c>
      <c r="CM40" s="0" t="n">
        <f aca="false">CJ40+CK40+CL40</f>
        <v>0</v>
      </c>
      <c r="CN40" s="0" t="n">
        <f aca="false">CI40-CM40</f>
        <v>3000000</v>
      </c>
      <c r="CO40" s="0" t="n">
        <f aca="false">BH40+CJ40</f>
        <v>66899.4552913198</v>
      </c>
      <c r="CP40" s="0" t="n">
        <f aca="false">BJ40+CK40</f>
        <v>144172.277190869</v>
      </c>
      <c r="CQ40" s="0" t="n">
        <f aca="false">BP40+CL40</f>
        <v>191475.161360439</v>
      </c>
      <c r="CR40" s="0" t="n">
        <f aca="false">BV40</f>
        <v>187500</v>
      </c>
      <c r="CS40" s="0" t="n">
        <f aca="false">AT40-BL40-BR40-BX40-CC40</f>
        <v>31522489.2501681</v>
      </c>
      <c r="CT40" s="0" t="n">
        <f aca="false">AU40-BM40-BS40-BY40-CD40</f>
        <v>40000000</v>
      </c>
      <c r="CU40" s="0" t="n">
        <f aca="false">AV40-BN40-BT40-BZ40-CE40</f>
        <v>30000000</v>
      </c>
      <c r="CV40" s="0" t="n">
        <f aca="false">MAX(0,CS40+CT40+CU40-AW40)</f>
        <v>0</v>
      </c>
      <c r="CW40" s="0" t="n">
        <f aca="false">MIN(CU40,CV40)</f>
        <v>0</v>
      </c>
      <c r="CX40" s="0" t="n">
        <f aca="false">MIN(CT40,CV40-CW40)</f>
        <v>0</v>
      </c>
      <c r="CY40" s="0" t="n">
        <f aca="false">MIN(CS40,CV40-CW40-CX40)</f>
        <v>0</v>
      </c>
      <c r="CZ40" s="0" t="n">
        <f aca="false">IF(CS40-CY40&lt;Inputs!$B$19,0,CS40-CY40)</f>
        <v>31522489.2501681</v>
      </c>
      <c r="DA40" s="0" t="n">
        <f aca="false">IF(CT40-CX40&lt;Inputs!$B$19,0,CT40-CX40)</f>
        <v>40000000</v>
      </c>
      <c r="DB40" s="0" t="n">
        <f aca="false">IF(CU40-CW40&lt;Inputs!$B$19,0,CU40-CW40)</f>
        <v>30000000</v>
      </c>
      <c r="DC40" s="0" t="n">
        <f aca="false">N40-CO40</f>
        <v>0</v>
      </c>
      <c r="DD40" s="0" t="n">
        <f aca="false">O40-CP40</f>
        <v>0</v>
      </c>
      <c r="DE40" s="0" t="n">
        <f aca="false">P40-CQ40</f>
        <v>0</v>
      </c>
      <c r="DF40" s="0" t="n">
        <f aca="false">Q40-CR40</f>
        <v>0</v>
      </c>
      <c r="DG40" s="0" t="n">
        <f aca="false">IF(CZ40+DA40+DB40&lt;=Inputs!$B$19,1,0)</f>
        <v>0</v>
      </c>
      <c r="DH40" s="0" t="n">
        <f aca="false">DG40*CN40</f>
        <v>0</v>
      </c>
      <c r="DI40" s="0" t="n">
        <f aca="false">DG40*(AS40+DH40)</f>
        <v>0</v>
      </c>
      <c r="DJ40" s="0" t="n">
        <f aca="false">DG40*MIN(DC40,DI40)</f>
        <v>0</v>
      </c>
      <c r="DK40" s="0" t="n">
        <f aca="false">DG40*MIN(DD40,DI40-DJ40)</f>
        <v>0</v>
      </c>
      <c r="DL40" s="0" t="n">
        <f aca="false">DG40*MIN(DE40,DI40-DJ40-DK40)</f>
        <v>0</v>
      </c>
      <c r="DM40" s="0" t="n">
        <f aca="false">DG40*MIN(DF40,DI40-DJ40-DK40-DL40)</f>
        <v>0</v>
      </c>
      <c r="DN40" s="0" t="n">
        <f aca="false">DJ40+DK40+DL40+DM40</f>
        <v>0</v>
      </c>
      <c r="DO40" s="0" t="n">
        <f aca="false">CN40-DH40</f>
        <v>3000000</v>
      </c>
      <c r="DP40" s="0" t="n">
        <f aca="false">DC40-DJ40</f>
        <v>0</v>
      </c>
      <c r="DQ40" s="0" t="n">
        <f aca="false">DD40-DK40</f>
        <v>0</v>
      </c>
      <c r="DR40" s="0" t="n">
        <f aca="false">DE40-DL40</f>
        <v>0</v>
      </c>
      <c r="DS40" s="0" t="n">
        <f aca="false">DF40-DM40</f>
        <v>0</v>
      </c>
      <c r="DT40" s="0" t="n">
        <f aca="false">CO40+DJ40</f>
        <v>66899.4552913198</v>
      </c>
      <c r="DU40" s="0" t="n">
        <f aca="false">CP40+DK40</f>
        <v>144172.277190869</v>
      </c>
      <c r="DV40" s="0" t="n">
        <f aca="false">AP40+BL40+BR40+BX40+CC40</f>
        <v>6134701.87735369</v>
      </c>
      <c r="DW40" s="0" t="n">
        <f aca="false">CQ40+DL40</f>
        <v>191475.161360439</v>
      </c>
      <c r="DX40" s="0" t="n">
        <f aca="false">AQ40+BM40+BS40+BY40+CD40</f>
        <v>0</v>
      </c>
      <c r="DY40" s="0" t="n">
        <f aca="false">CR40+DM40</f>
        <v>187500</v>
      </c>
      <c r="DZ40" s="0" t="n">
        <f aca="false">AR40+BN40+BT40+BZ40+CE40</f>
        <v>0</v>
      </c>
      <c r="EA40" s="0" t="n">
        <f aca="false">DI40-DN40</f>
        <v>0</v>
      </c>
      <c r="EB40" s="0" t="n">
        <f aca="false">CH40+EA40</f>
        <v>427677.949030265</v>
      </c>
      <c r="EC40" s="0" t="n">
        <f aca="false">R40-I40-MAX(-M40,0)-J40-K40-L40</f>
        <v>427677.949030265</v>
      </c>
      <c r="ED40" s="0" t="n">
        <f aca="false">R40+S40+CM40+DH40-CG40-DT40-DU40-DW40-DY40-DV40-DX40-DZ40-EB40</f>
        <v>0</v>
      </c>
      <c r="EE40" s="0" t="n">
        <f aca="false">IF(AND(EB40&gt;0.000001,DP40+DQ40+DR40+DS40&gt;0.000001),1,0)</f>
        <v>0</v>
      </c>
    </row>
    <row r="41" customFormat="false" ht="15" hidden="false" customHeight="false" outlineLevel="0" collapsed="false">
      <c r="A41" s="0" t="n">
        <f aca="false">ROW()-5</f>
        <v>36</v>
      </c>
      <c r="B41" s="0" t="n">
        <f aca="false">Inputs!$B$11+(Inputs!$B$12-Inputs!$B$11)*(1-EXP(-A41/Inputs!$B$13))+Inputs!$B$8</f>
        <v>0.0348428666815585</v>
      </c>
      <c r="C41" s="0" t="n">
        <f aca="false">CZ40</f>
        <v>31522489.2501681</v>
      </c>
      <c r="D41" s="0" t="n">
        <f aca="false">DA40</f>
        <v>40000000</v>
      </c>
      <c r="E41" s="0" t="n">
        <f aca="false">DB40</f>
        <v>30000000</v>
      </c>
      <c r="F41" s="0" t="n">
        <f aca="false">IF(Inputs!$B$22=1,B41+Inputs!$B$23,Inputs!$B$23)/12</f>
        <v>0.00382023889012988</v>
      </c>
      <c r="G41" s="0" t="n">
        <f aca="false">IF(Inputs!$B$27=1,B41+Inputs!$B$28,Inputs!$B$28)/12</f>
        <v>0.00477857222346321</v>
      </c>
      <c r="H41" s="0" t="n">
        <f aca="false">IF(Inputs!$B$32=1,B41+Inputs!$B$33,Inputs!$B$33)/12</f>
        <v>0.00625</v>
      </c>
      <c r="I41" s="0" t="n">
        <f aca="false">Pool!BT41*Inputs!$B$14/12</f>
        <v>63642.1688797962</v>
      </c>
      <c r="J41" s="0" t="n">
        <f aca="false">C41*F41</f>
        <v>120423.439347193</v>
      </c>
      <c r="K41" s="0" t="n">
        <f aca="false">D41*G41</f>
        <v>191142.888938528</v>
      </c>
      <c r="L41" s="0" t="n">
        <f aca="false">E41*H41</f>
        <v>187500</v>
      </c>
      <c r="M41" s="0" t="n">
        <f aca="false">Inputs!$B$17*(C41*Inputs!$B$22+D41*Inputs!$B$27+E41*Inputs!$B$32)*(B41-Inputs!$B$18)/12</f>
        <v>-0</v>
      </c>
      <c r="N41" s="0" t="n">
        <f aca="false">DP40+I41+MAX(-M41,0)</f>
        <v>63642.1688797962</v>
      </c>
      <c r="O41" s="0" t="n">
        <f aca="false">DQ40+J41</f>
        <v>120423.439347193</v>
      </c>
      <c r="P41" s="0" t="n">
        <f aca="false">DR40+K41</f>
        <v>191142.888938528</v>
      </c>
      <c r="Q41" s="0" t="n">
        <f aca="false">DS40+L41</f>
        <v>187500</v>
      </c>
      <c r="R41" s="0" t="n">
        <f aca="false">Pool!BV41+MAX(M41,0)</f>
        <v>971490.052315312</v>
      </c>
      <c r="S41" s="0" t="n">
        <f aca="false">Pool!BW41+Pool!BX41+Pool!BZ41</f>
        <v>6051108.32381358</v>
      </c>
      <c r="T41" s="0" t="n">
        <f aca="false">MAX(T40,BG40)</f>
        <v>1</v>
      </c>
      <c r="U41" s="0" t="n">
        <f aca="false">MIN(C41,S41)</f>
        <v>6051108.32381358</v>
      </c>
      <c r="V41" s="0" t="n">
        <f aca="false">MIN(D41,S41-U41)</f>
        <v>0</v>
      </c>
      <c r="W41" s="0" t="n">
        <f aca="false">MIN(E41,S41-U41-V41)</f>
        <v>0</v>
      </c>
      <c r="X41" s="0" t="n">
        <f aca="false">IF(C41-(0)&gt;Inputs!$B$19,1,0)</f>
        <v>1</v>
      </c>
      <c r="Y41" s="0" t="n">
        <f aca="false">IF(D41-(0)&gt;Inputs!$B$19,1,0)</f>
        <v>1</v>
      </c>
      <c r="Z41" s="0" t="n">
        <f aca="false">IF(E41-(0)&gt;Inputs!$B$19,1,0)</f>
        <v>1</v>
      </c>
      <c r="AA41" s="0" t="n">
        <f aca="false">IF((X41*C41+Y41*D41+Z41*E41)&gt;0,MIN(C41-(0),S41*X41*C41/(X41*C41+Y41*D41+Z41*E41)),0)</f>
        <v>1878854.61140523</v>
      </c>
      <c r="AB41" s="0" t="n">
        <f aca="false">IF((X41*C41+Y41*D41+Z41*E41)&gt;0,MIN(D41-(0),S41*Y41*D41/(X41*C41+Y41*D41+Z41*E41)),0)</f>
        <v>2384144.97851906</v>
      </c>
      <c r="AC41" s="0" t="n">
        <f aca="false">IF((X41*C41+Y41*D41+Z41*E41)&gt;0,MIN(E41-(0),S41*Z41*E41/(X41*C41+Y41*D41+Z41*E41)),0)</f>
        <v>1788108.73388929</v>
      </c>
      <c r="AD41" s="0" t="n">
        <f aca="false">IF(C41-(AA41)&gt;Inputs!$B$19,1,0)</f>
        <v>1</v>
      </c>
      <c r="AE41" s="0" t="n">
        <f aca="false">IF(D41-(AB41)&gt;Inputs!$B$19,1,0)</f>
        <v>1</v>
      </c>
      <c r="AF41" s="0" t="n">
        <f aca="false">IF(E41-(AC41)&gt;Inputs!$B$19,1,0)</f>
        <v>1</v>
      </c>
      <c r="AG41" s="0" t="n">
        <f aca="false">IF((AD41*C41+AE41*D41+AF41*E41)&gt;0,MIN(C41-(AA41),(S41-(AA41+AB41+AC41))*AD41*C41/(AD41*C41+AE41*D41+AF41*E41)),0)</f>
        <v>0</v>
      </c>
      <c r="AH41" s="0" t="n">
        <f aca="false">IF((AD41*C41+AE41*D41+AF41*E41)&gt;0,MIN(D41-(AB41),(S41-(AA41+AB41+AC41))*AE41*D41/(AD41*C41+AE41*D41+AF41*E41)),0)</f>
        <v>0</v>
      </c>
      <c r="AI41" s="0" t="n">
        <f aca="false">IF((AD41*C41+AE41*D41+AF41*E41)&gt;0,MIN(E41-(AC41),(S41-(AA41+AB41+AC41))*AF41*E41/(AD41*C41+AE41*D41+AF41*E41)),0)</f>
        <v>0</v>
      </c>
      <c r="AJ41" s="0" t="n">
        <f aca="false">IF(C41-(AA41+AG41)&gt;Inputs!$B$19,1,0)</f>
        <v>1</v>
      </c>
      <c r="AK41" s="0" t="n">
        <f aca="false">IF(D41-(AB41+AH41)&gt;Inputs!$B$19,1,0)</f>
        <v>1</v>
      </c>
      <c r="AL41" s="0" t="n">
        <f aca="false">IF(E41-(AC41+AI41)&gt;Inputs!$B$19,1,0)</f>
        <v>1</v>
      </c>
      <c r="AM41" s="0" t="n">
        <f aca="false">IF((AJ41*C41+AK41*D41+AL41*E41)&gt;0,MIN(C41-(AA41+AG41),(S41-(AA41+AB41+AC41+AG41+AH41+AI41))*AJ41*C41/(AJ41*C41+AK41*D41+AL41*E41)),0)</f>
        <v>0</v>
      </c>
      <c r="AN41" s="0" t="n">
        <f aca="false">IF((AJ41*C41+AK41*D41+AL41*E41)&gt;0,MIN(D41-(AB41+AH41),(S41-(AA41+AB41+AC41+AG41+AH41+AI41))*AK41*D41/(AJ41*C41+AK41*D41+AL41*E41)),0)</f>
        <v>0</v>
      </c>
      <c r="AO41" s="0" t="n">
        <f aca="false">IF((AJ41*C41+AK41*D41+AL41*E41)&gt;0,MIN(E41-(AC41+AI41),(S41-(AA41+AB41+AC41+AG41+AH41+AI41))*AL41*E41/(AJ41*C41+AK41*D41+AL41*E41)),0)</f>
        <v>0</v>
      </c>
      <c r="AP41" s="0" t="n">
        <f aca="false">IF(T41=1,U41,AA41+AG41+AM41)</f>
        <v>6051108.32381358</v>
      </c>
      <c r="AQ41" s="0" t="n">
        <f aca="false">IF(T41=1,V41,AB41+AH41+AN41)</f>
        <v>0</v>
      </c>
      <c r="AR41" s="0" t="n">
        <f aca="false">IF(T41=1,W41,AC41+AI41+AO41)</f>
        <v>0</v>
      </c>
      <c r="AS41" s="0" t="n">
        <f aca="false">S41-AP41-AQ41-AR41</f>
        <v>0</v>
      </c>
      <c r="AT41" s="0" t="n">
        <f aca="false">C41-AP41</f>
        <v>25471380.9263545</v>
      </c>
      <c r="AU41" s="0" t="n">
        <f aca="false">D41-AQ41</f>
        <v>40000000</v>
      </c>
      <c r="AV41" s="0" t="n">
        <f aca="false">E41-AR41</f>
        <v>30000000</v>
      </c>
      <c r="AW41" s="0" t="n">
        <f aca="false">Pool!CB41</f>
        <v>116358486.716686</v>
      </c>
      <c r="AX41" s="0" t="n">
        <f aca="false">IF((AT41)&gt;Inputs!$B$19,AW41/(AT41),1000000000)</f>
        <v>4.56820488269224</v>
      </c>
      <c r="AY41" s="0" t="n">
        <f aca="false">IF((J41)&gt;0.000000001,(R41-I41-MAX(-M41,0))/(J41),1000000000)</f>
        <v>7.53879716736954</v>
      </c>
      <c r="AZ41" s="0" t="n">
        <f aca="false">IF(OR(AX41&lt;Inputs!$B$24,AY41&lt;Inputs!$B$25),1,0)</f>
        <v>0</v>
      </c>
      <c r="BA41" s="0" t="n">
        <f aca="false">IF((AT41+AU41)&gt;Inputs!$B$19,AW41/(AT41+AU41),1000000000)</f>
        <v>1.77724198069951</v>
      </c>
      <c r="BB41" s="0" t="n">
        <f aca="false">IF((J41+K41)&gt;0.000000001,(R41-I41-MAX(-M41,0))/(J41+K41),1000000000)</f>
        <v>2.91381898817698</v>
      </c>
      <c r="BC41" s="0" t="n">
        <f aca="false">IF(OR(BA41&lt;Inputs!$B$29,BB41&lt;Inputs!$B$30),1,0)</f>
        <v>0</v>
      </c>
      <c r="BD41" s="0" t="n">
        <f aca="false">IF((AT41+AU41+AV41)&gt;Inputs!$B$19,AW41/(AT41+AU41+AV41),1000000000)</f>
        <v>1.21877871240224</v>
      </c>
      <c r="BE41" s="0" t="n">
        <f aca="false">IF((J41+K41+L41)&gt;0.000000001,(R41-I41-MAX(-M41,0))/(J41+K41+L41),1000000000)</f>
        <v>1.8190926375537</v>
      </c>
      <c r="BF41" s="0" t="n">
        <f aca="false">IF(OR(BD41&lt;Inputs!$B$34,BE41&lt;Inputs!$B$35),1,0)</f>
        <v>0</v>
      </c>
      <c r="BG41" s="0" t="n">
        <f aca="false">MAX(AZ41,BC41,BF41)</f>
        <v>0</v>
      </c>
      <c r="BH41" s="0" t="n">
        <f aca="false">MIN(R41,N41)</f>
        <v>63642.1688797962</v>
      </c>
      <c r="BI41" s="0" t="n">
        <f aca="false">R41-BH41</f>
        <v>907847.883435516</v>
      </c>
      <c r="BJ41" s="0" t="n">
        <f aca="false">MIN(BI41,O41)</f>
        <v>120423.439347193</v>
      </c>
      <c r="BK41" s="0" t="n">
        <f aca="false">BI41-BJ41</f>
        <v>787424.444088323</v>
      </c>
      <c r="BL41" s="0" t="n">
        <f aca="false">AZ41*MIN(AT41,BK41)</f>
        <v>0</v>
      </c>
      <c r="BM41" s="0" t="n">
        <f aca="false">AZ41*MIN(AU41,BK41-BL41)</f>
        <v>0</v>
      </c>
      <c r="BN41" s="0" t="n">
        <f aca="false">AZ41*MIN(AV41,BK41-BL41-BM41)</f>
        <v>0</v>
      </c>
      <c r="BO41" s="0" t="n">
        <f aca="false">BK41-BL41-BM41-BN41</f>
        <v>787424.444088323</v>
      </c>
      <c r="BP41" s="0" t="n">
        <f aca="false">MIN(BO41,P41)</f>
        <v>191142.888938528</v>
      </c>
      <c r="BQ41" s="0" t="n">
        <f aca="false">BO41-BP41</f>
        <v>596281.555149795</v>
      </c>
      <c r="BR41" s="0" t="n">
        <f aca="false">BC41*MIN((AT41-BL41),BQ41)</f>
        <v>0</v>
      </c>
      <c r="BS41" s="0" t="n">
        <f aca="false">BC41*MIN((AU41-BM41),BQ41-BR41)</f>
        <v>0</v>
      </c>
      <c r="BT41" s="0" t="n">
        <f aca="false">BC41*MIN((AV41-BN41),BQ41-BR41-BS41)</f>
        <v>0</v>
      </c>
      <c r="BU41" s="0" t="n">
        <f aca="false">BQ41-BR41-BS41-BT41</f>
        <v>596281.555149795</v>
      </c>
      <c r="BV41" s="0" t="n">
        <f aca="false">MIN(BU41,Q41)</f>
        <v>187500</v>
      </c>
      <c r="BW41" s="0" t="n">
        <f aca="false">BU41-BV41</f>
        <v>408781.555149795</v>
      </c>
      <c r="BX41" s="0" t="n">
        <f aca="false">BF41*MIN((AT41-BL41-BR41),BW41)</f>
        <v>0</v>
      </c>
      <c r="BY41" s="0" t="n">
        <f aca="false">BF41*MIN((AU41-BM41-BS41),BW41-BX41)</f>
        <v>0</v>
      </c>
      <c r="BZ41" s="0" t="n">
        <f aca="false">BF41*MIN((AV41-BN41-BT41),BW41-BX41-BY41)</f>
        <v>0</v>
      </c>
      <c r="CA41" s="0" t="n">
        <f aca="false">BW41-BX41-BY41-BZ41</f>
        <v>408781.555149795</v>
      </c>
      <c r="CB41" s="0" t="n">
        <f aca="false">MAX(0,AT41+AU41+AV41-BL41-BM41-BN41-BR41-BS41-BT41-BX41-BY41-BZ41-AW41)</f>
        <v>0</v>
      </c>
      <c r="CC41" s="0" t="n">
        <f aca="false">1*MIN((AT41-BL41-BR41-BX41),MIN(CA41,CB41))</f>
        <v>0</v>
      </c>
      <c r="CD41" s="0" t="n">
        <f aca="false">1*MIN((AU41-BM41-BS41-BY41),MIN(CA41,CB41)-CC41)</f>
        <v>0</v>
      </c>
      <c r="CE41" s="0" t="n">
        <f aca="false">1*MIN((AV41-BN41-BT41-BZ41),MIN(CA41,CB41)-CC41-CD41)</f>
        <v>0</v>
      </c>
      <c r="CF41" s="0" t="n">
        <f aca="false">CA41-CC41-CD41-CE41</f>
        <v>408781.555149795</v>
      </c>
      <c r="CG41" s="0" t="n">
        <f aca="false">IF(C41+D41+E41&gt;Inputs!$B$19,MIN(CF41,MAX(0,Inputs!$B$15-DO40)),0)</f>
        <v>0</v>
      </c>
      <c r="CH41" s="0" t="n">
        <f aca="false">CF41-CG41</f>
        <v>408781.555149795</v>
      </c>
      <c r="CI41" s="0" t="n">
        <f aca="false">DO40+CG41</f>
        <v>3000000</v>
      </c>
      <c r="CJ41" s="0" t="n">
        <f aca="false">MIN(MAX(N41-BH41,0),CI41)</f>
        <v>0</v>
      </c>
      <c r="CK41" s="0" t="n">
        <f aca="false">MIN(MAX(O41-BJ41,0),CI41-CJ41)</f>
        <v>0</v>
      </c>
      <c r="CL41" s="0" t="n">
        <f aca="false">MIN(MAX(P41-BP41,0),CI41-CJ41-CK41)</f>
        <v>0</v>
      </c>
      <c r="CM41" s="0" t="n">
        <f aca="false">CJ41+CK41+CL41</f>
        <v>0</v>
      </c>
      <c r="CN41" s="0" t="n">
        <f aca="false">CI41-CM41</f>
        <v>3000000</v>
      </c>
      <c r="CO41" s="0" t="n">
        <f aca="false">BH41+CJ41</f>
        <v>63642.1688797962</v>
      </c>
      <c r="CP41" s="0" t="n">
        <f aca="false">BJ41+CK41</f>
        <v>120423.439347193</v>
      </c>
      <c r="CQ41" s="0" t="n">
        <f aca="false">BP41+CL41</f>
        <v>191142.888938528</v>
      </c>
      <c r="CR41" s="0" t="n">
        <f aca="false">BV41</f>
        <v>187500</v>
      </c>
      <c r="CS41" s="0" t="n">
        <f aca="false">AT41-BL41-BR41-BX41-CC41</f>
        <v>25471380.9263545</v>
      </c>
      <c r="CT41" s="0" t="n">
        <f aca="false">AU41-BM41-BS41-BY41-CD41</f>
        <v>40000000</v>
      </c>
      <c r="CU41" s="0" t="n">
        <f aca="false">AV41-BN41-BT41-BZ41-CE41</f>
        <v>30000000</v>
      </c>
      <c r="CV41" s="0" t="n">
        <f aca="false">MAX(0,CS41+CT41+CU41-AW41)</f>
        <v>0</v>
      </c>
      <c r="CW41" s="0" t="n">
        <f aca="false">MIN(CU41,CV41)</f>
        <v>0</v>
      </c>
      <c r="CX41" s="0" t="n">
        <f aca="false">MIN(CT41,CV41-CW41)</f>
        <v>0</v>
      </c>
      <c r="CY41" s="0" t="n">
        <f aca="false">MIN(CS41,CV41-CW41-CX41)</f>
        <v>0</v>
      </c>
      <c r="CZ41" s="0" t="n">
        <f aca="false">IF(CS41-CY41&lt;Inputs!$B$19,0,CS41-CY41)</f>
        <v>25471380.9263545</v>
      </c>
      <c r="DA41" s="0" t="n">
        <f aca="false">IF(CT41-CX41&lt;Inputs!$B$19,0,CT41-CX41)</f>
        <v>40000000</v>
      </c>
      <c r="DB41" s="0" t="n">
        <f aca="false">IF(CU41-CW41&lt;Inputs!$B$19,0,CU41-CW41)</f>
        <v>30000000</v>
      </c>
      <c r="DC41" s="0" t="n">
        <f aca="false">N41-CO41</f>
        <v>0</v>
      </c>
      <c r="DD41" s="0" t="n">
        <f aca="false">O41-CP41</f>
        <v>0</v>
      </c>
      <c r="DE41" s="0" t="n">
        <f aca="false">P41-CQ41</f>
        <v>0</v>
      </c>
      <c r="DF41" s="0" t="n">
        <f aca="false">Q41-CR41</f>
        <v>0</v>
      </c>
      <c r="DG41" s="0" t="n">
        <f aca="false">IF(CZ41+DA41+DB41&lt;=Inputs!$B$19,1,0)</f>
        <v>0</v>
      </c>
      <c r="DH41" s="0" t="n">
        <f aca="false">DG41*CN41</f>
        <v>0</v>
      </c>
      <c r="DI41" s="0" t="n">
        <f aca="false">DG41*(AS41+DH41)</f>
        <v>0</v>
      </c>
      <c r="DJ41" s="0" t="n">
        <f aca="false">DG41*MIN(DC41,DI41)</f>
        <v>0</v>
      </c>
      <c r="DK41" s="0" t="n">
        <f aca="false">DG41*MIN(DD41,DI41-DJ41)</f>
        <v>0</v>
      </c>
      <c r="DL41" s="0" t="n">
        <f aca="false">DG41*MIN(DE41,DI41-DJ41-DK41)</f>
        <v>0</v>
      </c>
      <c r="DM41" s="0" t="n">
        <f aca="false">DG41*MIN(DF41,DI41-DJ41-DK41-DL41)</f>
        <v>0</v>
      </c>
      <c r="DN41" s="0" t="n">
        <f aca="false">DJ41+DK41+DL41+DM41</f>
        <v>0</v>
      </c>
      <c r="DO41" s="0" t="n">
        <f aca="false">CN41-DH41</f>
        <v>3000000</v>
      </c>
      <c r="DP41" s="0" t="n">
        <f aca="false">DC41-DJ41</f>
        <v>0</v>
      </c>
      <c r="DQ41" s="0" t="n">
        <f aca="false">DD41-DK41</f>
        <v>0</v>
      </c>
      <c r="DR41" s="0" t="n">
        <f aca="false">DE41-DL41</f>
        <v>0</v>
      </c>
      <c r="DS41" s="0" t="n">
        <f aca="false">DF41-DM41</f>
        <v>0</v>
      </c>
      <c r="DT41" s="0" t="n">
        <f aca="false">CO41+DJ41</f>
        <v>63642.1688797962</v>
      </c>
      <c r="DU41" s="0" t="n">
        <f aca="false">CP41+DK41</f>
        <v>120423.439347193</v>
      </c>
      <c r="DV41" s="0" t="n">
        <f aca="false">AP41+BL41+BR41+BX41+CC41</f>
        <v>6051108.32381358</v>
      </c>
      <c r="DW41" s="0" t="n">
        <f aca="false">CQ41+DL41</f>
        <v>191142.888938528</v>
      </c>
      <c r="DX41" s="0" t="n">
        <f aca="false">AQ41+BM41+BS41+BY41+CD41</f>
        <v>0</v>
      </c>
      <c r="DY41" s="0" t="n">
        <f aca="false">CR41+DM41</f>
        <v>187500</v>
      </c>
      <c r="DZ41" s="0" t="n">
        <f aca="false">AR41+BN41+BT41+BZ41+CE41</f>
        <v>0</v>
      </c>
      <c r="EA41" s="0" t="n">
        <f aca="false">DI41-DN41</f>
        <v>0</v>
      </c>
      <c r="EB41" s="0" t="n">
        <f aca="false">CH41+EA41</f>
        <v>408781.555149795</v>
      </c>
      <c r="EC41" s="0" t="n">
        <f aca="false">R41-I41-MAX(-M41,0)-J41-K41-L41</f>
        <v>408781.555149795</v>
      </c>
      <c r="ED41" s="0" t="n">
        <f aca="false">R41+S41+CM41+DH41-CG41-DT41-DU41-DW41-DY41-DV41-DX41-DZ41-EB41</f>
        <v>0</v>
      </c>
      <c r="EE41" s="0" t="n">
        <f aca="false">IF(AND(EB41&gt;0.000001,DP41+DQ41+DR41+DS41&gt;0.000001),1,0)</f>
        <v>0</v>
      </c>
    </row>
    <row r="42" customFormat="false" ht="15" hidden="false" customHeight="false" outlineLevel="0" collapsed="false">
      <c r="A42" s="0" t="n">
        <f aca="false">ROW()-5</f>
        <v>37</v>
      </c>
      <c r="B42" s="0" t="n">
        <f aca="false">Inputs!$B$11+(Inputs!$B$12-Inputs!$B$11)*(1-EXP(-A42/Inputs!$B$13))+Inputs!$B$8</f>
        <v>0.0347472530203632</v>
      </c>
      <c r="C42" s="0" t="n">
        <f aca="false">CZ41</f>
        <v>25471380.9263545</v>
      </c>
      <c r="D42" s="0" t="n">
        <f aca="false">DA41</f>
        <v>40000000</v>
      </c>
      <c r="E42" s="0" t="n">
        <f aca="false">DB41</f>
        <v>30000000</v>
      </c>
      <c r="F42" s="0" t="n">
        <f aca="false">IF(Inputs!$B$22=1,B42+Inputs!$B$23,Inputs!$B$23)/12</f>
        <v>0.00381227108503027</v>
      </c>
      <c r="G42" s="0" t="n">
        <f aca="false">IF(Inputs!$B$27=1,B42+Inputs!$B$28,Inputs!$B$28)/12</f>
        <v>0.0047706044183636</v>
      </c>
      <c r="H42" s="0" t="n">
        <f aca="false">IF(Inputs!$B$32=1,B42+Inputs!$B$33,Inputs!$B$33)/12</f>
        <v>0.00625</v>
      </c>
      <c r="I42" s="0" t="n">
        <f aca="false">Pool!BT42*Inputs!$B$14/12</f>
        <v>60431.6266840524</v>
      </c>
      <c r="J42" s="0" t="n">
        <f aca="false">C42*F42</f>
        <v>97103.8090013326</v>
      </c>
      <c r="K42" s="0" t="n">
        <f aca="false">D42*G42</f>
        <v>190824.176734544</v>
      </c>
      <c r="L42" s="0" t="n">
        <f aca="false">E42*H42</f>
        <v>187500</v>
      </c>
      <c r="M42" s="0" t="n">
        <f aca="false">Inputs!$B$17*(C42*Inputs!$B$22+D42*Inputs!$B$27+E42*Inputs!$B$32)*(B42-Inputs!$B$18)/12</f>
        <v>-0</v>
      </c>
      <c r="N42" s="0" t="n">
        <f aca="false">DP41+I42+MAX(-M42,0)</f>
        <v>60431.6266840524</v>
      </c>
      <c r="O42" s="0" t="n">
        <f aca="false">DQ41+J42</f>
        <v>97103.8090013326</v>
      </c>
      <c r="P42" s="0" t="n">
        <f aca="false">DR41+K42</f>
        <v>190824.176734544</v>
      </c>
      <c r="Q42" s="0" t="n">
        <f aca="false">DS41+L42</f>
        <v>187500</v>
      </c>
      <c r="R42" s="0" t="n">
        <f aca="false">Pool!BV42+MAX(M42,0)</f>
        <v>925910.989494919</v>
      </c>
      <c r="S42" s="0" t="n">
        <f aca="false">Pool!BW42+Pool!BX42+Pool!BZ42</f>
        <v>5172806.88304538</v>
      </c>
      <c r="T42" s="0" t="n">
        <f aca="false">MAX(T41,BG41)</f>
        <v>1</v>
      </c>
      <c r="U42" s="0" t="n">
        <f aca="false">MIN(C42,S42)</f>
        <v>5172806.88304538</v>
      </c>
      <c r="V42" s="0" t="n">
        <f aca="false">MIN(D42,S42-U42)</f>
        <v>0</v>
      </c>
      <c r="W42" s="0" t="n">
        <f aca="false">MIN(E42,S42-U42-V42)</f>
        <v>0</v>
      </c>
      <c r="X42" s="0" t="n">
        <f aca="false">IF(C42-(0)&gt;Inputs!$B$19,1,0)</f>
        <v>1</v>
      </c>
      <c r="Y42" s="0" t="n">
        <f aca="false">IF(D42-(0)&gt;Inputs!$B$19,1,0)</f>
        <v>1</v>
      </c>
      <c r="Z42" s="0" t="n">
        <f aca="false">IF(E42-(0)&gt;Inputs!$B$19,1,0)</f>
        <v>1</v>
      </c>
      <c r="AA42" s="0" t="n">
        <f aca="false">IF((X42*C42+Y42*D42+Z42*E42)&gt;0,MIN(C42-(0),S42*X42*C42/(X42*C42+Y42*D42+Z42*E42)),0)</f>
        <v>1380084.09743391</v>
      </c>
      <c r="AB42" s="0" t="n">
        <f aca="false">IF((X42*C42+Y42*D42+Z42*E42)&gt;0,MIN(D42-(0),S42*Y42*D42/(X42*C42+Y42*D42+Z42*E42)),0)</f>
        <v>2167270.16320655</v>
      </c>
      <c r="AC42" s="0" t="n">
        <f aca="false">IF((X42*C42+Y42*D42+Z42*E42)&gt;0,MIN(E42-(0),S42*Z42*E42/(X42*C42+Y42*D42+Z42*E42)),0)</f>
        <v>1625452.62240491</v>
      </c>
      <c r="AD42" s="0" t="n">
        <f aca="false">IF(C42-(AA42)&gt;Inputs!$B$19,1,0)</f>
        <v>1</v>
      </c>
      <c r="AE42" s="0" t="n">
        <f aca="false">IF(D42-(AB42)&gt;Inputs!$B$19,1,0)</f>
        <v>1</v>
      </c>
      <c r="AF42" s="0" t="n">
        <f aca="false">IF(E42-(AC42)&gt;Inputs!$B$19,1,0)</f>
        <v>1</v>
      </c>
      <c r="AG42" s="0" t="n">
        <f aca="false">IF((AD42*C42+AE42*D42+AF42*E42)&gt;0,MIN(C42-(AA42),(S42-(AA42+AB42+AC42))*AD42*C42/(AD42*C42+AE42*D42+AF42*E42)),0)</f>
        <v>0</v>
      </c>
      <c r="AH42" s="0" t="n">
        <f aca="false">IF((AD42*C42+AE42*D42+AF42*E42)&gt;0,MIN(D42-(AB42),(S42-(AA42+AB42+AC42))*AE42*D42/(AD42*C42+AE42*D42+AF42*E42)),0)</f>
        <v>0</v>
      </c>
      <c r="AI42" s="0" t="n">
        <f aca="false">IF((AD42*C42+AE42*D42+AF42*E42)&gt;0,MIN(E42-(AC42),(S42-(AA42+AB42+AC42))*AF42*E42/(AD42*C42+AE42*D42+AF42*E42)),0)</f>
        <v>0</v>
      </c>
      <c r="AJ42" s="0" t="n">
        <f aca="false">IF(C42-(AA42+AG42)&gt;Inputs!$B$19,1,0)</f>
        <v>1</v>
      </c>
      <c r="AK42" s="0" t="n">
        <f aca="false">IF(D42-(AB42+AH42)&gt;Inputs!$B$19,1,0)</f>
        <v>1</v>
      </c>
      <c r="AL42" s="0" t="n">
        <f aca="false">IF(E42-(AC42+AI42)&gt;Inputs!$B$19,1,0)</f>
        <v>1</v>
      </c>
      <c r="AM42" s="0" t="n">
        <f aca="false">IF((AJ42*C42+AK42*D42+AL42*E42)&gt;0,MIN(C42-(AA42+AG42),(S42-(AA42+AB42+AC42+AG42+AH42+AI42))*AJ42*C42/(AJ42*C42+AK42*D42+AL42*E42)),0)</f>
        <v>0</v>
      </c>
      <c r="AN42" s="0" t="n">
        <f aca="false">IF((AJ42*C42+AK42*D42+AL42*E42)&gt;0,MIN(D42-(AB42+AH42),(S42-(AA42+AB42+AC42+AG42+AH42+AI42))*AK42*D42/(AJ42*C42+AK42*D42+AL42*E42)),0)</f>
        <v>0</v>
      </c>
      <c r="AO42" s="0" t="n">
        <f aca="false">IF((AJ42*C42+AK42*D42+AL42*E42)&gt;0,MIN(E42-(AC42+AI42),(S42-(AA42+AB42+AC42+AG42+AH42+AI42))*AL42*E42/(AJ42*C42+AK42*D42+AL42*E42)),0)</f>
        <v>0</v>
      </c>
      <c r="AP42" s="0" t="n">
        <f aca="false">IF(T42=1,U42,AA42+AG42+AM42)</f>
        <v>5172806.88304538</v>
      </c>
      <c r="AQ42" s="0" t="n">
        <f aca="false">IF(T42=1,V42,AB42+AH42+AN42)</f>
        <v>0</v>
      </c>
      <c r="AR42" s="0" t="n">
        <f aca="false">IF(T42=1,W42,AC42+AI42+AO42)</f>
        <v>0</v>
      </c>
      <c r="AS42" s="0" t="n">
        <f aca="false">S42-AP42-AQ42-AR42</f>
        <v>0</v>
      </c>
      <c r="AT42" s="0" t="n">
        <f aca="false">C42-AP42</f>
        <v>20298574.0433091</v>
      </c>
      <c r="AU42" s="0" t="n">
        <f aca="false">D42-AQ42</f>
        <v>40000000</v>
      </c>
      <c r="AV42" s="0" t="n">
        <f aca="false">E42-AR42</f>
        <v>30000000</v>
      </c>
      <c r="AW42" s="0" t="n">
        <f aca="false">Pool!CB42</f>
        <v>111068958.224912</v>
      </c>
      <c r="AX42" s="0" t="n">
        <f aca="false">IF((AT42)&gt;Inputs!$B$19,AW42/(AT42),1000000000)</f>
        <v>5.47176161182232</v>
      </c>
      <c r="AY42" s="0" t="n">
        <f aca="false">IF((J42)&gt;0.000000001,(R42-I42-MAX(-M42,0))/(J42),1000000000)</f>
        <v>8.91292907777685</v>
      </c>
      <c r="AZ42" s="0" t="n">
        <f aca="false">IF(OR(AX42&lt;Inputs!$B$24,AY42&lt;Inputs!$B$25),1,0)</f>
        <v>0</v>
      </c>
      <c r="BA42" s="0" t="n">
        <f aca="false">IF((AT42+AU42)&gt;Inputs!$B$19,AW42/(AT42+AU42),1000000000)</f>
        <v>1.84198316439684</v>
      </c>
      <c r="BB42" s="0" t="n">
        <f aca="false">IF((J42+K42)&gt;0.000000001,(R42-I42-MAX(-M42,0))/(J42+K42),1000000000)</f>
        <v>3.00588829737722</v>
      </c>
      <c r="BC42" s="0" t="n">
        <f aca="false">IF(OR(BA42&lt;Inputs!$B$29,BB42&lt;Inputs!$B$30),1,0)</f>
        <v>0</v>
      </c>
      <c r="BD42" s="0" t="n">
        <f aca="false">IF((AT42+AU42+AV42)&gt;Inputs!$B$19,AW42/(AT42+AU42+AV42),1000000000)</f>
        <v>1.2300189610042</v>
      </c>
      <c r="BE42" s="0" t="n">
        <f aca="false">IF((J42+K42+L42)&gt;0.000000001,(R42-I42-MAX(-M42,0))/(J42+K42+L42),1000000000)</f>
        <v>1.82042157545955</v>
      </c>
      <c r="BF42" s="0" t="n">
        <f aca="false">IF(OR(BD42&lt;Inputs!$B$34,BE42&lt;Inputs!$B$35),1,0)</f>
        <v>0</v>
      </c>
      <c r="BG42" s="0" t="n">
        <f aca="false">MAX(AZ42,BC42,BF42)</f>
        <v>0</v>
      </c>
      <c r="BH42" s="0" t="n">
        <f aca="false">MIN(R42,N42)</f>
        <v>60431.6266840524</v>
      </c>
      <c r="BI42" s="0" t="n">
        <f aca="false">R42-BH42</f>
        <v>865479.362810867</v>
      </c>
      <c r="BJ42" s="0" t="n">
        <f aca="false">MIN(BI42,O42)</f>
        <v>97103.8090013326</v>
      </c>
      <c r="BK42" s="0" t="n">
        <f aca="false">BI42-BJ42</f>
        <v>768375.553809534</v>
      </c>
      <c r="BL42" s="0" t="n">
        <f aca="false">AZ42*MIN(AT42,BK42)</f>
        <v>0</v>
      </c>
      <c r="BM42" s="0" t="n">
        <f aca="false">AZ42*MIN(AU42,BK42-BL42)</f>
        <v>0</v>
      </c>
      <c r="BN42" s="0" t="n">
        <f aca="false">AZ42*MIN(AV42,BK42-BL42-BM42)</f>
        <v>0</v>
      </c>
      <c r="BO42" s="0" t="n">
        <f aca="false">BK42-BL42-BM42-BN42</f>
        <v>768375.553809534</v>
      </c>
      <c r="BP42" s="0" t="n">
        <f aca="false">MIN(BO42,P42)</f>
        <v>190824.176734544</v>
      </c>
      <c r="BQ42" s="0" t="n">
        <f aca="false">BO42-BP42</f>
        <v>577551.37707499</v>
      </c>
      <c r="BR42" s="0" t="n">
        <f aca="false">BC42*MIN((AT42-BL42),BQ42)</f>
        <v>0</v>
      </c>
      <c r="BS42" s="0" t="n">
        <f aca="false">BC42*MIN((AU42-BM42),BQ42-BR42)</f>
        <v>0</v>
      </c>
      <c r="BT42" s="0" t="n">
        <f aca="false">BC42*MIN((AV42-BN42),BQ42-BR42-BS42)</f>
        <v>0</v>
      </c>
      <c r="BU42" s="0" t="n">
        <f aca="false">BQ42-BR42-BS42-BT42</f>
        <v>577551.37707499</v>
      </c>
      <c r="BV42" s="0" t="n">
        <f aca="false">MIN(BU42,Q42)</f>
        <v>187500</v>
      </c>
      <c r="BW42" s="0" t="n">
        <f aca="false">BU42-BV42</f>
        <v>390051.37707499</v>
      </c>
      <c r="BX42" s="0" t="n">
        <f aca="false">BF42*MIN((AT42-BL42-BR42),BW42)</f>
        <v>0</v>
      </c>
      <c r="BY42" s="0" t="n">
        <f aca="false">BF42*MIN((AU42-BM42-BS42),BW42-BX42)</f>
        <v>0</v>
      </c>
      <c r="BZ42" s="0" t="n">
        <f aca="false">BF42*MIN((AV42-BN42-BT42),BW42-BX42-BY42)</f>
        <v>0</v>
      </c>
      <c r="CA42" s="0" t="n">
        <f aca="false">BW42-BX42-BY42-BZ42</f>
        <v>390051.37707499</v>
      </c>
      <c r="CB42" s="0" t="n">
        <f aca="false">MAX(0,AT42+AU42+AV42-BL42-BM42-BN42-BR42-BS42-BT42-BX42-BY42-BZ42-AW42)</f>
        <v>0</v>
      </c>
      <c r="CC42" s="0" t="n">
        <f aca="false">1*MIN((AT42-BL42-BR42-BX42),MIN(CA42,CB42))</f>
        <v>0</v>
      </c>
      <c r="CD42" s="0" t="n">
        <f aca="false">1*MIN((AU42-BM42-BS42-BY42),MIN(CA42,CB42)-CC42)</f>
        <v>0</v>
      </c>
      <c r="CE42" s="0" t="n">
        <f aca="false">1*MIN((AV42-BN42-BT42-BZ42),MIN(CA42,CB42)-CC42-CD42)</f>
        <v>0</v>
      </c>
      <c r="CF42" s="0" t="n">
        <f aca="false">CA42-CC42-CD42-CE42</f>
        <v>390051.37707499</v>
      </c>
      <c r="CG42" s="0" t="n">
        <f aca="false">IF(C42+D42+E42&gt;Inputs!$B$19,MIN(CF42,MAX(0,Inputs!$B$15-DO41)),0)</f>
        <v>0</v>
      </c>
      <c r="CH42" s="0" t="n">
        <f aca="false">CF42-CG42</f>
        <v>390051.37707499</v>
      </c>
      <c r="CI42" s="0" t="n">
        <f aca="false">DO41+CG42</f>
        <v>3000000</v>
      </c>
      <c r="CJ42" s="0" t="n">
        <f aca="false">MIN(MAX(N42-BH42,0),CI42)</f>
        <v>0</v>
      </c>
      <c r="CK42" s="0" t="n">
        <f aca="false">MIN(MAX(O42-BJ42,0),CI42-CJ42)</f>
        <v>0</v>
      </c>
      <c r="CL42" s="0" t="n">
        <f aca="false">MIN(MAX(P42-BP42,0),CI42-CJ42-CK42)</f>
        <v>0</v>
      </c>
      <c r="CM42" s="0" t="n">
        <f aca="false">CJ42+CK42+CL42</f>
        <v>0</v>
      </c>
      <c r="CN42" s="0" t="n">
        <f aca="false">CI42-CM42</f>
        <v>3000000</v>
      </c>
      <c r="CO42" s="0" t="n">
        <f aca="false">BH42+CJ42</f>
        <v>60431.6266840524</v>
      </c>
      <c r="CP42" s="0" t="n">
        <f aca="false">BJ42+CK42</f>
        <v>97103.8090013326</v>
      </c>
      <c r="CQ42" s="0" t="n">
        <f aca="false">BP42+CL42</f>
        <v>190824.176734544</v>
      </c>
      <c r="CR42" s="0" t="n">
        <f aca="false">BV42</f>
        <v>187500</v>
      </c>
      <c r="CS42" s="0" t="n">
        <f aca="false">AT42-BL42-BR42-BX42-CC42</f>
        <v>20298574.0433091</v>
      </c>
      <c r="CT42" s="0" t="n">
        <f aca="false">AU42-BM42-BS42-BY42-CD42</f>
        <v>40000000</v>
      </c>
      <c r="CU42" s="0" t="n">
        <f aca="false">AV42-BN42-BT42-BZ42-CE42</f>
        <v>30000000</v>
      </c>
      <c r="CV42" s="0" t="n">
        <f aca="false">MAX(0,CS42+CT42+CU42-AW42)</f>
        <v>0</v>
      </c>
      <c r="CW42" s="0" t="n">
        <f aca="false">MIN(CU42,CV42)</f>
        <v>0</v>
      </c>
      <c r="CX42" s="0" t="n">
        <f aca="false">MIN(CT42,CV42-CW42)</f>
        <v>0</v>
      </c>
      <c r="CY42" s="0" t="n">
        <f aca="false">MIN(CS42,CV42-CW42-CX42)</f>
        <v>0</v>
      </c>
      <c r="CZ42" s="0" t="n">
        <f aca="false">IF(CS42-CY42&lt;Inputs!$B$19,0,CS42-CY42)</f>
        <v>20298574.0433091</v>
      </c>
      <c r="DA42" s="0" t="n">
        <f aca="false">IF(CT42-CX42&lt;Inputs!$B$19,0,CT42-CX42)</f>
        <v>40000000</v>
      </c>
      <c r="DB42" s="0" t="n">
        <f aca="false">IF(CU42-CW42&lt;Inputs!$B$19,0,CU42-CW42)</f>
        <v>30000000</v>
      </c>
      <c r="DC42" s="0" t="n">
        <f aca="false">N42-CO42</f>
        <v>0</v>
      </c>
      <c r="DD42" s="0" t="n">
        <f aca="false">O42-CP42</f>
        <v>0</v>
      </c>
      <c r="DE42" s="0" t="n">
        <f aca="false">P42-CQ42</f>
        <v>0</v>
      </c>
      <c r="DF42" s="0" t="n">
        <f aca="false">Q42-CR42</f>
        <v>0</v>
      </c>
      <c r="DG42" s="0" t="n">
        <f aca="false">IF(CZ42+DA42+DB42&lt;=Inputs!$B$19,1,0)</f>
        <v>0</v>
      </c>
      <c r="DH42" s="0" t="n">
        <f aca="false">DG42*CN42</f>
        <v>0</v>
      </c>
      <c r="DI42" s="0" t="n">
        <f aca="false">DG42*(AS42+DH42)</f>
        <v>0</v>
      </c>
      <c r="DJ42" s="0" t="n">
        <f aca="false">DG42*MIN(DC42,DI42)</f>
        <v>0</v>
      </c>
      <c r="DK42" s="0" t="n">
        <f aca="false">DG42*MIN(DD42,DI42-DJ42)</f>
        <v>0</v>
      </c>
      <c r="DL42" s="0" t="n">
        <f aca="false">DG42*MIN(DE42,DI42-DJ42-DK42)</f>
        <v>0</v>
      </c>
      <c r="DM42" s="0" t="n">
        <f aca="false">DG42*MIN(DF42,DI42-DJ42-DK42-DL42)</f>
        <v>0</v>
      </c>
      <c r="DN42" s="0" t="n">
        <f aca="false">DJ42+DK42+DL42+DM42</f>
        <v>0</v>
      </c>
      <c r="DO42" s="0" t="n">
        <f aca="false">CN42-DH42</f>
        <v>3000000</v>
      </c>
      <c r="DP42" s="0" t="n">
        <f aca="false">DC42-DJ42</f>
        <v>0</v>
      </c>
      <c r="DQ42" s="0" t="n">
        <f aca="false">DD42-DK42</f>
        <v>0</v>
      </c>
      <c r="DR42" s="0" t="n">
        <f aca="false">DE42-DL42</f>
        <v>0</v>
      </c>
      <c r="DS42" s="0" t="n">
        <f aca="false">DF42-DM42</f>
        <v>0</v>
      </c>
      <c r="DT42" s="0" t="n">
        <f aca="false">CO42+DJ42</f>
        <v>60431.6266840524</v>
      </c>
      <c r="DU42" s="0" t="n">
        <f aca="false">CP42+DK42</f>
        <v>97103.8090013326</v>
      </c>
      <c r="DV42" s="0" t="n">
        <f aca="false">AP42+BL42+BR42+BX42+CC42</f>
        <v>5172806.88304538</v>
      </c>
      <c r="DW42" s="0" t="n">
        <f aca="false">CQ42+DL42</f>
        <v>190824.176734544</v>
      </c>
      <c r="DX42" s="0" t="n">
        <f aca="false">AQ42+BM42+BS42+BY42+CD42</f>
        <v>0</v>
      </c>
      <c r="DY42" s="0" t="n">
        <f aca="false">CR42+DM42</f>
        <v>187500</v>
      </c>
      <c r="DZ42" s="0" t="n">
        <f aca="false">AR42+BN42+BT42+BZ42+CE42</f>
        <v>0</v>
      </c>
      <c r="EA42" s="0" t="n">
        <f aca="false">DI42-DN42</f>
        <v>0</v>
      </c>
      <c r="EB42" s="0" t="n">
        <f aca="false">CH42+EA42</f>
        <v>390051.37707499</v>
      </c>
      <c r="EC42" s="0" t="n">
        <f aca="false">R42-I42-MAX(-M42,0)-J42-K42-L42</f>
        <v>390051.37707499</v>
      </c>
      <c r="ED42" s="0" t="n">
        <f aca="false">R42+S42+CM42+DH42-CG42-DT42-DU42-DW42-DY42-DV42-DX42-DZ42-EB42</f>
        <v>-1.39698386192322E-009</v>
      </c>
      <c r="EE42" s="0" t="n">
        <f aca="false">IF(AND(EB42&gt;0.000001,DP42+DQ42+DR42+DS42&gt;0.000001),1,0)</f>
        <v>0</v>
      </c>
    </row>
    <row r="43" customFormat="false" ht="15" hidden="false" customHeight="false" outlineLevel="0" collapsed="false">
      <c r="A43" s="0" t="n">
        <f aca="false">ROW()-5</f>
        <v>38</v>
      </c>
      <c r="B43" s="0" t="n">
        <f aca="false">Inputs!$B$11+(Inputs!$B$12-Inputs!$B$11)*(1-EXP(-A43/Inputs!$B$13))+Inputs!$B$8</f>
        <v>0.0346555414045891</v>
      </c>
      <c r="C43" s="0" t="n">
        <f aca="false">CZ42</f>
        <v>20298574.0433091</v>
      </c>
      <c r="D43" s="0" t="n">
        <f aca="false">DA42</f>
        <v>40000000</v>
      </c>
      <c r="E43" s="0" t="n">
        <f aca="false">DB42</f>
        <v>30000000</v>
      </c>
      <c r="F43" s="0" t="n">
        <f aca="false">IF(Inputs!$B$22=1,B43+Inputs!$B$23,Inputs!$B$23)/12</f>
        <v>0.00380462845038242</v>
      </c>
      <c r="G43" s="0" t="n">
        <f aca="false">IF(Inputs!$B$27=1,B43+Inputs!$B$28,Inputs!$B$28)/12</f>
        <v>0.00476296178371575</v>
      </c>
      <c r="H43" s="0" t="n">
        <f aca="false">IF(Inputs!$B$32=1,B43+Inputs!$B$33,Inputs!$B$33)/12</f>
        <v>0.00625</v>
      </c>
      <c r="I43" s="0" t="n">
        <f aca="false">Pool!BT43*Inputs!$B$14/12</f>
        <v>57685.0083566398</v>
      </c>
      <c r="J43" s="0" t="n">
        <f aca="false">C43*F43</f>
        <v>77228.532307368</v>
      </c>
      <c r="K43" s="0" t="n">
        <f aca="false">D43*G43</f>
        <v>190518.47134863</v>
      </c>
      <c r="L43" s="0" t="n">
        <f aca="false">E43*H43</f>
        <v>187500</v>
      </c>
      <c r="M43" s="0" t="n">
        <f aca="false">Inputs!$B$17*(C43*Inputs!$B$22+D43*Inputs!$B$27+E43*Inputs!$B$32)*(B43-Inputs!$B$18)/12</f>
        <v>-0</v>
      </c>
      <c r="N43" s="0" t="n">
        <f aca="false">DP42+I43+MAX(-M43,0)</f>
        <v>57685.0083566398</v>
      </c>
      <c r="O43" s="0" t="n">
        <f aca="false">DQ42+J43</f>
        <v>77228.532307368</v>
      </c>
      <c r="P43" s="0" t="n">
        <f aca="false">DR42+K43</f>
        <v>190518.47134863</v>
      </c>
      <c r="Q43" s="0" t="n">
        <f aca="false">DS42+L43</f>
        <v>187500</v>
      </c>
      <c r="R43" s="0" t="n">
        <f aca="false">Pool!BV43+MAX(M43,0)</f>
        <v>885808.022378124</v>
      </c>
      <c r="S43" s="0" t="n">
        <f aca="false">Pool!BW43+Pool!BX43+Pool!BZ43</f>
        <v>5102317.32190738</v>
      </c>
      <c r="T43" s="0" t="n">
        <f aca="false">MAX(T42,BG42)</f>
        <v>1</v>
      </c>
      <c r="U43" s="0" t="n">
        <f aca="false">MIN(C43,S43)</f>
        <v>5102317.32190738</v>
      </c>
      <c r="V43" s="0" t="n">
        <f aca="false">MIN(D43,S43-U43)</f>
        <v>0</v>
      </c>
      <c r="W43" s="0" t="n">
        <f aca="false">MIN(E43,S43-U43-V43)</f>
        <v>0</v>
      </c>
      <c r="X43" s="0" t="n">
        <f aca="false">IF(C43-(0)&gt;Inputs!$B$19,1,0)</f>
        <v>1</v>
      </c>
      <c r="Y43" s="0" t="n">
        <f aca="false">IF(D43-(0)&gt;Inputs!$B$19,1,0)</f>
        <v>1</v>
      </c>
      <c r="Z43" s="0" t="n">
        <f aca="false">IF(E43-(0)&gt;Inputs!$B$19,1,0)</f>
        <v>1</v>
      </c>
      <c r="AA43" s="0" t="n">
        <f aca="false">IF((X43*C43+Y43*D43+Z43*E43)&gt;0,MIN(C43-(0),S43*X43*C43/(X43*C43+Y43*D43+Z43*E43)),0)</f>
        <v>1146970.11606763</v>
      </c>
      <c r="AB43" s="0" t="n">
        <f aca="false">IF((X43*C43+Y43*D43+Z43*E43)&gt;0,MIN(D43-(0),S43*Y43*D43/(X43*C43+Y43*D43+Z43*E43)),0)</f>
        <v>2260198.403337</v>
      </c>
      <c r="AC43" s="0" t="n">
        <f aca="false">IF((X43*C43+Y43*D43+Z43*E43)&gt;0,MIN(E43-(0),S43*Z43*E43/(X43*C43+Y43*D43+Z43*E43)),0)</f>
        <v>1695148.80250275</v>
      </c>
      <c r="AD43" s="0" t="n">
        <f aca="false">IF(C43-(AA43)&gt;Inputs!$B$19,1,0)</f>
        <v>1</v>
      </c>
      <c r="AE43" s="0" t="n">
        <f aca="false">IF(D43-(AB43)&gt;Inputs!$B$19,1,0)</f>
        <v>1</v>
      </c>
      <c r="AF43" s="0" t="n">
        <f aca="false">IF(E43-(AC43)&gt;Inputs!$B$19,1,0)</f>
        <v>1</v>
      </c>
      <c r="AG43" s="0" t="n">
        <f aca="false">IF((AD43*C43+AE43*D43+AF43*E43)&gt;0,MIN(C43-(AA43),(S43-(AA43+AB43+AC43))*AD43*C43/(AD43*C43+AE43*D43+AF43*E43)),0)</f>
        <v>0</v>
      </c>
      <c r="AH43" s="0" t="n">
        <f aca="false">IF((AD43*C43+AE43*D43+AF43*E43)&gt;0,MIN(D43-(AB43),(S43-(AA43+AB43+AC43))*AE43*D43/(AD43*C43+AE43*D43+AF43*E43)),0)</f>
        <v>0</v>
      </c>
      <c r="AI43" s="0" t="n">
        <f aca="false">IF((AD43*C43+AE43*D43+AF43*E43)&gt;0,MIN(E43-(AC43),(S43-(AA43+AB43+AC43))*AF43*E43/(AD43*C43+AE43*D43+AF43*E43)),0)</f>
        <v>0</v>
      </c>
      <c r="AJ43" s="0" t="n">
        <f aca="false">IF(C43-(AA43+AG43)&gt;Inputs!$B$19,1,0)</f>
        <v>1</v>
      </c>
      <c r="AK43" s="0" t="n">
        <f aca="false">IF(D43-(AB43+AH43)&gt;Inputs!$B$19,1,0)</f>
        <v>1</v>
      </c>
      <c r="AL43" s="0" t="n">
        <f aca="false">IF(E43-(AC43+AI43)&gt;Inputs!$B$19,1,0)</f>
        <v>1</v>
      </c>
      <c r="AM43" s="0" t="n">
        <f aca="false">IF((AJ43*C43+AK43*D43+AL43*E43)&gt;0,MIN(C43-(AA43+AG43),(S43-(AA43+AB43+AC43+AG43+AH43+AI43))*AJ43*C43/(AJ43*C43+AK43*D43+AL43*E43)),0)</f>
        <v>0</v>
      </c>
      <c r="AN43" s="0" t="n">
        <f aca="false">IF((AJ43*C43+AK43*D43+AL43*E43)&gt;0,MIN(D43-(AB43+AH43),(S43-(AA43+AB43+AC43+AG43+AH43+AI43))*AK43*D43/(AJ43*C43+AK43*D43+AL43*E43)),0)</f>
        <v>0</v>
      </c>
      <c r="AO43" s="0" t="n">
        <f aca="false">IF((AJ43*C43+AK43*D43+AL43*E43)&gt;0,MIN(E43-(AC43+AI43),(S43-(AA43+AB43+AC43+AG43+AH43+AI43))*AL43*E43/(AJ43*C43+AK43*D43+AL43*E43)),0)</f>
        <v>0</v>
      </c>
      <c r="AP43" s="0" t="n">
        <f aca="false">IF(T43=1,U43,AA43+AG43+AM43)</f>
        <v>5102317.32190738</v>
      </c>
      <c r="AQ43" s="0" t="n">
        <f aca="false">IF(T43=1,V43,AB43+AH43+AN43)</f>
        <v>0</v>
      </c>
      <c r="AR43" s="0" t="n">
        <f aca="false">IF(T43=1,W43,AC43+AI43+AO43)</f>
        <v>0</v>
      </c>
      <c r="AS43" s="0" t="n">
        <f aca="false">S43-AP43-AQ43-AR43</f>
        <v>0</v>
      </c>
      <c r="AT43" s="0" t="n">
        <f aca="false">C43-AP43</f>
        <v>15196256.7214017</v>
      </c>
      <c r="AU43" s="0" t="n">
        <f aca="false">D43-AQ43</f>
        <v>40000000</v>
      </c>
      <c r="AV43" s="0" t="n">
        <f aca="false">E43-AR43</f>
        <v>30000000</v>
      </c>
      <c r="AW43" s="0" t="n">
        <f aca="false">Pool!CB43</f>
        <v>105855224.29312</v>
      </c>
      <c r="AX43" s="0" t="n">
        <f aca="false">IF((AT43)&gt;Inputs!$B$19,AW43/(AT43),1000000000)</f>
        <v>6.96587496735547</v>
      </c>
      <c r="AY43" s="0" t="n">
        <f aca="false">IF((J43)&gt;0.000000001,(R43-I43-MAX(-M43,0))/(J43),1000000000)</f>
        <v>10.7230189319871</v>
      </c>
      <c r="AZ43" s="0" t="n">
        <f aca="false">IF(OR(AX43&lt;Inputs!$B$24,AY43&lt;Inputs!$B$25),1,0)</f>
        <v>0</v>
      </c>
      <c r="BA43" s="0" t="n">
        <f aca="false">IF((AT43+AU43)&gt;Inputs!$B$19,AW43/(AT43+AU43),1000000000)</f>
        <v>1.9177971583728</v>
      </c>
      <c r="BB43" s="0" t="n">
        <f aca="false">IF((J43+K43)&gt;0.000000001,(R43-I43-MAX(-M43,0))/(J43+K43),1000000000)</f>
        <v>3.09293102336808</v>
      </c>
      <c r="BC43" s="0" t="n">
        <f aca="false">IF(OR(BA43&lt;Inputs!$B$29,BB43&lt;Inputs!$B$30),1,0)</f>
        <v>0</v>
      </c>
      <c r="BD43" s="0" t="n">
        <f aca="false">IF((AT43+AU43+AV43)&gt;Inputs!$B$19,AW43/(AT43+AU43+AV43),1000000000)</f>
        <v>1.24248679891271</v>
      </c>
      <c r="BE43" s="0" t="n">
        <f aca="false">IF((J43+K43+L43)&gt;0.000000001,(R43-I43-MAX(-M43,0))/(J43+K43+L43),1000000000)</f>
        <v>1.81906307426736</v>
      </c>
      <c r="BF43" s="0" t="n">
        <f aca="false">IF(OR(BD43&lt;Inputs!$B$34,BE43&lt;Inputs!$B$35),1,0)</f>
        <v>0</v>
      </c>
      <c r="BG43" s="0" t="n">
        <f aca="false">MAX(AZ43,BC43,BF43)</f>
        <v>0</v>
      </c>
      <c r="BH43" s="0" t="n">
        <f aca="false">MIN(R43,N43)</f>
        <v>57685.0083566398</v>
      </c>
      <c r="BI43" s="0" t="n">
        <f aca="false">R43-BH43</f>
        <v>828123.014021485</v>
      </c>
      <c r="BJ43" s="0" t="n">
        <f aca="false">MIN(BI43,O43)</f>
        <v>77228.532307368</v>
      </c>
      <c r="BK43" s="0" t="n">
        <f aca="false">BI43-BJ43</f>
        <v>750894.481714117</v>
      </c>
      <c r="BL43" s="0" t="n">
        <f aca="false">AZ43*MIN(AT43,BK43)</f>
        <v>0</v>
      </c>
      <c r="BM43" s="0" t="n">
        <f aca="false">AZ43*MIN(AU43,BK43-BL43)</f>
        <v>0</v>
      </c>
      <c r="BN43" s="0" t="n">
        <f aca="false">AZ43*MIN(AV43,BK43-BL43-BM43)</f>
        <v>0</v>
      </c>
      <c r="BO43" s="0" t="n">
        <f aca="false">BK43-BL43-BM43-BN43</f>
        <v>750894.481714117</v>
      </c>
      <c r="BP43" s="0" t="n">
        <f aca="false">MIN(BO43,P43)</f>
        <v>190518.47134863</v>
      </c>
      <c r="BQ43" s="0" t="n">
        <f aca="false">BO43-BP43</f>
        <v>560376.010365487</v>
      </c>
      <c r="BR43" s="0" t="n">
        <f aca="false">BC43*MIN((AT43-BL43),BQ43)</f>
        <v>0</v>
      </c>
      <c r="BS43" s="0" t="n">
        <f aca="false">BC43*MIN((AU43-BM43),BQ43-BR43)</f>
        <v>0</v>
      </c>
      <c r="BT43" s="0" t="n">
        <f aca="false">BC43*MIN((AV43-BN43),BQ43-BR43-BS43)</f>
        <v>0</v>
      </c>
      <c r="BU43" s="0" t="n">
        <f aca="false">BQ43-BR43-BS43-BT43</f>
        <v>560376.010365487</v>
      </c>
      <c r="BV43" s="0" t="n">
        <f aca="false">MIN(BU43,Q43)</f>
        <v>187500</v>
      </c>
      <c r="BW43" s="0" t="n">
        <f aca="false">BU43-BV43</f>
        <v>372876.010365487</v>
      </c>
      <c r="BX43" s="0" t="n">
        <f aca="false">BF43*MIN((AT43-BL43-BR43),BW43)</f>
        <v>0</v>
      </c>
      <c r="BY43" s="0" t="n">
        <f aca="false">BF43*MIN((AU43-BM43-BS43),BW43-BX43)</f>
        <v>0</v>
      </c>
      <c r="BZ43" s="0" t="n">
        <f aca="false">BF43*MIN((AV43-BN43-BT43),BW43-BX43-BY43)</f>
        <v>0</v>
      </c>
      <c r="CA43" s="0" t="n">
        <f aca="false">BW43-BX43-BY43-BZ43</f>
        <v>372876.010365487</v>
      </c>
      <c r="CB43" s="0" t="n">
        <f aca="false">MAX(0,AT43+AU43+AV43-BL43-BM43-BN43-BR43-BS43-BT43-BX43-BY43-BZ43-AW43)</f>
        <v>0</v>
      </c>
      <c r="CC43" s="0" t="n">
        <f aca="false">1*MIN((AT43-BL43-BR43-BX43),MIN(CA43,CB43))</f>
        <v>0</v>
      </c>
      <c r="CD43" s="0" t="n">
        <f aca="false">1*MIN((AU43-BM43-BS43-BY43),MIN(CA43,CB43)-CC43)</f>
        <v>0</v>
      </c>
      <c r="CE43" s="0" t="n">
        <f aca="false">1*MIN((AV43-BN43-BT43-BZ43),MIN(CA43,CB43)-CC43-CD43)</f>
        <v>0</v>
      </c>
      <c r="CF43" s="0" t="n">
        <f aca="false">CA43-CC43-CD43-CE43</f>
        <v>372876.010365487</v>
      </c>
      <c r="CG43" s="0" t="n">
        <f aca="false">IF(C43+D43+E43&gt;Inputs!$B$19,MIN(CF43,MAX(0,Inputs!$B$15-DO42)),0)</f>
        <v>0</v>
      </c>
      <c r="CH43" s="0" t="n">
        <f aca="false">CF43-CG43</f>
        <v>372876.010365487</v>
      </c>
      <c r="CI43" s="0" t="n">
        <f aca="false">DO42+CG43</f>
        <v>3000000</v>
      </c>
      <c r="CJ43" s="0" t="n">
        <f aca="false">MIN(MAX(N43-BH43,0),CI43)</f>
        <v>0</v>
      </c>
      <c r="CK43" s="0" t="n">
        <f aca="false">MIN(MAX(O43-BJ43,0),CI43-CJ43)</f>
        <v>0</v>
      </c>
      <c r="CL43" s="0" t="n">
        <f aca="false">MIN(MAX(P43-BP43,0),CI43-CJ43-CK43)</f>
        <v>0</v>
      </c>
      <c r="CM43" s="0" t="n">
        <f aca="false">CJ43+CK43+CL43</f>
        <v>0</v>
      </c>
      <c r="CN43" s="0" t="n">
        <f aca="false">CI43-CM43</f>
        <v>3000000</v>
      </c>
      <c r="CO43" s="0" t="n">
        <f aca="false">BH43+CJ43</f>
        <v>57685.0083566398</v>
      </c>
      <c r="CP43" s="0" t="n">
        <f aca="false">BJ43+CK43</f>
        <v>77228.532307368</v>
      </c>
      <c r="CQ43" s="0" t="n">
        <f aca="false">BP43+CL43</f>
        <v>190518.47134863</v>
      </c>
      <c r="CR43" s="0" t="n">
        <f aca="false">BV43</f>
        <v>187500</v>
      </c>
      <c r="CS43" s="0" t="n">
        <f aca="false">AT43-BL43-BR43-BX43-CC43</f>
        <v>15196256.7214017</v>
      </c>
      <c r="CT43" s="0" t="n">
        <f aca="false">AU43-BM43-BS43-BY43-CD43</f>
        <v>40000000</v>
      </c>
      <c r="CU43" s="0" t="n">
        <f aca="false">AV43-BN43-BT43-BZ43-CE43</f>
        <v>30000000</v>
      </c>
      <c r="CV43" s="0" t="n">
        <f aca="false">MAX(0,CS43+CT43+CU43-AW43)</f>
        <v>0</v>
      </c>
      <c r="CW43" s="0" t="n">
        <f aca="false">MIN(CU43,CV43)</f>
        <v>0</v>
      </c>
      <c r="CX43" s="0" t="n">
        <f aca="false">MIN(CT43,CV43-CW43)</f>
        <v>0</v>
      </c>
      <c r="CY43" s="0" t="n">
        <f aca="false">MIN(CS43,CV43-CW43-CX43)</f>
        <v>0</v>
      </c>
      <c r="CZ43" s="0" t="n">
        <f aca="false">IF(CS43-CY43&lt;Inputs!$B$19,0,CS43-CY43)</f>
        <v>15196256.7214017</v>
      </c>
      <c r="DA43" s="0" t="n">
        <f aca="false">IF(CT43-CX43&lt;Inputs!$B$19,0,CT43-CX43)</f>
        <v>40000000</v>
      </c>
      <c r="DB43" s="0" t="n">
        <f aca="false">IF(CU43-CW43&lt;Inputs!$B$19,0,CU43-CW43)</f>
        <v>30000000</v>
      </c>
      <c r="DC43" s="0" t="n">
        <f aca="false">N43-CO43</f>
        <v>0</v>
      </c>
      <c r="DD43" s="0" t="n">
        <f aca="false">O43-CP43</f>
        <v>0</v>
      </c>
      <c r="DE43" s="0" t="n">
        <f aca="false">P43-CQ43</f>
        <v>0</v>
      </c>
      <c r="DF43" s="0" t="n">
        <f aca="false">Q43-CR43</f>
        <v>0</v>
      </c>
      <c r="DG43" s="0" t="n">
        <f aca="false">IF(CZ43+DA43+DB43&lt;=Inputs!$B$19,1,0)</f>
        <v>0</v>
      </c>
      <c r="DH43" s="0" t="n">
        <f aca="false">DG43*CN43</f>
        <v>0</v>
      </c>
      <c r="DI43" s="0" t="n">
        <f aca="false">DG43*(AS43+DH43)</f>
        <v>0</v>
      </c>
      <c r="DJ43" s="0" t="n">
        <f aca="false">DG43*MIN(DC43,DI43)</f>
        <v>0</v>
      </c>
      <c r="DK43" s="0" t="n">
        <f aca="false">DG43*MIN(DD43,DI43-DJ43)</f>
        <v>0</v>
      </c>
      <c r="DL43" s="0" t="n">
        <f aca="false">DG43*MIN(DE43,DI43-DJ43-DK43)</f>
        <v>0</v>
      </c>
      <c r="DM43" s="0" t="n">
        <f aca="false">DG43*MIN(DF43,DI43-DJ43-DK43-DL43)</f>
        <v>0</v>
      </c>
      <c r="DN43" s="0" t="n">
        <f aca="false">DJ43+DK43+DL43+DM43</f>
        <v>0</v>
      </c>
      <c r="DO43" s="0" t="n">
        <f aca="false">CN43-DH43</f>
        <v>3000000</v>
      </c>
      <c r="DP43" s="0" t="n">
        <f aca="false">DC43-DJ43</f>
        <v>0</v>
      </c>
      <c r="DQ43" s="0" t="n">
        <f aca="false">DD43-DK43</f>
        <v>0</v>
      </c>
      <c r="DR43" s="0" t="n">
        <f aca="false">DE43-DL43</f>
        <v>0</v>
      </c>
      <c r="DS43" s="0" t="n">
        <f aca="false">DF43-DM43</f>
        <v>0</v>
      </c>
      <c r="DT43" s="0" t="n">
        <f aca="false">CO43+DJ43</f>
        <v>57685.0083566398</v>
      </c>
      <c r="DU43" s="0" t="n">
        <f aca="false">CP43+DK43</f>
        <v>77228.532307368</v>
      </c>
      <c r="DV43" s="0" t="n">
        <f aca="false">AP43+BL43+BR43+BX43+CC43</f>
        <v>5102317.32190738</v>
      </c>
      <c r="DW43" s="0" t="n">
        <f aca="false">CQ43+DL43</f>
        <v>190518.47134863</v>
      </c>
      <c r="DX43" s="0" t="n">
        <f aca="false">AQ43+BM43+BS43+BY43+CD43</f>
        <v>0</v>
      </c>
      <c r="DY43" s="0" t="n">
        <f aca="false">CR43+DM43</f>
        <v>187500</v>
      </c>
      <c r="DZ43" s="0" t="n">
        <f aca="false">AR43+BN43+BT43+BZ43+CE43</f>
        <v>0</v>
      </c>
      <c r="EA43" s="0" t="n">
        <f aca="false">DI43-DN43</f>
        <v>0</v>
      </c>
      <c r="EB43" s="0" t="n">
        <f aca="false">CH43+EA43</f>
        <v>372876.010365487</v>
      </c>
      <c r="EC43" s="0" t="n">
        <f aca="false">R43-I43-MAX(-M43,0)-J43-K43-L43</f>
        <v>372876.010365487</v>
      </c>
      <c r="ED43" s="0" t="n">
        <f aca="false">R43+S43+CM43+DH43-CG43-DT43-DU43-DW43-DY43-DV43-DX43-DZ43-EB43</f>
        <v>0</v>
      </c>
      <c r="EE43" s="0" t="n">
        <f aca="false">IF(AND(EB43&gt;0.000001,DP43+DQ43+DR43+DS43&gt;0.000001),1,0)</f>
        <v>0</v>
      </c>
    </row>
    <row r="44" customFormat="false" ht="15" hidden="false" customHeight="false" outlineLevel="0" collapsed="false">
      <c r="A44" s="0" t="n">
        <f aca="false">ROW()-5</f>
        <v>39</v>
      </c>
      <c r="B44" s="0" t="n">
        <f aca="false">Inputs!$B$11+(Inputs!$B$12-Inputs!$B$11)*(1-EXP(-A44/Inputs!$B$13))+Inputs!$B$8</f>
        <v>0.034567572589644</v>
      </c>
      <c r="C44" s="0" t="n">
        <f aca="false">CZ43</f>
        <v>15196256.7214017</v>
      </c>
      <c r="D44" s="0" t="n">
        <f aca="false">DA43</f>
        <v>40000000</v>
      </c>
      <c r="E44" s="0" t="n">
        <f aca="false">DB43</f>
        <v>30000000</v>
      </c>
      <c r="F44" s="0" t="n">
        <f aca="false">IF(Inputs!$B$22=1,B44+Inputs!$B$23,Inputs!$B$23)/12</f>
        <v>0.00379729771580367</v>
      </c>
      <c r="G44" s="0" t="n">
        <f aca="false">IF(Inputs!$B$27=1,B44+Inputs!$B$28,Inputs!$B$28)/12</f>
        <v>0.004755631049137</v>
      </c>
      <c r="H44" s="0" t="n">
        <f aca="false">IF(Inputs!$B$32=1,B44+Inputs!$B$33,Inputs!$B$33)/12</f>
        <v>0.00625</v>
      </c>
      <c r="I44" s="0" t="n">
        <f aca="false">Pool!BT44*Inputs!$B$14/12</f>
        <v>54977.1121734596</v>
      </c>
      <c r="J44" s="0" t="n">
        <f aca="false">C44*F44</f>
        <v>57704.710936945</v>
      </c>
      <c r="K44" s="0" t="n">
        <f aca="false">D44*G44</f>
        <v>190225.24196548</v>
      </c>
      <c r="L44" s="0" t="n">
        <f aca="false">E44*H44</f>
        <v>187500</v>
      </c>
      <c r="M44" s="0" t="n">
        <f aca="false">Inputs!$B$17*(C44*Inputs!$B$22+D44*Inputs!$B$27+E44*Inputs!$B$32)*(B44-Inputs!$B$18)/12</f>
        <v>-0</v>
      </c>
      <c r="N44" s="0" t="n">
        <f aca="false">DP43+I44+MAX(-M44,0)</f>
        <v>54977.1121734596</v>
      </c>
      <c r="O44" s="0" t="n">
        <f aca="false">DQ43+J44</f>
        <v>57704.710936945</v>
      </c>
      <c r="P44" s="0" t="n">
        <f aca="false">DR43+K44</f>
        <v>190225.24196548</v>
      </c>
      <c r="Q44" s="0" t="n">
        <f aca="false">DS43+L44</f>
        <v>187500</v>
      </c>
      <c r="R44" s="0" t="n">
        <f aca="false">Pool!BV44+MAX(M44,0)</f>
        <v>846265.351880576</v>
      </c>
      <c r="S44" s="0" t="n">
        <f aca="false">Pool!BW44+Pool!BX44+Pool!BZ44</f>
        <v>5032672.52084675</v>
      </c>
      <c r="T44" s="0" t="n">
        <f aca="false">MAX(T43,BG43)</f>
        <v>1</v>
      </c>
      <c r="U44" s="0" t="n">
        <f aca="false">MIN(C44,S44)</f>
        <v>5032672.52084675</v>
      </c>
      <c r="V44" s="0" t="n">
        <f aca="false">MIN(D44,S44-U44)</f>
        <v>0</v>
      </c>
      <c r="W44" s="0" t="n">
        <f aca="false">MIN(E44,S44-U44-V44)</f>
        <v>0</v>
      </c>
      <c r="X44" s="0" t="n">
        <f aca="false">IF(C44-(0)&gt;Inputs!$B$19,1,0)</f>
        <v>1</v>
      </c>
      <c r="Y44" s="0" t="n">
        <f aca="false">IF(D44-(0)&gt;Inputs!$B$19,1,0)</f>
        <v>1</v>
      </c>
      <c r="Z44" s="0" t="n">
        <f aca="false">IF(E44-(0)&gt;Inputs!$B$19,1,0)</f>
        <v>1</v>
      </c>
      <c r="AA44" s="0" t="n">
        <f aca="false">IF((X44*C44+Y44*D44+Z44*E44)&gt;0,MIN(C44-(0),S44*X44*C44/(X44*C44+Y44*D44+Z44*E44)),0)</f>
        <v>897666.007458747</v>
      </c>
      <c r="AB44" s="0" t="n">
        <f aca="false">IF((X44*C44+Y44*D44+Z44*E44)&gt;0,MIN(D44-(0),S44*Y44*D44/(X44*C44+Y44*D44+Z44*E44)),0)</f>
        <v>2362860.86479314</v>
      </c>
      <c r="AC44" s="0" t="n">
        <f aca="false">IF((X44*C44+Y44*D44+Z44*E44)&gt;0,MIN(E44-(0),S44*Z44*E44/(X44*C44+Y44*D44+Z44*E44)),0)</f>
        <v>1772145.64859486</v>
      </c>
      <c r="AD44" s="0" t="n">
        <f aca="false">IF(C44-(AA44)&gt;Inputs!$B$19,1,0)</f>
        <v>1</v>
      </c>
      <c r="AE44" s="0" t="n">
        <f aca="false">IF(D44-(AB44)&gt;Inputs!$B$19,1,0)</f>
        <v>1</v>
      </c>
      <c r="AF44" s="0" t="n">
        <f aca="false">IF(E44-(AC44)&gt;Inputs!$B$19,1,0)</f>
        <v>1</v>
      </c>
      <c r="AG44" s="0" t="n">
        <f aca="false">IF((AD44*C44+AE44*D44+AF44*E44)&gt;0,MIN(C44-(AA44),(S44-(AA44+AB44+AC44))*AD44*C44/(AD44*C44+AE44*D44+AF44*E44)),0)</f>
        <v>0</v>
      </c>
      <c r="AH44" s="0" t="n">
        <f aca="false">IF((AD44*C44+AE44*D44+AF44*E44)&gt;0,MIN(D44-(AB44),(S44-(AA44+AB44+AC44))*AE44*D44/(AD44*C44+AE44*D44+AF44*E44)),0)</f>
        <v>0</v>
      </c>
      <c r="AI44" s="0" t="n">
        <f aca="false">IF((AD44*C44+AE44*D44+AF44*E44)&gt;0,MIN(E44-(AC44),(S44-(AA44+AB44+AC44))*AF44*E44/(AD44*C44+AE44*D44+AF44*E44)),0)</f>
        <v>0</v>
      </c>
      <c r="AJ44" s="0" t="n">
        <f aca="false">IF(C44-(AA44+AG44)&gt;Inputs!$B$19,1,0)</f>
        <v>1</v>
      </c>
      <c r="AK44" s="0" t="n">
        <f aca="false">IF(D44-(AB44+AH44)&gt;Inputs!$B$19,1,0)</f>
        <v>1</v>
      </c>
      <c r="AL44" s="0" t="n">
        <f aca="false">IF(E44-(AC44+AI44)&gt;Inputs!$B$19,1,0)</f>
        <v>1</v>
      </c>
      <c r="AM44" s="0" t="n">
        <f aca="false">IF((AJ44*C44+AK44*D44+AL44*E44)&gt;0,MIN(C44-(AA44+AG44),(S44-(AA44+AB44+AC44+AG44+AH44+AI44))*AJ44*C44/(AJ44*C44+AK44*D44+AL44*E44)),0)</f>
        <v>0</v>
      </c>
      <c r="AN44" s="0" t="n">
        <f aca="false">IF((AJ44*C44+AK44*D44+AL44*E44)&gt;0,MIN(D44-(AB44+AH44),(S44-(AA44+AB44+AC44+AG44+AH44+AI44))*AK44*D44/(AJ44*C44+AK44*D44+AL44*E44)),0)</f>
        <v>0</v>
      </c>
      <c r="AO44" s="0" t="n">
        <f aca="false">IF((AJ44*C44+AK44*D44+AL44*E44)&gt;0,MIN(E44-(AC44+AI44),(S44-(AA44+AB44+AC44+AG44+AH44+AI44))*AL44*E44/(AJ44*C44+AK44*D44+AL44*E44)),0)</f>
        <v>0</v>
      </c>
      <c r="AP44" s="0" t="n">
        <f aca="false">IF(T44=1,U44,AA44+AG44+AM44)</f>
        <v>5032672.52084675</v>
      </c>
      <c r="AQ44" s="0" t="n">
        <f aca="false">IF(T44=1,V44,AB44+AH44+AN44)</f>
        <v>0</v>
      </c>
      <c r="AR44" s="0" t="n">
        <f aca="false">IF(T44=1,W44,AC44+AI44+AO44)</f>
        <v>0</v>
      </c>
      <c r="AS44" s="0" t="n">
        <f aca="false">S44-AP44-AQ44-AR44</f>
        <v>0</v>
      </c>
      <c r="AT44" s="0" t="n">
        <f aca="false">C44-AP44</f>
        <v>10163584.200555</v>
      </c>
      <c r="AU44" s="0" t="n">
        <f aca="false">D44-AQ44</f>
        <v>40000000</v>
      </c>
      <c r="AV44" s="0" t="n">
        <f aca="false">E44-AR44</f>
        <v>30000000</v>
      </c>
      <c r="AW44" s="0" t="n">
        <f aca="false">Pool!CB44</f>
        <v>100716365.370743</v>
      </c>
      <c r="AX44" s="0" t="n">
        <f aca="false">IF((AT44)&gt;Inputs!$B$19,AW44/(AT44),1000000000)</f>
        <v>9.90953224604007</v>
      </c>
      <c r="AY44" s="0" t="n">
        <f aca="false">IF((J44)&gt;0.000000001,(R44-I44-MAX(-M44,0))/(J44),1000000000)</f>
        <v>13.7127147308956</v>
      </c>
      <c r="AZ44" s="0" t="n">
        <f aca="false">IF(OR(AX44&lt;Inputs!$B$24,AY44&lt;Inputs!$B$25),1,0)</f>
        <v>0</v>
      </c>
      <c r="BA44" s="0" t="n">
        <f aca="false">IF((AT44+AU44)&gt;Inputs!$B$19,AW44/(AT44+AU44),1000000000)</f>
        <v>2.00775855584954</v>
      </c>
      <c r="BB44" s="0" t="n">
        <f aca="false">IF((J44+K44)&gt;0.000000001,(R44-I44-MAX(-M44,0))/(J44+K44),1000000000)</f>
        <v>3.19157984117608</v>
      </c>
      <c r="BC44" s="0" t="n">
        <f aca="false">IF(OR(BA44&lt;Inputs!$B$29,BB44&lt;Inputs!$B$30),1,0)</f>
        <v>0</v>
      </c>
      <c r="BD44" s="0" t="n">
        <f aca="false">IF((AT44+AU44+AV44)&gt;Inputs!$B$19,AW44/(AT44+AU44+AV44),1000000000)</f>
        <v>1.2563855069001</v>
      </c>
      <c r="BE44" s="0" t="n">
        <f aca="false">IF((J44+K44+L44)&gt;0.000000001,(R44-I44-MAX(-M44,0))/(J44+K44+L44),1000000000)</f>
        <v>1.81725725213129</v>
      </c>
      <c r="BF44" s="0" t="n">
        <f aca="false">IF(OR(BD44&lt;Inputs!$B$34,BE44&lt;Inputs!$B$35),1,0)</f>
        <v>0</v>
      </c>
      <c r="BG44" s="0" t="n">
        <f aca="false">MAX(AZ44,BC44,BF44)</f>
        <v>0</v>
      </c>
      <c r="BH44" s="0" t="n">
        <f aca="false">MIN(R44,N44)</f>
        <v>54977.1121734596</v>
      </c>
      <c r="BI44" s="0" t="n">
        <f aca="false">R44-BH44</f>
        <v>791288.239707116</v>
      </c>
      <c r="BJ44" s="0" t="n">
        <f aca="false">MIN(BI44,O44)</f>
        <v>57704.710936945</v>
      </c>
      <c r="BK44" s="0" t="n">
        <f aca="false">BI44-BJ44</f>
        <v>733583.528770171</v>
      </c>
      <c r="BL44" s="0" t="n">
        <f aca="false">AZ44*MIN(AT44,BK44)</f>
        <v>0</v>
      </c>
      <c r="BM44" s="0" t="n">
        <f aca="false">AZ44*MIN(AU44,BK44-BL44)</f>
        <v>0</v>
      </c>
      <c r="BN44" s="0" t="n">
        <f aca="false">AZ44*MIN(AV44,BK44-BL44-BM44)</f>
        <v>0</v>
      </c>
      <c r="BO44" s="0" t="n">
        <f aca="false">BK44-BL44-BM44-BN44</f>
        <v>733583.528770171</v>
      </c>
      <c r="BP44" s="0" t="n">
        <f aca="false">MIN(BO44,P44)</f>
        <v>190225.24196548</v>
      </c>
      <c r="BQ44" s="0" t="n">
        <f aca="false">BO44-BP44</f>
        <v>543358.286804691</v>
      </c>
      <c r="BR44" s="0" t="n">
        <f aca="false">BC44*MIN((AT44-BL44),BQ44)</f>
        <v>0</v>
      </c>
      <c r="BS44" s="0" t="n">
        <f aca="false">BC44*MIN((AU44-BM44),BQ44-BR44)</f>
        <v>0</v>
      </c>
      <c r="BT44" s="0" t="n">
        <f aca="false">BC44*MIN((AV44-BN44),BQ44-BR44-BS44)</f>
        <v>0</v>
      </c>
      <c r="BU44" s="0" t="n">
        <f aca="false">BQ44-BR44-BS44-BT44</f>
        <v>543358.286804691</v>
      </c>
      <c r="BV44" s="0" t="n">
        <f aca="false">MIN(BU44,Q44)</f>
        <v>187500</v>
      </c>
      <c r="BW44" s="0" t="n">
        <f aca="false">BU44-BV44</f>
        <v>355858.286804691</v>
      </c>
      <c r="BX44" s="0" t="n">
        <f aca="false">BF44*MIN((AT44-BL44-BR44),BW44)</f>
        <v>0</v>
      </c>
      <c r="BY44" s="0" t="n">
        <f aca="false">BF44*MIN((AU44-BM44-BS44),BW44-BX44)</f>
        <v>0</v>
      </c>
      <c r="BZ44" s="0" t="n">
        <f aca="false">BF44*MIN((AV44-BN44-BT44),BW44-BX44-BY44)</f>
        <v>0</v>
      </c>
      <c r="CA44" s="0" t="n">
        <f aca="false">BW44-BX44-BY44-BZ44</f>
        <v>355858.286804691</v>
      </c>
      <c r="CB44" s="0" t="n">
        <f aca="false">MAX(0,AT44+AU44+AV44-BL44-BM44-BN44-BR44-BS44-BT44-BX44-BY44-BZ44-AW44)</f>
        <v>0</v>
      </c>
      <c r="CC44" s="0" t="n">
        <f aca="false">1*MIN((AT44-BL44-BR44-BX44),MIN(CA44,CB44))</f>
        <v>0</v>
      </c>
      <c r="CD44" s="0" t="n">
        <f aca="false">1*MIN((AU44-BM44-BS44-BY44),MIN(CA44,CB44)-CC44)</f>
        <v>0</v>
      </c>
      <c r="CE44" s="0" t="n">
        <f aca="false">1*MIN((AV44-BN44-BT44-BZ44),MIN(CA44,CB44)-CC44-CD44)</f>
        <v>0</v>
      </c>
      <c r="CF44" s="0" t="n">
        <f aca="false">CA44-CC44-CD44-CE44</f>
        <v>355858.286804691</v>
      </c>
      <c r="CG44" s="0" t="n">
        <f aca="false">IF(C44+D44+E44&gt;Inputs!$B$19,MIN(CF44,MAX(0,Inputs!$B$15-DO43)),0)</f>
        <v>0</v>
      </c>
      <c r="CH44" s="0" t="n">
        <f aca="false">CF44-CG44</f>
        <v>355858.286804691</v>
      </c>
      <c r="CI44" s="0" t="n">
        <f aca="false">DO43+CG44</f>
        <v>3000000</v>
      </c>
      <c r="CJ44" s="0" t="n">
        <f aca="false">MIN(MAX(N44-BH44,0),CI44)</f>
        <v>0</v>
      </c>
      <c r="CK44" s="0" t="n">
        <f aca="false">MIN(MAX(O44-BJ44,0),CI44-CJ44)</f>
        <v>0</v>
      </c>
      <c r="CL44" s="0" t="n">
        <f aca="false">MIN(MAX(P44-BP44,0),CI44-CJ44-CK44)</f>
        <v>0</v>
      </c>
      <c r="CM44" s="0" t="n">
        <f aca="false">CJ44+CK44+CL44</f>
        <v>0</v>
      </c>
      <c r="CN44" s="0" t="n">
        <f aca="false">CI44-CM44</f>
        <v>3000000</v>
      </c>
      <c r="CO44" s="0" t="n">
        <f aca="false">BH44+CJ44</f>
        <v>54977.1121734596</v>
      </c>
      <c r="CP44" s="0" t="n">
        <f aca="false">BJ44+CK44</f>
        <v>57704.710936945</v>
      </c>
      <c r="CQ44" s="0" t="n">
        <f aca="false">BP44+CL44</f>
        <v>190225.24196548</v>
      </c>
      <c r="CR44" s="0" t="n">
        <f aca="false">BV44</f>
        <v>187500</v>
      </c>
      <c r="CS44" s="0" t="n">
        <f aca="false">AT44-BL44-BR44-BX44-CC44</f>
        <v>10163584.200555</v>
      </c>
      <c r="CT44" s="0" t="n">
        <f aca="false">AU44-BM44-BS44-BY44-CD44</f>
        <v>40000000</v>
      </c>
      <c r="CU44" s="0" t="n">
        <f aca="false">AV44-BN44-BT44-BZ44-CE44</f>
        <v>30000000</v>
      </c>
      <c r="CV44" s="0" t="n">
        <f aca="false">MAX(0,CS44+CT44+CU44-AW44)</f>
        <v>0</v>
      </c>
      <c r="CW44" s="0" t="n">
        <f aca="false">MIN(CU44,CV44)</f>
        <v>0</v>
      </c>
      <c r="CX44" s="0" t="n">
        <f aca="false">MIN(CT44,CV44-CW44)</f>
        <v>0</v>
      </c>
      <c r="CY44" s="0" t="n">
        <f aca="false">MIN(CS44,CV44-CW44-CX44)</f>
        <v>0</v>
      </c>
      <c r="CZ44" s="0" t="n">
        <f aca="false">IF(CS44-CY44&lt;Inputs!$B$19,0,CS44-CY44)</f>
        <v>10163584.200555</v>
      </c>
      <c r="DA44" s="0" t="n">
        <f aca="false">IF(CT44-CX44&lt;Inputs!$B$19,0,CT44-CX44)</f>
        <v>40000000</v>
      </c>
      <c r="DB44" s="0" t="n">
        <f aca="false">IF(CU44-CW44&lt;Inputs!$B$19,0,CU44-CW44)</f>
        <v>30000000</v>
      </c>
      <c r="DC44" s="0" t="n">
        <f aca="false">N44-CO44</f>
        <v>0</v>
      </c>
      <c r="DD44" s="0" t="n">
        <f aca="false">O44-CP44</f>
        <v>0</v>
      </c>
      <c r="DE44" s="0" t="n">
        <f aca="false">P44-CQ44</f>
        <v>0</v>
      </c>
      <c r="DF44" s="0" t="n">
        <f aca="false">Q44-CR44</f>
        <v>0</v>
      </c>
      <c r="DG44" s="0" t="n">
        <f aca="false">IF(CZ44+DA44+DB44&lt;=Inputs!$B$19,1,0)</f>
        <v>0</v>
      </c>
      <c r="DH44" s="0" t="n">
        <f aca="false">DG44*CN44</f>
        <v>0</v>
      </c>
      <c r="DI44" s="0" t="n">
        <f aca="false">DG44*(AS44+DH44)</f>
        <v>0</v>
      </c>
      <c r="DJ44" s="0" t="n">
        <f aca="false">DG44*MIN(DC44,DI44)</f>
        <v>0</v>
      </c>
      <c r="DK44" s="0" t="n">
        <f aca="false">DG44*MIN(DD44,DI44-DJ44)</f>
        <v>0</v>
      </c>
      <c r="DL44" s="0" t="n">
        <f aca="false">DG44*MIN(DE44,DI44-DJ44-DK44)</f>
        <v>0</v>
      </c>
      <c r="DM44" s="0" t="n">
        <f aca="false">DG44*MIN(DF44,DI44-DJ44-DK44-DL44)</f>
        <v>0</v>
      </c>
      <c r="DN44" s="0" t="n">
        <f aca="false">DJ44+DK44+DL44+DM44</f>
        <v>0</v>
      </c>
      <c r="DO44" s="0" t="n">
        <f aca="false">CN44-DH44</f>
        <v>3000000</v>
      </c>
      <c r="DP44" s="0" t="n">
        <f aca="false">DC44-DJ44</f>
        <v>0</v>
      </c>
      <c r="DQ44" s="0" t="n">
        <f aca="false">DD44-DK44</f>
        <v>0</v>
      </c>
      <c r="DR44" s="0" t="n">
        <f aca="false">DE44-DL44</f>
        <v>0</v>
      </c>
      <c r="DS44" s="0" t="n">
        <f aca="false">DF44-DM44</f>
        <v>0</v>
      </c>
      <c r="DT44" s="0" t="n">
        <f aca="false">CO44+DJ44</f>
        <v>54977.1121734596</v>
      </c>
      <c r="DU44" s="0" t="n">
        <f aca="false">CP44+DK44</f>
        <v>57704.710936945</v>
      </c>
      <c r="DV44" s="0" t="n">
        <f aca="false">AP44+BL44+BR44+BX44+CC44</f>
        <v>5032672.52084675</v>
      </c>
      <c r="DW44" s="0" t="n">
        <f aca="false">CQ44+DL44</f>
        <v>190225.24196548</v>
      </c>
      <c r="DX44" s="0" t="n">
        <f aca="false">AQ44+BM44+BS44+BY44+CD44</f>
        <v>0</v>
      </c>
      <c r="DY44" s="0" t="n">
        <f aca="false">CR44+DM44</f>
        <v>187500</v>
      </c>
      <c r="DZ44" s="0" t="n">
        <f aca="false">AR44+BN44+BT44+BZ44+CE44</f>
        <v>0</v>
      </c>
      <c r="EA44" s="0" t="n">
        <f aca="false">DI44-DN44</f>
        <v>0</v>
      </c>
      <c r="EB44" s="0" t="n">
        <f aca="false">CH44+EA44</f>
        <v>355858.286804691</v>
      </c>
      <c r="EC44" s="0" t="n">
        <f aca="false">R44-I44-MAX(-M44,0)-J44-K44-L44</f>
        <v>355858.286804691</v>
      </c>
      <c r="ED44" s="0" t="n">
        <f aca="false">R44+S44+CM44+DH44-CG44-DT44-DU44-DW44-DY44-DV44-DX44-DZ44-EB44</f>
        <v>0</v>
      </c>
      <c r="EE44" s="0" t="n">
        <f aca="false">IF(AND(EB44&gt;0.000001,DP44+DQ44+DR44+DS44&gt;0.000001),1,0)</f>
        <v>0</v>
      </c>
    </row>
    <row r="45" customFormat="false" ht="15" hidden="false" customHeight="false" outlineLevel="0" collapsed="false">
      <c r="A45" s="0" t="n">
        <f aca="false">ROW()-5</f>
        <v>40</v>
      </c>
      <c r="B45" s="0" t="n">
        <f aca="false">Inputs!$B$11+(Inputs!$B$12-Inputs!$B$11)*(1-EXP(-A45/Inputs!$B$13))+Inputs!$B$8</f>
        <v>0.0344831938297944</v>
      </c>
      <c r="C45" s="0" t="n">
        <f aca="false">CZ44</f>
        <v>10163584.200555</v>
      </c>
      <c r="D45" s="0" t="n">
        <f aca="false">DA44</f>
        <v>40000000</v>
      </c>
      <c r="E45" s="0" t="n">
        <f aca="false">DB44</f>
        <v>30000000</v>
      </c>
      <c r="F45" s="0" t="n">
        <f aca="false">IF(Inputs!$B$22=1,B45+Inputs!$B$23,Inputs!$B$23)/12</f>
        <v>0.00379026615248287</v>
      </c>
      <c r="G45" s="0" t="n">
        <f aca="false">IF(Inputs!$B$27=1,B45+Inputs!$B$28,Inputs!$B$28)/12</f>
        <v>0.0047485994858162</v>
      </c>
      <c r="H45" s="0" t="n">
        <f aca="false">IF(Inputs!$B$32=1,B45+Inputs!$B$33,Inputs!$B$33)/12</f>
        <v>0.00625</v>
      </c>
      <c r="I45" s="0" t="n">
        <f aca="false">Pool!BT45*Inputs!$B$14/12</f>
        <v>52307.471137618</v>
      </c>
      <c r="J45" s="0" t="n">
        <f aca="false">C45*F45</f>
        <v>38522.6891832732</v>
      </c>
      <c r="K45" s="0" t="n">
        <f aca="false">D45*G45</f>
        <v>189943.979432648</v>
      </c>
      <c r="L45" s="0" t="n">
        <f aca="false">E45*H45</f>
        <v>187500</v>
      </c>
      <c r="M45" s="0" t="n">
        <f aca="false">Inputs!$B$17*(C45*Inputs!$B$22+D45*Inputs!$B$27+E45*Inputs!$B$32)*(B45-Inputs!$B$18)/12</f>
        <v>-0</v>
      </c>
      <c r="N45" s="0" t="n">
        <f aca="false">DP44+I45+MAX(-M45,0)</f>
        <v>52307.471137618</v>
      </c>
      <c r="O45" s="0" t="n">
        <f aca="false">DQ44+J45</f>
        <v>38522.6891832732</v>
      </c>
      <c r="P45" s="0" t="n">
        <f aca="false">DR44+K45</f>
        <v>189943.979432648</v>
      </c>
      <c r="Q45" s="0" t="n">
        <f aca="false">DS44+L45</f>
        <v>187500</v>
      </c>
      <c r="R45" s="0" t="n">
        <f aca="false">Pool!BV45+MAX(M45,0)</f>
        <v>807276.247391475</v>
      </c>
      <c r="S45" s="0" t="n">
        <f aca="false">Pool!BW45+Pool!BX45+Pool!BZ45</f>
        <v>4963862.74841601</v>
      </c>
      <c r="T45" s="0" t="n">
        <f aca="false">MAX(T44,BG44)</f>
        <v>1</v>
      </c>
      <c r="U45" s="0" t="n">
        <f aca="false">MIN(C45,S45)</f>
        <v>4963862.74841601</v>
      </c>
      <c r="V45" s="0" t="n">
        <f aca="false">MIN(D45,S45-U45)</f>
        <v>0</v>
      </c>
      <c r="W45" s="0" t="n">
        <f aca="false">MIN(E45,S45-U45-V45)</f>
        <v>0</v>
      </c>
      <c r="X45" s="0" t="n">
        <f aca="false">IF(C45-(0)&gt;Inputs!$B$19,1,0)</f>
        <v>1</v>
      </c>
      <c r="Y45" s="0" t="n">
        <f aca="false">IF(D45-(0)&gt;Inputs!$B$19,1,0)</f>
        <v>1</v>
      </c>
      <c r="Z45" s="0" t="n">
        <f aca="false">IF(E45-(0)&gt;Inputs!$B$19,1,0)</f>
        <v>1</v>
      </c>
      <c r="AA45" s="0" t="n">
        <f aca="false">IF((X45*C45+Y45*D45+Z45*E45)&gt;0,MIN(C45-(0),S45*X45*C45/(X45*C45+Y45*D45+Z45*E45)),0)</f>
        <v>629346.074113976</v>
      </c>
      <c r="AB45" s="0" t="n">
        <f aca="false">IF((X45*C45+Y45*D45+Z45*E45)&gt;0,MIN(D45-(0),S45*Y45*D45/(X45*C45+Y45*D45+Z45*E45)),0)</f>
        <v>2476866.67102974</v>
      </c>
      <c r="AC45" s="0" t="n">
        <f aca="false">IF((X45*C45+Y45*D45+Z45*E45)&gt;0,MIN(E45-(0),S45*Z45*E45/(X45*C45+Y45*D45+Z45*E45)),0)</f>
        <v>1857650.0032723</v>
      </c>
      <c r="AD45" s="0" t="n">
        <f aca="false">IF(C45-(AA45)&gt;Inputs!$B$19,1,0)</f>
        <v>1</v>
      </c>
      <c r="AE45" s="0" t="n">
        <f aca="false">IF(D45-(AB45)&gt;Inputs!$B$19,1,0)</f>
        <v>1</v>
      </c>
      <c r="AF45" s="0" t="n">
        <f aca="false">IF(E45-(AC45)&gt;Inputs!$B$19,1,0)</f>
        <v>1</v>
      </c>
      <c r="AG45" s="0" t="n">
        <f aca="false">IF((AD45*C45+AE45*D45+AF45*E45)&gt;0,MIN(C45-(AA45),(S45-(AA45+AB45+AC45))*AD45*C45/(AD45*C45+AE45*D45+AF45*E45)),0)</f>
        <v>0</v>
      </c>
      <c r="AH45" s="0" t="n">
        <f aca="false">IF((AD45*C45+AE45*D45+AF45*E45)&gt;0,MIN(D45-(AB45),(S45-(AA45+AB45+AC45))*AE45*D45/(AD45*C45+AE45*D45+AF45*E45)),0)</f>
        <v>0</v>
      </c>
      <c r="AI45" s="0" t="n">
        <f aca="false">IF((AD45*C45+AE45*D45+AF45*E45)&gt;0,MIN(E45-(AC45),(S45-(AA45+AB45+AC45))*AF45*E45/(AD45*C45+AE45*D45+AF45*E45)),0)</f>
        <v>0</v>
      </c>
      <c r="AJ45" s="0" t="n">
        <f aca="false">IF(C45-(AA45+AG45)&gt;Inputs!$B$19,1,0)</f>
        <v>1</v>
      </c>
      <c r="AK45" s="0" t="n">
        <f aca="false">IF(D45-(AB45+AH45)&gt;Inputs!$B$19,1,0)</f>
        <v>1</v>
      </c>
      <c r="AL45" s="0" t="n">
        <f aca="false">IF(E45-(AC45+AI45)&gt;Inputs!$B$19,1,0)</f>
        <v>1</v>
      </c>
      <c r="AM45" s="0" t="n">
        <f aca="false">IF((AJ45*C45+AK45*D45+AL45*E45)&gt;0,MIN(C45-(AA45+AG45),(S45-(AA45+AB45+AC45+AG45+AH45+AI45))*AJ45*C45/(AJ45*C45+AK45*D45+AL45*E45)),0)</f>
        <v>0</v>
      </c>
      <c r="AN45" s="0" t="n">
        <f aca="false">IF((AJ45*C45+AK45*D45+AL45*E45)&gt;0,MIN(D45-(AB45+AH45),(S45-(AA45+AB45+AC45+AG45+AH45+AI45))*AK45*D45/(AJ45*C45+AK45*D45+AL45*E45)),0)</f>
        <v>0</v>
      </c>
      <c r="AO45" s="0" t="n">
        <f aca="false">IF((AJ45*C45+AK45*D45+AL45*E45)&gt;0,MIN(E45-(AC45+AI45),(S45-(AA45+AB45+AC45+AG45+AH45+AI45))*AL45*E45/(AJ45*C45+AK45*D45+AL45*E45)),0)</f>
        <v>0</v>
      </c>
      <c r="AP45" s="0" t="n">
        <f aca="false">IF(T45=1,U45,AA45+AG45+AM45)</f>
        <v>4963862.74841601</v>
      </c>
      <c r="AQ45" s="0" t="n">
        <f aca="false">IF(T45=1,V45,AB45+AH45+AN45)</f>
        <v>0</v>
      </c>
      <c r="AR45" s="0" t="n">
        <f aca="false">IF(T45=1,W45,AC45+AI45+AO45)</f>
        <v>0</v>
      </c>
      <c r="AS45" s="0" t="n">
        <f aca="false">S45-AP45-AQ45-AR45</f>
        <v>0</v>
      </c>
      <c r="AT45" s="0" t="n">
        <f aca="false">C45-AP45</f>
        <v>5199721.45213897</v>
      </c>
      <c r="AU45" s="0" t="n">
        <f aca="false">D45-AQ45</f>
        <v>40000000</v>
      </c>
      <c r="AV45" s="0" t="n">
        <f aca="false">E45-AR45</f>
        <v>30000000</v>
      </c>
      <c r="AW45" s="0" t="n">
        <f aca="false">Pool!CB45</f>
        <v>95651472.5406502</v>
      </c>
      <c r="AX45" s="0" t="n">
        <f aca="false">IF((AT45)&gt;Inputs!$B$19,AW45/(AT45),1000000000)</f>
        <v>18.3954993399315</v>
      </c>
      <c r="AY45" s="0" t="n">
        <f aca="false">IF((J45)&gt;0.000000001,(R45-I45-MAX(-M45,0))/(J45),1000000000)</f>
        <v>19.5980289086794</v>
      </c>
      <c r="AZ45" s="0" t="n">
        <f aca="false">IF(OR(AX45&lt;Inputs!$B$24,AY45&lt;Inputs!$B$25),1,0)</f>
        <v>0</v>
      </c>
      <c r="BA45" s="0" t="n">
        <f aca="false">IF((AT45+AU45)&gt;Inputs!$B$19,AW45/(AT45+AU45),1000000000)</f>
        <v>2.11619606200303</v>
      </c>
      <c r="BB45" s="0" t="n">
        <f aca="false">IF((J45+K45)&gt;0.000000001,(R45-I45-MAX(-M45,0))/(J45+K45),1000000000)</f>
        <v>3.30450293177359</v>
      </c>
      <c r="BC45" s="0" t="n">
        <f aca="false">IF(OR(BA45&lt;Inputs!$B$29,BB45&lt;Inputs!$B$30),1,0)</f>
        <v>0</v>
      </c>
      <c r="BD45" s="0" t="n">
        <f aca="false">IF((AT45+AU45+AV45)&gt;Inputs!$B$19,AW45/(AT45+AU45+AV45),1000000000)</f>
        <v>1.27196578249998</v>
      </c>
      <c r="BE45" s="0" t="n">
        <f aca="false">IF((J45+K45+L45)&gt;0.000000001,(R45-I45-MAX(-M45,0))/(J45+K45+L45),1000000000)</f>
        <v>1.81497421119323</v>
      </c>
      <c r="BF45" s="0" t="n">
        <f aca="false">IF(OR(BD45&lt;Inputs!$B$34,BE45&lt;Inputs!$B$35),1,0)</f>
        <v>0</v>
      </c>
      <c r="BG45" s="0" t="n">
        <f aca="false">MAX(AZ45,BC45,BF45)</f>
        <v>0</v>
      </c>
      <c r="BH45" s="0" t="n">
        <f aca="false">MIN(R45,N45)</f>
        <v>52307.471137618</v>
      </c>
      <c r="BI45" s="0" t="n">
        <f aca="false">R45-BH45</f>
        <v>754968.776253857</v>
      </c>
      <c r="BJ45" s="0" t="n">
        <f aca="false">MIN(BI45,O45)</f>
        <v>38522.6891832732</v>
      </c>
      <c r="BK45" s="0" t="n">
        <f aca="false">BI45-BJ45</f>
        <v>716446.087070584</v>
      </c>
      <c r="BL45" s="0" t="n">
        <f aca="false">AZ45*MIN(AT45,BK45)</f>
        <v>0</v>
      </c>
      <c r="BM45" s="0" t="n">
        <f aca="false">AZ45*MIN(AU45,BK45-BL45)</f>
        <v>0</v>
      </c>
      <c r="BN45" s="0" t="n">
        <f aca="false">AZ45*MIN(AV45,BK45-BL45-BM45)</f>
        <v>0</v>
      </c>
      <c r="BO45" s="0" t="n">
        <f aca="false">BK45-BL45-BM45-BN45</f>
        <v>716446.087070584</v>
      </c>
      <c r="BP45" s="0" t="n">
        <f aca="false">MIN(BO45,P45)</f>
        <v>189943.979432648</v>
      </c>
      <c r="BQ45" s="0" t="n">
        <f aca="false">BO45-BP45</f>
        <v>526502.107637936</v>
      </c>
      <c r="BR45" s="0" t="n">
        <f aca="false">BC45*MIN((AT45-BL45),BQ45)</f>
        <v>0</v>
      </c>
      <c r="BS45" s="0" t="n">
        <f aca="false">BC45*MIN((AU45-BM45),BQ45-BR45)</f>
        <v>0</v>
      </c>
      <c r="BT45" s="0" t="n">
        <f aca="false">BC45*MIN((AV45-BN45),BQ45-BR45-BS45)</f>
        <v>0</v>
      </c>
      <c r="BU45" s="0" t="n">
        <f aca="false">BQ45-BR45-BS45-BT45</f>
        <v>526502.107637936</v>
      </c>
      <c r="BV45" s="0" t="n">
        <f aca="false">MIN(BU45,Q45)</f>
        <v>187500</v>
      </c>
      <c r="BW45" s="0" t="n">
        <f aca="false">BU45-BV45</f>
        <v>339002.107637936</v>
      </c>
      <c r="BX45" s="0" t="n">
        <f aca="false">BF45*MIN((AT45-BL45-BR45),BW45)</f>
        <v>0</v>
      </c>
      <c r="BY45" s="0" t="n">
        <f aca="false">BF45*MIN((AU45-BM45-BS45),BW45-BX45)</f>
        <v>0</v>
      </c>
      <c r="BZ45" s="0" t="n">
        <f aca="false">BF45*MIN((AV45-BN45-BT45),BW45-BX45-BY45)</f>
        <v>0</v>
      </c>
      <c r="CA45" s="0" t="n">
        <f aca="false">BW45-BX45-BY45-BZ45</f>
        <v>339002.107637936</v>
      </c>
      <c r="CB45" s="0" t="n">
        <f aca="false">MAX(0,AT45+AU45+AV45-BL45-BM45-BN45-BR45-BS45-BT45-BX45-BY45-BZ45-AW45)</f>
        <v>0</v>
      </c>
      <c r="CC45" s="0" t="n">
        <f aca="false">1*MIN((AT45-BL45-BR45-BX45),MIN(CA45,CB45))</f>
        <v>0</v>
      </c>
      <c r="CD45" s="0" t="n">
        <f aca="false">1*MIN((AU45-BM45-BS45-BY45),MIN(CA45,CB45)-CC45)</f>
        <v>0</v>
      </c>
      <c r="CE45" s="0" t="n">
        <f aca="false">1*MIN((AV45-BN45-BT45-BZ45),MIN(CA45,CB45)-CC45-CD45)</f>
        <v>0</v>
      </c>
      <c r="CF45" s="0" t="n">
        <f aca="false">CA45-CC45-CD45-CE45</f>
        <v>339002.107637936</v>
      </c>
      <c r="CG45" s="0" t="n">
        <f aca="false">IF(C45+D45+E45&gt;Inputs!$B$19,MIN(CF45,MAX(0,Inputs!$B$15-DO44)),0)</f>
        <v>0</v>
      </c>
      <c r="CH45" s="0" t="n">
        <f aca="false">CF45-CG45</f>
        <v>339002.107637936</v>
      </c>
      <c r="CI45" s="0" t="n">
        <f aca="false">DO44+CG45</f>
        <v>3000000</v>
      </c>
      <c r="CJ45" s="0" t="n">
        <f aca="false">MIN(MAX(N45-BH45,0),CI45)</f>
        <v>0</v>
      </c>
      <c r="CK45" s="0" t="n">
        <f aca="false">MIN(MAX(O45-BJ45,0),CI45-CJ45)</f>
        <v>0</v>
      </c>
      <c r="CL45" s="0" t="n">
        <f aca="false">MIN(MAX(P45-BP45,0),CI45-CJ45-CK45)</f>
        <v>0</v>
      </c>
      <c r="CM45" s="0" t="n">
        <f aca="false">CJ45+CK45+CL45</f>
        <v>0</v>
      </c>
      <c r="CN45" s="0" t="n">
        <f aca="false">CI45-CM45</f>
        <v>3000000</v>
      </c>
      <c r="CO45" s="0" t="n">
        <f aca="false">BH45+CJ45</f>
        <v>52307.471137618</v>
      </c>
      <c r="CP45" s="0" t="n">
        <f aca="false">BJ45+CK45</f>
        <v>38522.6891832732</v>
      </c>
      <c r="CQ45" s="0" t="n">
        <f aca="false">BP45+CL45</f>
        <v>189943.979432648</v>
      </c>
      <c r="CR45" s="0" t="n">
        <f aca="false">BV45</f>
        <v>187500</v>
      </c>
      <c r="CS45" s="0" t="n">
        <f aca="false">AT45-BL45-BR45-BX45-CC45</f>
        <v>5199721.45213897</v>
      </c>
      <c r="CT45" s="0" t="n">
        <f aca="false">AU45-BM45-BS45-BY45-CD45</f>
        <v>40000000</v>
      </c>
      <c r="CU45" s="0" t="n">
        <f aca="false">AV45-BN45-BT45-BZ45-CE45</f>
        <v>30000000</v>
      </c>
      <c r="CV45" s="0" t="n">
        <f aca="false">MAX(0,CS45+CT45+CU45-AW45)</f>
        <v>0</v>
      </c>
      <c r="CW45" s="0" t="n">
        <f aca="false">MIN(CU45,CV45)</f>
        <v>0</v>
      </c>
      <c r="CX45" s="0" t="n">
        <f aca="false">MIN(CT45,CV45-CW45)</f>
        <v>0</v>
      </c>
      <c r="CY45" s="0" t="n">
        <f aca="false">MIN(CS45,CV45-CW45-CX45)</f>
        <v>0</v>
      </c>
      <c r="CZ45" s="0" t="n">
        <f aca="false">IF(CS45-CY45&lt;Inputs!$B$19,0,CS45-CY45)</f>
        <v>5199721.45213897</v>
      </c>
      <c r="DA45" s="0" t="n">
        <f aca="false">IF(CT45-CX45&lt;Inputs!$B$19,0,CT45-CX45)</f>
        <v>40000000</v>
      </c>
      <c r="DB45" s="0" t="n">
        <f aca="false">IF(CU45-CW45&lt;Inputs!$B$19,0,CU45-CW45)</f>
        <v>30000000</v>
      </c>
      <c r="DC45" s="0" t="n">
        <f aca="false">N45-CO45</f>
        <v>0</v>
      </c>
      <c r="DD45" s="0" t="n">
        <f aca="false">O45-CP45</f>
        <v>0</v>
      </c>
      <c r="DE45" s="0" t="n">
        <f aca="false">P45-CQ45</f>
        <v>0</v>
      </c>
      <c r="DF45" s="0" t="n">
        <f aca="false">Q45-CR45</f>
        <v>0</v>
      </c>
      <c r="DG45" s="0" t="n">
        <f aca="false">IF(CZ45+DA45+DB45&lt;=Inputs!$B$19,1,0)</f>
        <v>0</v>
      </c>
      <c r="DH45" s="0" t="n">
        <f aca="false">DG45*CN45</f>
        <v>0</v>
      </c>
      <c r="DI45" s="0" t="n">
        <f aca="false">DG45*(AS45+DH45)</f>
        <v>0</v>
      </c>
      <c r="DJ45" s="0" t="n">
        <f aca="false">DG45*MIN(DC45,DI45)</f>
        <v>0</v>
      </c>
      <c r="DK45" s="0" t="n">
        <f aca="false">DG45*MIN(DD45,DI45-DJ45)</f>
        <v>0</v>
      </c>
      <c r="DL45" s="0" t="n">
        <f aca="false">DG45*MIN(DE45,DI45-DJ45-DK45)</f>
        <v>0</v>
      </c>
      <c r="DM45" s="0" t="n">
        <f aca="false">DG45*MIN(DF45,DI45-DJ45-DK45-DL45)</f>
        <v>0</v>
      </c>
      <c r="DN45" s="0" t="n">
        <f aca="false">DJ45+DK45+DL45+DM45</f>
        <v>0</v>
      </c>
      <c r="DO45" s="0" t="n">
        <f aca="false">CN45-DH45</f>
        <v>3000000</v>
      </c>
      <c r="DP45" s="0" t="n">
        <f aca="false">DC45-DJ45</f>
        <v>0</v>
      </c>
      <c r="DQ45" s="0" t="n">
        <f aca="false">DD45-DK45</f>
        <v>0</v>
      </c>
      <c r="DR45" s="0" t="n">
        <f aca="false">DE45-DL45</f>
        <v>0</v>
      </c>
      <c r="DS45" s="0" t="n">
        <f aca="false">DF45-DM45</f>
        <v>0</v>
      </c>
      <c r="DT45" s="0" t="n">
        <f aca="false">CO45+DJ45</f>
        <v>52307.471137618</v>
      </c>
      <c r="DU45" s="0" t="n">
        <f aca="false">CP45+DK45</f>
        <v>38522.6891832732</v>
      </c>
      <c r="DV45" s="0" t="n">
        <f aca="false">AP45+BL45+BR45+BX45+CC45</f>
        <v>4963862.74841601</v>
      </c>
      <c r="DW45" s="0" t="n">
        <f aca="false">CQ45+DL45</f>
        <v>189943.979432648</v>
      </c>
      <c r="DX45" s="0" t="n">
        <f aca="false">AQ45+BM45+BS45+BY45+CD45</f>
        <v>0</v>
      </c>
      <c r="DY45" s="0" t="n">
        <f aca="false">CR45+DM45</f>
        <v>187500</v>
      </c>
      <c r="DZ45" s="0" t="n">
        <f aca="false">AR45+BN45+BT45+BZ45+CE45</f>
        <v>0</v>
      </c>
      <c r="EA45" s="0" t="n">
        <f aca="false">DI45-DN45</f>
        <v>0</v>
      </c>
      <c r="EB45" s="0" t="n">
        <f aca="false">CH45+EA45</f>
        <v>339002.107637936</v>
      </c>
      <c r="EC45" s="0" t="n">
        <f aca="false">R45-I45-MAX(-M45,0)-J45-K45-L45</f>
        <v>339002.107637936</v>
      </c>
      <c r="ED45" s="0" t="n">
        <f aca="false">R45+S45+CM45+DH45-CG45-DT45-DU45-DW45-DY45-DV45-DX45-DZ45-EB45</f>
        <v>0</v>
      </c>
      <c r="EE45" s="0" t="n">
        <f aca="false">IF(AND(EB45&gt;0.000001,DP45+DQ45+DR45+DS45&gt;0.000001),1,0)</f>
        <v>0</v>
      </c>
    </row>
    <row r="46" customFormat="false" ht="15" hidden="false" customHeight="false" outlineLevel="0" collapsed="false">
      <c r="A46" s="0" t="n">
        <f aca="false">ROW()-5</f>
        <v>41</v>
      </c>
      <c r="B46" s="0" t="n">
        <f aca="false">Inputs!$B$11+(Inputs!$B$12-Inputs!$B$11)*(1-EXP(-A46/Inputs!$B$13))+Inputs!$B$8</f>
        <v>0.0344022586129427</v>
      </c>
      <c r="C46" s="0" t="n">
        <f aca="false">CZ45</f>
        <v>5199721.45213897</v>
      </c>
      <c r="D46" s="0" t="n">
        <f aca="false">DA45</f>
        <v>40000000</v>
      </c>
      <c r="E46" s="0" t="n">
        <f aca="false">DB45</f>
        <v>30000000</v>
      </c>
      <c r="F46" s="0" t="n">
        <f aca="false">IF(Inputs!$B$22=1,B46+Inputs!$B$23,Inputs!$B$23)/12</f>
        <v>0.00378352155107856</v>
      </c>
      <c r="G46" s="0" t="n">
        <f aca="false">IF(Inputs!$B$27=1,B46+Inputs!$B$28,Inputs!$B$28)/12</f>
        <v>0.00474185488441189</v>
      </c>
      <c r="H46" s="0" t="n">
        <f aca="false">IF(Inputs!$B$32=1,B46+Inputs!$B$33,Inputs!$B$33)/12</f>
        <v>0.00625</v>
      </c>
      <c r="I46" s="0" t="n">
        <f aca="false">Pool!BT46*Inputs!$B$14/12</f>
        <v>49675.6236381157</v>
      </c>
      <c r="J46" s="0" t="n">
        <f aca="false">C46*F46</f>
        <v>19673.2581737733</v>
      </c>
      <c r="K46" s="0" t="n">
        <f aca="false">D46*G46</f>
        <v>189674.195376476</v>
      </c>
      <c r="L46" s="0" t="n">
        <f aca="false">E46*H46</f>
        <v>187500</v>
      </c>
      <c r="M46" s="0" t="n">
        <f aca="false">Inputs!$B$17*(C46*Inputs!$B$22+D46*Inputs!$B$27+E46*Inputs!$B$32)*(B46-Inputs!$B$18)/12</f>
        <v>-0</v>
      </c>
      <c r="N46" s="0" t="n">
        <f aca="false">DP45+I46+MAX(-M46,0)</f>
        <v>49675.6236381157</v>
      </c>
      <c r="O46" s="0" t="n">
        <f aca="false">DQ45+J46</f>
        <v>19673.2581737733</v>
      </c>
      <c r="P46" s="0" t="n">
        <f aca="false">DR45+K46</f>
        <v>189674.195376476</v>
      </c>
      <c r="Q46" s="0" t="n">
        <f aca="false">DS45+L46</f>
        <v>187500</v>
      </c>
      <c r="R46" s="0" t="n">
        <f aca="false">Pool!BV46+MAX(M46,0)</f>
        <v>768834.055786518</v>
      </c>
      <c r="S46" s="0" t="n">
        <f aca="false">Pool!BW46+Pool!BX46+Pool!BZ46</f>
        <v>4895878.38369545</v>
      </c>
      <c r="T46" s="0" t="n">
        <f aca="false">MAX(T45,BG45)</f>
        <v>1</v>
      </c>
      <c r="U46" s="0" t="n">
        <f aca="false">MIN(C46,S46)</f>
        <v>4895878.38369545</v>
      </c>
      <c r="V46" s="0" t="n">
        <f aca="false">MIN(D46,S46-U46)</f>
        <v>0</v>
      </c>
      <c r="W46" s="0" t="n">
        <f aca="false">MIN(E46,S46-U46-V46)</f>
        <v>0</v>
      </c>
      <c r="X46" s="0" t="n">
        <f aca="false">IF(C46-(0)&gt;Inputs!$B$19,1,0)</f>
        <v>1</v>
      </c>
      <c r="Y46" s="0" t="n">
        <f aca="false">IF(D46-(0)&gt;Inputs!$B$19,1,0)</f>
        <v>1</v>
      </c>
      <c r="Z46" s="0" t="n">
        <f aca="false">IF(E46-(0)&gt;Inputs!$B$19,1,0)</f>
        <v>1</v>
      </c>
      <c r="AA46" s="0" t="n">
        <f aca="false">IF((X46*C46+Y46*D46+Z46*E46)&gt;0,MIN(C46-(0),S46*X46*C46/(X46*C46+Y46*D46+Z46*E46)),0)</f>
        <v>338527.900997173</v>
      </c>
      <c r="AB46" s="0" t="n">
        <f aca="false">IF((X46*C46+Y46*D46+Z46*E46)&gt;0,MIN(D46-(0),S46*Y46*D46/(X46*C46+Y46*D46+Z46*E46)),0)</f>
        <v>2604200.27582759</v>
      </c>
      <c r="AC46" s="0" t="n">
        <f aca="false">IF((X46*C46+Y46*D46+Z46*E46)&gt;0,MIN(E46-(0),S46*Z46*E46/(X46*C46+Y46*D46+Z46*E46)),0)</f>
        <v>1953150.20687069</v>
      </c>
      <c r="AD46" s="0" t="n">
        <f aca="false">IF(C46-(AA46)&gt;Inputs!$B$19,1,0)</f>
        <v>1</v>
      </c>
      <c r="AE46" s="0" t="n">
        <f aca="false">IF(D46-(AB46)&gt;Inputs!$B$19,1,0)</f>
        <v>1</v>
      </c>
      <c r="AF46" s="0" t="n">
        <f aca="false">IF(E46-(AC46)&gt;Inputs!$B$19,1,0)</f>
        <v>1</v>
      </c>
      <c r="AG46" s="0" t="n">
        <f aca="false">IF((AD46*C46+AE46*D46+AF46*E46)&gt;0,MIN(C46-(AA46),(S46-(AA46+AB46+AC46))*AD46*C46/(AD46*C46+AE46*D46+AF46*E46)),0)</f>
        <v>0</v>
      </c>
      <c r="AH46" s="0" t="n">
        <f aca="false">IF((AD46*C46+AE46*D46+AF46*E46)&gt;0,MIN(D46-(AB46),(S46-(AA46+AB46+AC46))*AE46*D46/(AD46*C46+AE46*D46+AF46*E46)),0)</f>
        <v>0</v>
      </c>
      <c r="AI46" s="0" t="n">
        <f aca="false">IF((AD46*C46+AE46*D46+AF46*E46)&gt;0,MIN(E46-(AC46),(S46-(AA46+AB46+AC46))*AF46*E46/(AD46*C46+AE46*D46+AF46*E46)),0)</f>
        <v>0</v>
      </c>
      <c r="AJ46" s="0" t="n">
        <f aca="false">IF(C46-(AA46+AG46)&gt;Inputs!$B$19,1,0)</f>
        <v>1</v>
      </c>
      <c r="AK46" s="0" t="n">
        <f aca="false">IF(D46-(AB46+AH46)&gt;Inputs!$B$19,1,0)</f>
        <v>1</v>
      </c>
      <c r="AL46" s="0" t="n">
        <f aca="false">IF(E46-(AC46+AI46)&gt;Inputs!$B$19,1,0)</f>
        <v>1</v>
      </c>
      <c r="AM46" s="0" t="n">
        <f aca="false">IF((AJ46*C46+AK46*D46+AL46*E46)&gt;0,MIN(C46-(AA46+AG46),(S46-(AA46+AB46+AC46+AG46+AH46+AI46))*AJ46*C46/(AJ46*C46+AK46*D46+AL46*E46)),0)</f>
        <v>0</v>
      </c>
      <c r="AN46" s="0" t="n">
        <f aca="false">IF((AJ46*C46+AK46*D46+AL46*E46)&gt;0,MIN(D46-(AB46+AH46),(S46-(AA46+AB46+AC46+AG46+AH46+AI46))*AK46*D46/(AJ46*C46+AK46*D46+AL46*E46)),0)</f>
        <v>0</v>
      </c>
      <c r="AO46" s="0" t="n">
        <f aca="false">IF((AJ46*C46+AK46*D46+AL46*E46)&gt;0,MIN(E46-(AC46+AI46),(S46-(AA46+AB46+AC46+AG46+AH46+AI46))*AL46*E46/(AJ46*C46+AK46*D46+AL46*E46)),0)</f>
        <v>0</v>
      </c>
      <c r="AP46" s="0" t="n">
        <f aca="false">IF(T46=1,U46,AA46+AG46+AM46)</f>
        <v>4895878.38369545</v>
      </c>
      <c r="AQ46" s="0" t="n">
        <f aca="false">IF(T46=1,V46,AB46+AH46+AN46)</f>
        <v>0</v>
      </c>
      <c r="AR46" s="0" t="n">
        <f aca="false">IF(T46=1,W46,AC46+AI46+AO46)</f>
        <v>0</v>
      </c>
      <c r="AS46" s="0" t="n">
        <f aca="false">S46-AP46-AQ46-AR46</f>
        <v>0</v>
      </c>
      <c r="AT46" s="0" t="n">
        <f aca="false">C46-AP46</f>
        <v>303843.068443519</v>
      </c>
      <c r="AU46" s="0" t="n">
        <f aca="false">D46-AQ46</f>
        <v>40000000</v>
      </c>
      <c r="AV46" s="0" t="n">
        <f aca="false">E46-AR46</f>
        <v>30000000</v>
      </c>
      <c r="AW46" s="0" t="n">
        <f aca="false">Pool!CB46</f>
        <v>90659647.3982155</v>
      </c>
      <c r="AX46" s="0" t="n">
        <f aca="false">IF((AT46)&gt;Inputs!$B$19,AW46/(AT46),1000000000)</f>
        <v>298.376552944363</v>
      </c>
      <c r="AY46" s="0" t="n">
        <f aca="false">IF((J46)&gt;0.000000001,(R46-I46-MAX(-M46,0))/(J46),1000000000)</f>
        <v>36.5551260394236</v>
      </c>
      <c r="AZ46" s="0" t="n">
        <f aca="false">IF(OR(AX46&lt;Inputs!$B$24,AY46&lt;Inputs!$B$25),1,0)</f>
        <v>0</v>
      </c>
      <c r="BA46" s="0" t="n">
        <f aca="false">IF((AT46+AU46)&gt;Inputs!$B$19,AW46/(AT46+AU46),1000000000)</f>
        <v>2.24940453554909</v>
      </c>
      <c r="BB46" s="0" t="n">
        <f aca="false">IF((J46+K46)&gt;0.000000001,(R46-I46-MAX(-M46,0))/(J46+K46),1000000000)</f>
        <v>3.43523849921482</v>
      </c>
      <c r="BC46" s="0" t="n">
        <f aca="false">IF(OR(BA46&lt;Inputs!$B$29,BB46&lt;Inputs!$B$30),1,0)</f>
        <v>0</v>
      </c>
      <c r="BD46" s="0" t="n">
        <f aca="false">IF((AT46+AU46+AV46)&gt;Inputs!$B$19,AW46/(AT46+AU46+AV46),1000000000)</f>
        <v>1.28954042113964</v>
      </c>
      <c r="BE46" s="0" t="n">
        <f aca="false">IF((J46+K46+L46)&gt;0.000000001,(R46-I46-MAX(-M46,0))/(J46+K46+L46),1000000000)</f>
        <v>1.81217852279186</v>
      </c>
      <c r="BF46" s="0" t="n">
        <f aca="false">IF(OR(BD46&lt;Inputs!$B$34,BE46&lt;Inputs!$B$35),1,0)</f>
        <v>0</v>
      </c>
      <c r="BG46" s="0" t="n">
        <f aca="false">MAX(AZ46,BC46,BF46)</f>
        <v>0</v>
      </c>
      <c r="BH46" s="0" t="n">
        <f aca="false">MIN(R46,N46)</f>
        <v>49675.6236381157</v>
      </c>
      <c r="BI46" s="0" t="n">
        <f aca="false">R46-BH46</f>
        <v>719158.432148402</v>
      </c>
      <c r="BJ46" s="0" t="n">
        <f aca="false">MIN(BI46,O46)</f>
        <v>19673.2581737733</v>
      </c>
      <c r="BK46" s="0" t="n">
        <f aca="false">BI46-BJ46</f>
        <v>699485.173974629</v>
      </c>
      <c r="BL46" s="0" t="n">
        <f aca="false">AZ46*MIN(AT46,BK46)</f>
        <v>0</v>
      </c>
      <c r="BM46" s="0" t="n">
        <f aca="false">AZ46*MIN(AU46,BK46-BL46)</f>
        <v>0</v>
      </c>
      <c r="BN46" s="0" t="n">
        <f aca="false">AZ46*MIN(AV46,BK46-BL46-BM46)</f>
        <v>0</v>
      </c>
      <c r="BO46" s="0" t="n">
        <f aca="false">BK46-BL46-BM46-BN46</f>
        <v>699485.173974629</v>
      </c>
      <c r="BP46" s="0" t="n">
        <f aca="false">MIN(BO46,P46)</f>
        <v>189674.195376476</v>
      </c>
      <c r="BQ46" s="0" t="n">
        <f aca="false">BO46-BP46</f>
        <v>509810.978598153</v>
      </c>
      <c r="BR46" s="0" t="n">
        <f aca="false">BC46*MIN((AT46-BL46),BQ46)</f>
        <v>0</v>
      </c>
      <c r="BS46" s="0" t="n">
        <f aca="false">BC46*MIN((AU46-BM46),BQ46-BR46)</f>
        <v>0</v>
      </c>
      <c r="BT46" s="0" t="n">
        <f aca="false">BC46*MIN((AV46-BN46),BQ46-BR46-BS46)</f>
        <v>0</v>
      </c>
      <c r="BU46" s="0" t="n">
        <f aca="false">BQ46-BR46-BS46-BT46</f>
        <v>509810.978598153</v>
      </c>
      <c r="BV46" s="0" t="n">
        <f aca="false">MIN(BU46,Q46)</f>
        <v>187500</v>
      </c>
      <c r="BW46" s="0" t="n">
        <f aca="false">BU46-BV46</f>
        <v>322310.978598153</v>
      </c>
      <c r="BX46" s="0" t="n">
        <f aca="false">BF46*MIN((AT46-BL46-BR46),BW46)</f>
        <v>0</v>
      </c>
      <c r="BY46" s="0" t="n">
        <f aca="false">BF46*MIN((AU46-BM46-BS46),BW46-BX46)</f>
        <v>0</v>
      </c>
      <c r="BZ46" s="0" t="n">
        <f aca="false">BF46*MIN((AV46-BN46-BT46),BW46-BX46-BY46)</f>
        <v>0</v>
      </c>
      <c r="CA46" s="0" t="n">
        <f aca="false">BW46-BX46-BY46-BZ46</f>
        <v>322310.978598153</v>
      </c>
      <c r="CB46" s="0" t="n">
        <f aca="false">MAX(0,AT46+AU46+AV46-BL46-BM46-BN46-BR46-BS46-BT46-BX46-BY46-BZ46-AW46)</f>
        <v>0</v>
      </c>
      <c r="CC46" s="0" t="n">
        <f aca="false">1*MIN((AT46-BL46-BR46-BX46),MIN(CA46,CB46))</f>
        <v>0</v>
      </c>
      <c r="CD46" s="0" t="n">
        <f aca="false">1*MIN((AU46-BM46-BS46-BY46),MIN(CA46,CB46)-CC46)</f>
        <v>0</v>
      </c>
      <c r="CE46" s="0" t="n">
        <f aca="false">1*MIN((AV46-BN46-BT46-BZ46),MIN(CA46,CB46)-CC46-CD46)</f>
        <v>0</v>
      </c>
      <c r="CF46" s="0" t="n">
        <f aca="false">CA46-CC46-CD46-CE46</f>
        <v>322310.978598153</v>
      </c>
      <c r="CG46" s="0" t="n">
        <f aca="false">IF(C46+D46+E46&gt;Inputs!$B$19,MIN(CF46,MAX(0,Inputs!$B$15-DO45)),0)</f>
        <v>0</v>
      </c>
      <c r="CH46" s="0" t="n">
        <f aca="false">CF46-CG46</f>
        <v>322310.978598153</v>
      </c>
      <c r="CI46" s="0" t="n">
        <f aca="false">DO45+CG46</f>
        <v>3000000</v>
      </c>
      <c r="CJ46" s="0" t="n">
        <f aca="false">MIN(MAX(N46-BH46,0),CI46)</f>
        <v>0</v>
      </c>
      <c r="CK46" s="0" t="n">
        <f aca="false">MIN(MAX(O46-BJ46,0),CI46-CJ46)</f>
        <v>0</v>
      </c>
      <c r="CL46" s="0" t="n">
        <f aca="false">MIN(MAX(P46-BP46,0),CI46-CJ46-CK46)</f>
        <v>0</v>
      </c>
      <c r="CM46" s="0" t="n">
        <f aca="false">CJ46+CK46+CL46</f>
        <v>0</v>
      </c>
      <c r="CN46" s="0" t="n">
        <f aca="false">CI46-CM46</f>
        <v>3000000</v>
      </c>
      <c r="CO46" s="0" t="n">
        <f aca="false">BH46+CJ46</f>
        <v>49675.6236381157</v>
      </c>
      <c r="CP46" s="0" t="n">
        <f aca="false">BJ46+CK46</f>
        <v>19673.2581737733</v>
      </c>
      <c r="CQ46" s="0" t="n">
        <f aca="false">BP46+CL46</f>
        <v>189674.195376476</v>
      </c>
      <c r="CR46" s="0" t="n">
        <f aca="false">BV46</f>
        <v>187500</v>
      </c>
      <c r="CS46" s="0" t="n">
        <f aca="false">AT46-BL46-BR46-BX46-CC46</f>
        <v>303843.068443519</v>
      </c>
      <c r="CT46" s="0" t="n">
        <f aca="false">AU46-BM46-BS46-BY46-CD46</f>
        <v>40000000</v>
      </c>
      <c r="CU46" s="0" t="n">
        <f aca="false">AV46-BN46-BT46-BZ46-CE46</f>
        <v>30000000</v>
      </c>
      <c r="CV46" s="0" t="n">
        <f aca="false">MAX(0,CS46+CT46+CU46-AW46)</f>
        <v>0</v>
      </c>
      <c r="CW46" s="0" t="n">
        <f aca="false">MIN(CU46,CV46)</f>
        <v>0</v>
      </c>
      <c r="CX46" s="0" t="n">
        <f aca="false">MIN(CT46,CV46-CW46)</f>
        <v>0</v>
      </c>
      <c r="CY46" s="0" t="n">
        <f aca="false">MIN(CS46,CV46-CW46-CX46)</f>
        <v>0</v>
      </c>
      <c r="CZ46" s="0" t="n">
        <f aca="false">IF(CS46-CY46&lt;Inputs!$B$19,0,CS46-CY46)</f>
        <v>303843.068443519</v>
      </c>
      <c r="DA46" s="0" t="n">
        <f aca="false">IF(CT46-CX46&lt;Inputs!$B$19,0,CT46-CX46)</f>
        <v>40000000</v>
      </c>
      <c r="DB46" s="0" t="n">
        <f aca="false">IF(CU46-CW46&lt;Inputs!$B$19,0,CU46-CW46)</f>
        <v>30000000</v>
      </c>
      <c r="DC46" s="0" t="n">
        <f aca="false">N46-CO46</f>
        <v>0</v>
      </c>
      <c r="DD46" s="0" t="n">
        <f aca="false">O46-CP46</f>
        <v>0</v>
      </c>
      <c r="DE46" s="0" t="n">
        <f aca="false">P46-CQ46</f>
        <v>0</v>
      </c>
      <c r="DF46" s="0" t="n">
        <f aca="false">Q46-CR46</f>
        <v>0</v>
      </c>
      <c r="DG46" s="0" t="n">
        <f aca="false">IF(CZ46+DA46+DB46&lt;=Inputs!$B$19,1,0)</f>
        <v>0</v>
      </c>
      <c r="DH46" s="0" t="n">
        <f aca="false">DG46*CN46</f>
        <v>0</v>
      </c>
      <c r="DI46" s="0" t="n">
        <f aca="false">DG46*(AS46+DH46)</f>
        <v>0</v>
      </c>
      <c r="DJ46" s="0" t="n">
        <f aca="false">DG46*MIN(DC46,DI46)</f>
        <v>0</v>
      </c>
      <c r="DK46" s="0" t="n">
        <f aca="false">DG46*MIN(DD46,DI46-DJ46)</f>
        <v>0</v>
      </c>
      <c r="DL46" s="0" t="n">
        <f aca="false">DG46*MIN(DE46,DI46-DJ46-DK46)</f>
        <v>0</v>
      </c>
      <c r="DM46" s="0" t="n">
        <f aca="false">DG46*MIN(DF46,DI46-DJ46-DK46-DL46)</f>
        <v>0</v>
      </c>
      <c r="DN46" s="0" t="n">
        <f aca="false">DJ46+DK46+DL46+DM46</f>
        <v>0</v>
      </c>
      <c r="DO46" s="0" t="n">
        <f aca="false">CN46-DH46</f>
        <v>3000000</v>
      </c>
      <c r="DP46" s="0" t="n">
        <f aca="false">DC46-DJ46</f>
        <v>0</v>
      </c>
      <c r="DQ46" s="0" t="n">
        <f aca="false">DD46-DK46</f>
        <v>0</v>
      </c>
      <c r="DR46" s="0" t="n">
        <f aca="false">DE46-DL46</f>
        <v>0</v>
      </c>
      <c r="DS46" s="0" t="n">
        <f aca="false">DF46-DM46</f>
        <v>0</v>
      </c>
      <c r="DT46" s="0" t="n">
        <f aca="false">CO46+DJ46</f>
        <v>49675.6236381157</v>
      </c>
      <c r="DU46" s="0" t="n">
        <f aca="false">CP46+DK46</f>
        <v>19673.2581737733</v>
      </c>
      <c r="DV46" s="0" t="n">
        <f aca="false">AP46+BL46+BR46+BX46+CC46</f>
        <v>4895878.38369545</v>
      </c>
      <c r="DW46" s="0" t="n">
        <f aca="false">CQ46+DL46</f>
        <v>189674.195376476</v>
      </c>
      <c r="DX46" s="0" t="n">
        <f aca="false">AQ46+BM46+BS46+BY46+CD46</f>
        <v>0</v>
      </c>
      <c r="DY46" s="0" t="n">
        <f aca="false">CR46+DM46</f>
        <v>187500</v>
      </c>
      <c r="DZ46" s="0" t="n">
        <f aca="false">AR46+BN46+BT46+BZ46+CE46</f>
        <v>0</v>
      </c>
      <c r="EA46" s="0" t="n">
        <f aca="false">DI46-DN46</f>
        <v>0</v>
      </c>
      <c r="EB46" s="0" t="n">
        <f aca="false">CH46+EA46</f>
        <v>322310.978598153</v>
      </c>
      <c r="EC46" s="0" t="n">
        <f aca="false">R46-I46-MAX(-M46,0)-J46-K46-L46</f>
        <v>322310.978598153</v>
      </c>
      <c r="ED46" s="0" t="n">
        <f aca="false">R46+S46+CM46+DH46-CG46-DT46-DU46-DW46-DY46-DV46-DX46-DZ46-EB46</f>
        <v>0</v>
      </c>
      <c r="EE46" s="0" t="n">
        <f aca="false">IF(AND(EB46&gt;0.000001,DP46+DQ46+DR46+DS46&gt;0.000001),1,0)</f>
        <v>0</v>
      </c>
    </row>
    <row r="47" customFormat="false" ht="15" hidden="false" customHeight="false" outlineLevel="0" collapsed="false">
      <c r="A47" s="0" t="n">
        <f aca="false">ROW()-5</f>
        <v>42</v>
      </c>
      <c r="B47" s="0" t="n">
        <f aca="false">Inputs!$B$11+(Inputs!$B$12-Inputs!$B$11)*(1-EXP(-A47/Inputs!$B$13))+Inputs!$B$8</f>
        <v>0.0343246264062297</v>
      </c>
      <c r="C47" s="0" t="n">
        <f aca="false">CZ46</f>
        <v>303843.068443519</v>
      </c>
      <c r="D47" s="0" t="n">
        <f aca="false">DA46</f>
        <v>40000000</v>
      </c>
      <c r="E47" s="0" t="n">
        <f aca="false">DB46</f>
        <v>30000000</v>
      </c>
      <c r="F47" s="0" t="n">
        <f aca="false">IF(Inputs!$B$22=1,B47+Inputs!$B$23,Inputs!$B$23)/12</f>
        <v>0.00377705220051914</v>
      </c>
      <c r="G47" s="0" t="n">
        <f aca="false">IF(Inputs!$B$27=1,B47+Inputs!$B$28,Inputs!$B$28)/12</f>
        <v>0.00473538553385247</v>
      </c>
      <c r="H47" s="0" t="n">
        <f aca="false">IF(Inputs!$B$32=1,B47+Inputs!$B$33,Inputs!$B$33)/12</f>
        <v>0.00625</v>
      </c>
      <c r="I47" s="0" t="n">
        <f aca="false">Pool!BT47*Inputs!$B$14/12</f>
        <v>47081.1133886719</v>
      </c>
      <c r="J47" s="0" t="n">
        <f aca="false">C47*F47</f>
        <v>1147.63113027708</v>
      </c>
      <c r="K47" s="0" t="n">
        <f aca="false">D47*G47</f>
        <v>189415.421354099</v>
      </c>
      <c r="L47" s="0" t="n">
        <f aca="false">E47*H47</f>
        <v>187500</v>
      </c>
      <c r="M47" s="0" t="n">
        <f aca="false">Inputs!$B$17*(C47*Inputs!$B$22+D47*Inputs!$B$27+E47*Inputs!$B$32)*(B47-Inputs!$B$18)/12</f>
        <v>-0</v>
      </c>
      <c r="N47" s="0" t="n">
        <f aca="false">DP46+I47+MAX(-M47,0)</f>
        <v>47081.1133886719</v>
      </c>
      <c r="O47" s="0" t="n">
        <f aca="false">DQ46+J47</f>
        <v>1147.63113027708</v>
      </c>
      <c r="P47" s="0" t="n">
        <f aca="false">DR46+K47</f>
        <v>189415.421354099</v>
      </c>
      <c r="Q47" s="0" t="n">
        <f aca="false">DS46+L47</f>
        <v>187500</v>
      </c>
      <c r="R47" s="0" t="n">
        <f aca="false">Pool!BV47+MAX(M47,0)</f>
        <v>730932.200548454</v>
      </c>
      <c r="S47" s="0" t="n">
        <f aca="false">Pool!BW47+Pool!BX47+Pool!BZ47</f>
        <v>4828709.91504451</v>
      </c>
      <c r="T47" s="0" t="n">
        <f aca="false">MAX(T46,BG46)</f>
        <v>1</v>
      </c>
      <c r="U47" s="0" t="n">
        <f aca="false">MIN(C47,S47)</f>
        <v>303843.068443519</v>
      </c>
      <c r="V47" s="0" t="n">
        <f aca="false">MIN(D47,S47-U47)</f>
        <v>4524866.84660099</v>
      </c>
      <c r="W47" s="0" t="n">
        <f aca="false">MIN(E47,S47-U47-V47)</f>
        <v>0</v>
      </c>
      <c r="X47" s="0" t="n">
        <f aca="false">IF(C47-(0)&gt;Inputs!$B$19,1,0)</f>
        <v>1</v>
      </c>
      <c r="Y47" s="0" t="n">
        <f aca="false">IF(D47-(0)&gt;Inputs!$B$19,1,0)</f>
        <v>1</v>
      </c>
      <c r="Z47" s="0" t="n">
        <f aca="false">IF(E47-(0)&gt;Inputs!$B$19,1,0)</f>
        <v>1</v>
      </c>
      <c r="AA47" s="0" t="n">
        <f aca="false">IF((X47*C47+Y47*D47+Z47*E47)&gt;0,MIN(C47-(0),S47*X47*C47/(X47*C47+Y47*D47+Z47*E47)),0)</f>
        <v>20868.987713551</v>
      </c>
      <c r="AB47" s="0" t="n">
        <f aca="false">IF((X47*C47+Y47*D47+Z47*E47)&gt;0,MIN(D47-(0),S47*Y47*D47/(X47*C47+Y47*D47+Z47*E47)),0)</f>
        <v>2747337.67276055</v>
      </c>
      <c r="AC47" s="0" t="n">
        <f aca="false">IF((X47*C47+Y47*D47+Z47*E47)&gt;0,MIN(E47-(0),S47*Z47*E47/(X47*C47+Y47*D47+Z47*E47)),0)</f>
        <v>2060503.25457041</v>
      </c>
      <c r="AD47" s="0" t="n">
        <f aca="false">IF(C47-(AA47)&gt;Inputs!$B$19,1,0)</f>
        <v>1</v>
      </c>
      <c r="AE47" s="0" t="n">
        <f aca="false">IF(D47-(AB47)&gt;Inputs!$B$19,1,0)</f>
        <v>1</v>
      </c>
      <c r="AF47" s="0" t="n">
        <f aca="false">IF(E47-(AC47)&gt;Inputs!$B$19,1,0)</f>
        <v>1</v>
      </c>
      <c r="AG47" s="0" t="n">
        <f aca="false">IF((AD47*C47+AE47*D47+AF47*E47)&gt;0,MIN(C47-(AA47),(S47-(AA47+AB47+AC47))*AD47*C47/(AD47*C47+AE47*D47+AF47*E47)),0)</f>
        <v>0</v>
      </c>
      <c r="AH47" s="0" t="n">
        <f aca="false">IF((AD47*C47+AE47*D47+AF47*E47)&gt;0,MIN(D47-(AB47),(S47-(AA47+AB47+AC47))*AE47*D47/(AD47*C47+AE47*D47+AF47*E47)),0)</f>
        <v>0</v>
      </c>
      <c r="AI47" s="0" t="n">
        <f aca="false">IF((AD47*C47+AE47*D47+AF47*E47)&gt;0,MIN(E47-(AC47),(S47-(AA47+AB47+AC47))*AF47*E47/(AD47*C47+AE47*D47+AF47*E47)),0)</f>
        <v>0</v>
      </c>
      <c r="AJ47" s="0" t="n">
        <f aca="false">IF(C47-(AA47+AG47)&gt;Inputs!$B$19,1,0)</f>
        <v>1</v>
      </c>
      <c r="AK47" s="0" t="n">
        <f aca="false">IF(D47-(AB47+AH47)&gt;Inputs!$B$19,1,0)</f>
        <v>1</v>
      </c>
      <c r="AL47" s="0" t="n">
        <f aca="false">IF(E47-(AC47+AI47)&gt;Inputs!$B$19,1,0)</f>
        <v>1</v>
      </c>
      <c r="AM47" s="0" t="n">
        <f aca="false">IF((AJ47*C47+AK47*D47+AL47*E47)&gt;0,MIN(C47-(AA47+AG47),(S47-(AA47+AB47+AC47+AG47+AH47+AI47))*AJ47*C47/(AJ47*C47+AK47*D47+AL47*E47)),0)</f>
        <v>0</v>
      </c>
      <c r="AN47" s="0" t="n">
        <f aca="false">IF((AJ47*C47+AK47*D47+AL47*E47)&gt;0,MIN(D47-(AB47+AH47),(S47-(AA47+AB47+AC47+AG47+AH47+AI47))*AK47*D47/(AJ47*C47+AK47*D47+AL47*E47)),0)</f>
        <v>0</v>
      </c>
      <c r="AO47" s="0" t="n">
        <f aca="false">IF((AJ47*C47+AK47*D47+AL47*E47)&gt;0,MIN(E47-(AC47+AI47),(S47-(AA47+AB47+AC47+AG47+AH47+AI47))*AL47*E47/(AJ47*C47+AK47*D47+AL47*E47)),0)</f>
        <v>0</v>
      </c>
      <c r="AP47" s="0" t="n">
        <f aca="false">IF(T47=1,U47,AA47+AG47+AM47)</f>
        <v>303843.068443519</v>
      </c>
      <c r="AQ47" s="0" t="n">
        <f aca="false">IF(T47=1,V47,AB47+AH47+AN47)</f>
        <v>4524866.84660099</v>
      </c>
      <c r="AR47" s="0" t="n">
        <f aca="false">IF(T47=1,W47,AC47+AI47+AO47)</f>
        <v>0</v>
      </c>
      <c r="AS47" s="0" t="n">
        <f aca="false">S47-AP47-AQ47-AR47</f>
        <v>0</v>
      </c>
      <c r="AT47" s="0" t="n">
        <f aca="false">C47-AP47</f>
        <v>0</v>
      </c>
      <c r="AU47" s="0" t="n">
        <f aca="false">D47-AQ47</f>
        <v>35475133.153399</v>
      </c>
      <c r="AV47" s="0" t="n">
        <f aca="false">E47-AR47</f>
        <v>30000000</v>
      </c>
      <c r="AW47" s="0" t="n">
        <f aca="false">Pool!CB47</f>
        <v>85740001.9317547</v>
      </c>
      <c r="AX47" s="0" t="n">
        <f aca="false">IF((AT47)&gt;Inputs!$B$19,AW47/(AT47),1000000000)</f>
        <v>1000000000</v>
      </c>
      <c r="AY47" s="0" t="n">
        <f aca="false">IF((J47)&gt;0.000000001,(R47-I47-MAX(-M47,0))/(J47),1000000000)</f>
        <v>595.880565730798</v>
      </c>
      <c r="AZ47" s="0" t="n">
        <f aca="false">IF(OR(AX47&lt;Inputs!$B$24,AY47&lt;Inputs!$B$25),1,0)</f>
        <v>0</v>
      </c>
      <c r="BA47" s="0" t="n">
        <f aca="false">IF((AT47+AU47)&gt;Inputs!$B$19,AW47/(AT47+AU47),1000000000)</f>
        <v>2.41690430197976</v>
      </c>
      <c r="BB47" s="0" t="n">
        <f aca="false">IF((J47+K47)&gt;0.000000001,(R47-I47-MAX(-M47,0))/(J47+K47),1000000000)</f>
        <v>3.58858172266027</v>
      </c>
      <c r="BC47" s="0" t="n">
        <f aca="false">IF(OR(BA47&lt;Inputs!$B$29,BB47&lt;Inputs!$B$30),1,0)</f>
        <v>0</v>
      </c>
      <c r="BD47" s="0" t="n">
        <f aca="false">IF((AT47+AU47+AV47)&gt;Inputs!$B$19,AW47/(AT47+AU47+AV47),1000000000)</f>
        <v>1.30950481201585</v>
      </c>
      <c r="BE47" s="0" t="n">
        <f aca="false">IF((J47+K47+L47)&gt;0.000000001,(R47-I47-MAX(-M47,0))/(J47+K47+L47),1000000000)</f>
        <v>1.80882813770341</v>
      </c>
      <c r="BF47" s="0" t="n">
        <f aca="false">IF(OR(BD47&lt;Inputs!$B$34,BE47&lt;Inputs!$B$35),1,0)</f>
        <v>0</v>
      </c>
      <c r="BG47" s="0" t="n">
        <f aca="false">MAX(AZ47,BC47,BF47)</f>
        <v>0</v>
      </c>
      <c r="BH47" s="0" t="n">
        <f aca="false">MIN(R47,N47)</f>
        <v>47081.1133886719</v>
      </c>
      <c r="BI47" s="0" t="n">
        <f aca="false">R47-BH47</f>
        <v>683851.087159782</v>
      </c>
      <c r="BJ47" s="0" t="n">
        <f aca="false">MIN(BI47,O47)</f>
        <v>1147.63113027708</v>
      </c>
      <c r="BK47" s="0" t="n">
        <f aca="false">BI47-BJ47</f>
        <v>682703.456029505</v>
      </c>
      <c r="BL47" s="0" t="n">
        <f aca="false">AZ47*MIN(AT47,BK47)</f>
        <v>0</v>
      </c>
      <c r="BM47" s="0" t="n">
        <f aca="false">AZ47*MIN(AU47,BK47-BL47)</f>
        <v>0</v>
      </c>
      <c r="BN47" s="0" t="n">
        <f aca="false">AZ47*MIN(AV47,BK47-BL47-BM47)</f>
        <v>0</v>
      </c>
      <c r="BO47" s="0" t="n">
        <f aca="false">BK47-BL47-BM47-BN47</f>
        <v>682703.456029505</v>
      </c>
      <c r="BP47" s="0" t="n">
        <f aca="false">MIN(BO47,P47)</f>
        <v>189415.421354099</v>
      </c>
      <c r="BQ47" s="0" t="n">
        <f aca="false">BO47-BP47</f>
        <v>493288.034675406</v>
      </c>
      <c r="BR47" s="0" t="n">
        <f aca="false">BC47*MIN((AT47-BL47),BQ47)</f>
        <v>0</v>
      </c>
      <c r="BS47" s="0" t="n">
        <f aca="false">BC47*MIN((AU47-BM47),BQ47-BR47)</f>
        <v>0</v>
      </c>
      <c r="BT47" s="0" t="n">
        <f aca="false">BC47*MIN((AV47-BN47),BQ47-BR47-BS47)</f>
        <v>0</v>
      </c>
      <c r="BU47" s="0" t="n">
        <f aca="false">BQ47-BR47-BS47-BT47</f>
        <v>493288.034675406</v>
      </c>
      <c r="BV47" s="0" t="n">
        <f aca="false">MIN(BU47,Q47)</f>
        <v>187500</v>
      </c>
      <c r="BW47" s="0" t="n">
        <f aca="false">BU47-BV47</f>
        <v>305788.034675406</v>
      </c>
      <c r="BX47" s="0" t="n">
        <f aca="false">BF47*MIN((AT47-BL47-BR47),BW47)</f>
        <v>0</v>
      </c>
      <c r="BY47" s="0" t="n">
        <f aca="false">BF47*MIN((AU47-BM47-BS47),BW47-BX47)</f>
        <v>0</v>
      </c>
      <c r="BZ47" s="0" t="n">
        <f aca="false">BF47*MIN((AV47-BN47-BT47),BW47-BX47-BY47)</f>
        <v>0</v>
      </c>
      <c r="CA47" s="0" t="n">
        <f aca="false">BW47-BX47-BY47-BZ47</f>
        <v>305788.034675406</v>
      </c>
      <c r="CB47" s="0" t="n">
        <f aca="false">MAX(0,AT47+AU47+AV47-BL47-BM47-BN47-BR47-BS47-BT47-BX47-BY47-BZ47-AW47)</f>
        <v>0</v>
      </c>
      <c r="CC47" s="0" t="n">
        <f aca="false">1*MIN((AT47-BL47-BR47-BX47),MIN(CA47,CB47))</f>
        <v>0</v>
      </c>
      <c r="CD47" s="0" t="n">
        <f aca="false">1*MIN((AU47-BM47-BS47-BY47),MIN(CA47,CB47)-CC47)</f>
        <v>0</v>
      </c>
      <c r="CE47" s="0" t="n">
        <f aca="false">1*MIN((AV47-BN47-BT47-BZ47),MIN(CA47,CB47)-CC47-CD47)</f>
        <v>0</v>
      </c>
      <c r="CF47" s="0" t="n">
        <f aca="false">CA47-CC47-CD47-CE47</f>
        <v>305788.034675406</v>
      </c>
      <c r="CG47" s="0" t="n">
        <f aca="false">IF(C47+D47+E47&gt;Inputs!$B$19,MIN(CF47,MAX(0,Inputs!$B$15-DO46)),0)</f>
        <v>0</v>
      </c>
      <c r="CH47" s="0" t="n">
        <f aca="false">CF47-CG47</f>
        <v>305788.034675406</v>
      </c>
      <c r="CI47" s="0" t="n">
        <f aca="false">DO46+CG47</f>
        <v>3000000</v>
      </c>
      <c r="CJ47" s="0" t="n">
        <f aca="false">MIN(MAX(N47-BH47,0),CI47)</f>
        <v>0</v>
      </c>
      <c r="CK47" s="0" t="n">
        <f aca="false">MIN(MAX(O47-BJ47,0),CI47-CJ47)</f>
        <v>0</v>
      </c>
      <c r="CL47" s="0" t="n">
        <f aca="false">MIN(MAX(P47-BP47,0),CI47-CJ47-CK47)</f>
        <v>0</v>
      </c>
      <c r="CM47" s="0" t="n">
        <f aca="false">CJ47+CK47+CL47</f>
        <v>0</v>
      </c>
      <c r="CN47" s="0" t="n">
        <f aca="false">CI47-CM47</f>
        <v>3000000</v>
      </c>
      <c r="CO47" s="0" t="n">
        <f aca="false">BH47+CJ47</f>
        <v>47081.1133886719</v>
      </c>
      <c r="CP47" s="0" t="n">
        <f aca="false">BJ47+CK47</f>
        <v>1147.63113027708</v>
      </c>
      <c r="CQ47" s="0" t="n">
        <f aca="false">BP47+CL47</f>
        <v>189415.421354099</v>
      </c>
      <c r="CR47" s="0" t="n">
        <f aca="false">BV47</f>
        <v>187500</v>
      </c>
      <c r="CS47" s="0" t="n">
        <f aca="false">AT47-BL47-BR47-BX47-CC47</f>
        <v>0</v>
      </c>
      <c r="CT47" s="0" t="n">
        <f aca="false">AU47-BM47-BS47-BY47-CD47</f>
        <v>35475133.153399</v>
      </c>
      <c r="CU47" s="0" t="n">
        <f aca="false">AV47-BN47-BT47-BZ47-CE47</f>
        <v>30000000</v>
      </c>
      <c r="CV47" s="0" t="n">
        <f aca="false">MAX(0,CS47+CT47+CU47-AW47)</f>
        <v>0</v>
      </c>
      <c r="CW47" s="0" t="n">
        <f aca="false">MIN(CU47,CV47)</f>
        <v>0</v>
      </c>
      <c r="CX47" s="0" t="n">
        <f aca="false">MIN(CT47,CV47-CW47)</f>
        <v>0</v>
      </c>
      <c r="CY47" s="0" t="n">
        <f aca="false">MIN(CS47,CV47-CW47-CX47)</f>
        <v>0</v>
      </c>
      <c r="CZ47" s="0" t="n">
        <f aca="false">IF(CS47-CY47&lt;Inputs!$B$19,0,CS47-CY47)</f>
        <v>0</v>
      </c>
      <c r="DA47" s="0" t="n">
        <f aca="false">IF(CT47-CX47&lt;Inputs!$B$19,0,CT47-CX47)</f>
        <v>35475133.153399</v>
      </c>
      <c r="DB47" s="0" t="n">
        <f aca="false">IF(CU47-CW47&lt;Inputs!$B$19,0,CU47-CW47)</f>
        <v>30000000</v>
      </c>
      <c r="DC47" s="0" t="n">
        <f aca="false">N47-CO47</f>
        <v>0</v>
      </c>
      <c r="DD47" s="0" t="n">
        <f aca="false">O47-CP47</f>
        <v>0</v>
      </c>
      <c r="DE47" s="0" t="n">
        <f aca="false">P47-CQ47</f>
        <v>0</v>
      </c>
      <c r="DF47" s="0" t="n">
        <f aca="false">Q47-CR47</f>
        <v>0</v>
      </c>
      <c r="DG47" s="0" t="n">
        <f aca="false">IF(CZ47+DA47+DB47&lt;=Inputs!$B$19,1,0)</f>
        <v>0</v>
      </c>
      <c r="DH47" s="0" t="n">
        <f aca="false">DG47*CN47</f>
        <v>0</v>
      </c>
      <c r="DI47" s="0" t="n">
        <f aca="false">DG47*(AS47+DH47)</f>
        <v>0</v>
      </c>
      <c r="DJ47" s="0" t="n">
        <f aca="false">DG47*MIN(DC47,DI47)</f>
        <v>0</v>
      </c>
      <c r="DK47" s="0" t="n">
        <f aca="false">DG47*MIN(DD47,DI47-DJ47)</f>
        <v>0</v>
      </c>
      <c r="DL47" s="0" t="n">
        <f aca="false">DG47*MIN(DE47,DI47-DJ47-DK47)</f>
        <v>0</v>
      </c>
      <c r="DM47" s="0" t="n">
        <f aca="false">DG47*MIN(DF47,DI47-DJ47-DK47-DL47)</f>
        <v>0</v>
      </c>
      <c r="DN47" s="0" t="n">
        <f aca="false">DJ47+DK47+DL47+DM47</f>
        <v>0</v>
      </c>
      <c r="DO47" s="0" t="n">
        <f aca="false">CN47-DH47</f>
        <v>3000000</v>
      </c>
      <c r="DP47" s="0" t="n">
        <f aca="false">DC47-DJ47</f>
        <v>0</v>
      </c>
      <c r="DQ47" s="0" t="n">
        <f aca="false">DD47-DK47</f>
        <v>0</v>
      </c>
      <c r="DR47" s="0" t="n">
        <f aca="false">DE47-DL47</f>
        <v>0</v>
      </c>
      <c r="DS47" s="0" t="n">
        <f aca="false">DF47-DM47</f>
        <v>0</v>
      </c>
      <c r="DT47" s="0" t="n">
        <f aca="false">CO47+DJ47</f>
        <v>47081.1133886719</v>
      </c>
      <c r="DU47" s="0" t="n">
        <f aca="false">CP47+DK47</f>
        <v>1147.63113027708</v>
      </c>
      <c r="DV47" s="0" t="n">
        <f aca="false">AP47+BL47+BR47+BX47+CC47</f>
        <v>303843.068443519</v>
      </c>
      <c r="DW47" s="0" t="n">
        <f aca="false">CQ47+DL47</f>
        <v>189415.421354099</v>
      </c>
      <c r="DX47" s="0" t="n">
        <f aca="false">AQ47+BM47+BS47+BY47+CD47</f>
        <v>4524866.84660099</v>
      </c>
      <c r="DY47" s="0" t="n">
        <f aca="false">CR47+DM47</f>
        <v>187500</v>
      </c>
      <c r="DZ47" s="0" t="n">
        <f aca="false">AR47+BN47+BT47+BZ47+CE47</f>
        <v>0</v>
      </c>
      <c r="EA47" s="0" t="n">
        <f aca="false">DI47-DN47</f>
        <v>0</v>
      </c>
      <c r="EB47" s="0" t="n">
        <f aca="false">CH47+EA47</f>
        <v>305788.034675406</v>
      </c>
      <c r="EC47" s="0" t="n">
        <f aca="false">R47-I47-MAX(-M47,0)-J47-K47-L47</f>
        <v>305788.034675406</v>
      </c>
      <c r="ED47" s="0" t="n">
        <f aca="false">R47+S47+CM47+DH47-CG47-DT47-DU47-DW47-DY47-DV47-DX47-DZ47-EB47</f>
        <v>0</v>
      </c>
      <c r="EE47" s="0" t="n">
        <f aca="false">IF(AND(EB47&gt;0.000001,DP47+DQ47+DR47+DS47&gt;0.000001),1,0)</f>
        <v>0</v>
      </c>
    </row>
    <row r="48" customFormat="false" ht="15" hidden="false" customHeight="false" outlineLevel="0" collapsed="false">
      <c r="A48" s="0" t="n">
        <f aca="false">ROW()-5</f>
        <v>43</v>
      </c>
      <c r="B48" s="0" t="n">
        <f aca="false">Inputs!$B$11+(Inputs!$B$12-Inputs!$B$11)*(1-EXP(-A48/Inputs!$B$13))+Inputs!$B$8</f>
        <v>0.0342501624120184</v>
      </c>
      <c r="C48" s="0" t="n">
        <f aca="false">CZ47</f>
        <v>0</v>
      </c>
      <c r="D48" s="0" t="n">
        <f aca="false">DA47</f>
        <v>35475133.153399</v>
      </c>
      <c r="E48" s="0" t="n">
        <f aca="false">DB47</f>
        <v>30000000</v>
      </c>
      <c r="F48" s="0" t="n">
        <f aca="false">IF(Inputs!$B$22=1,B48+Inputs!$B$23,Inputs!$B$23)/12</f>
        <v>0.0037708468676682</v>
      </c>
      <c r="G48" s="0" t="n">
        <f aca="false">IF(Inputs!$B$27=1,B48+Inputs!$B$28,Inputs!$B$28)/12</f>
        <v>0.00472918020100154</v>
      </c>
      <c r="H48" s="0" t="n">
        <f aca="false">IF(Inputs!$B$32=1,B48+Inputs!$B$33,Inputs!$B$33)/12</f>
        <v>0.00625</v>
      </c>
      <c r="I48" s="0" t="n">
        <f aca="false">Pool!BT48*Inputs!$B$14/12</f>
        <v>44523.4893672399</v>
      </c>
      <c r="J48" s="0" t="n">
        <f aca="false">C48*F48</f>
        <v>0</v>
      </c>
      <c r="K48" s="0" t="n">
        <f aca="false">D48*G48</f>
        <v>167768.297336948</v>
      </c>
      <c r="L48" s="0" t="n">
        <f aca="false">E48*H48</f>
        <v>187500</v>
      </c>
      <c r="M48" s="0" t="n">
        <f aca="false">Inputs!$B$17*(C48*Inputs!$B$22+D48*Inputs!$B$27+E48*Inputs!$B$32)*(B48-Inputs!$B$18)/12</f>
        <v>-0</v>
      </c>
      <c r="N48" s="0" t="n">
        <f aca="false">DP47+I48+MAX(-M48,0)</f>
        <v>44523.4893672399</v>
      </c>
      <c r="O48" s="0" t="n">
        <f aca="false">DQ47+J48</f>
        <v>0</v>
      </c>
      <c r="P48" s="0" t="n">
        <f aca="false">DR47+K48</f>
        <v>167768.297336948</v>
      </c>
      <c r="Q48" s="0" t="n">
        <f aca="false">DS47+L48</f>
        <v>187500</v>
      </c>
      <c r="R48" s="0" t="n">
        <f aca="false">Pool!BV48+MAX(M48,0)</f>
        <v>693564.180897581</v>
      </c>
      <c r="S48" s="0" t="n">
        <f aca="false">Pool!BW48+Pool!BX48+Pool!BZ48</f>
        <v>4762347.93886738</v>
      </c>
      <c r="T48" s="0" t="n">
        <f aca="false">MAX(T47,BG47)</f>
        <v>1</v>
      </c>
      <c r="U48" s="0" t="n">
        <f aca="false">MIN(C48,S48)</f>
        <v>0</v>
      </c>
      <c r="V48" s="0" t="n">
        <f aca="false">MIN(D48,S48-U48)</f>
        <v>4762347.93886738</v>
      </c>
      <c r="W48" s="0" t="n">
        <f aca="false">MIN(E48,S48-U48-V48)</f>
        <v>0</v>
      </c>
      <c r="X48" s="0" t="n">
        <f aca="false">IF(C48-(0)&gt;Inputs!$B$19,1,0)</f>
        <v>0</v>
      </c>
      <c r="Y48" s="0" t="n">
        <f aca="false">IF(D48-(0)&gt;Inputs!$B$19,1,0)</f>
        <v>1</v>
      </c>
      <c r="Z48" s="0" t="n">
        <f aca="false">IF(E48-(0)&gt;Inputs!$B$19,1,0)</f>
        <v>1</v>
      </c>
      <c r="AA48" s="0" t="n">
        <f aca="false">IF((X48*C48+Y48*D48+Z48*E48)&gt;0,MIN(C48-(0),S48*X48*C48/(X48*C48+Y48*D48+Z48*E48)),0)</f>
        <v>0</v>
      </c>
      <c r="AB48" s="0" t="n">
        <f aca="false">IF((X48*C48+Y48*D48+Z48*E48)&gt;0,MIN(D48-(0),S48*Y48*D48/(X48*C48+Y48*D48+Z48*E48)),0)</f>
        <v>2580291.46513259</v>
      </c>
      <c r="AC48" s="0" t="n">
        <f aca="false">IF((X48*C48+Y48*D48+Z48*E48)&gt;0,MIN(E48-(0),S48*Z48*E48/(X48*C48+Y48*D48+Z48*E48)),0)</f>
        <v>2182056.47373479</v>
      </c>
      <c r="AD48" s="0" t="n">
        <f aca="false">IF(C48-(AA48)&gt;Inputs!$B$19,1,0)</f>
        <v>0</v>
      </c>
      <c r="AE48" s="0" t="n">
        <f aca="false">IF(D48-(AB48)&gt;Inputs!$B$19,1,0)</f>
        <v>1</v>
      </c>
      <c r="AF48" s="0" t="n">
        <f aca="false">IF(E48-(AC48)&gt;Inputs!$B$19,1,0)</f>
        <v>1</v>
      </c>
      <c r="AG48" s="0" t="n">
        <f aca="false">IF((AD48*C48+AE48*D48+AF48*E48)&gt;0,MIN(C48-(AA48),(S48-(AA48+AB48+AC48))*AD48*C48/(AD48*C48+AE48*D48+AF48*E48)),0)</f>
        <v>0</v>
      </c>
      <c r="AH48" s="0" t="n">
        <f aca="false">IF((AD48*C48+AE48*D48+AF48*E48)&gt;0,MIN(D48-(AB48),(S48-(AA48+AB48+AC48))*AE48*D48/(AD48*C48+AE48*D48+AF48*E48)),0)</f>
        <v>0</v>
      </c>
      <c r="AI48" s="0" t="n">
        <f aca="false">IF((AD48*C48+AE48*D48+AF48*E48)&gt;0,MIN(E48-(AC48),(S48-(AA48+AB48+AC48))*AF48*E48/(AD48*C48+AE48*D48+AF48*E48)),0)</f>
        <v>0</v>
      </c>
      <c r="AJ48" s="0" t="n">
        <f aca="false">IF(C48-(AA48+AG48)&gt;Inputs!$B$19,1,0)</f>
        <v>0</v>
      </c>
      <c r="AK48" s="0" t="n">
        <f aca="false">IF(D48-(AB48+AH48)&gt;Inputs!$B$19,1,0)</f>
        <v>1</v>
      </c>
      <c r="AL48" s="0" t="n">
        <f aca="false">IF(E48-(AC48+AI48)&gt;Inputs!$B$19,1,0)</f>
        <v>1</v>
      </c>
      <c r="AM48" s="0" t="n">
        <f aca="false">IF((AJ48*C48+AK48*D48+AL48*E48)&gt;0,MIN(C48-(AA48+AG48),(S48-(AA48+AB48+AC48+AG48+AH48+AI48))*AJ48*C48/(AJ48*C48+AK48*D48+AL48*E48)),0)</f>
        <v>0</v>
      </c>
      <c r="AN48" s="0" t="n">
        <f aca="false">IF((AJ48*C48+AK48*D48+AL48*E48)&gt;0,MIN(D48-(AB48+AH48),(S48-(AA48+AB48+AC48+AG48+AH48+AI48))*AK48*D48/(AJ48*C48+AK48*D48+AL48*E48)),0)</f>
        <v>0</v>
      </c>
      <c r="AO48" s="0" t="n">
        <f aca="false">IF((AJ48*C48+AK48*D48+AL48*E48)&gt;0,MIN(E48-(AC48+AI48),(S48-(AA48+AB48+AC48+AG48+AH48+AI48))*AL48*E48/(AJ48*C48+AK48*D48+AL48*E48)),0)</f>
        <v>0</v>
      </c>
      <c r="AP48" s="0" t="n">
        <f aca="false">IF(T48=1,U48,AA48+AG48+AM48)</f>
        <v>0</v>
      </c>
      <c r="AQ48" s="0" t="n">
        <f aca="false">IF(T48=1,V48,AB48+AH48+AN48)</f>
        <v>4762347.93886738</v>
      </c>
      <c r="AR48" s="0" t="n">
        <f aca="false">IF(T48=1,W48,AC48+AI48+AO48)</f>
        <v>0</v>
      </c>
      <c r="AS48" s="0" t="n">
        <f aca="false">S48-AP48-AQ48-AR48</f>
        <v>0</v>
      </c>
      <c r="AT48" s="0" t="n">
        <f aca="false">C48-AP48</f>
        <v>0</v>
      </c>
      <c r="AU48" s="0" t="n">
        <f aca="false">D48-AQ48</f>
        <v>30712785.2145316</v>
      </c>
      <c r="AV48" s="0" t="n">
        <f aca="false">E48-AR48</f>
        <v>30000000</v>
      </c>
      <c r="AW48" s="0" t="n">
        <f aca="false">Pool!CB48</f>
        <v>80891658.4043132</v>
      </c>
      <c r="AX48" s="0" t="n">
        <f aca="false">IF((AT48)&gt;Inputs!$B$19,AW48/(AT48),1000000000)</f>
        <v>1000000000</v>
      </c>
      <c r="AY48" s="0" t="n">
        <f aca="false">IF((J48)&gt;0.000000001,(R48-I48-MAX(-M48,0))/(J48),1000000000)</f>
        <v>1000000000</v>
      </c>
      <c r="AZ48" s="0" t="n">
        <f aca="false">IF(OR(AX48&lt;Inputs!$B$24,AY48&lt;Inputs!$B$25),1,0)</f>
        <v>0</v>
      </c>
      <c r="BA48" s="0" t="n">
        <f aca="false">IF((AT48+AU48)&gt;Inputs!$B$19,AW48/(AT48+AU48),1000000000)</f>
        <v>2.63381057234886</v>
      </c>
      <c r="BB48" s="0" t="n">
        <f aca="false">IF((J48+K48)&gt;0.000000001,(R48-I48-MAX(-M48,0))/(J48+K48),1000000000)</f>
        <v>3.86867305583248</v>
      </c>
      <c r="BC48" s="0" t="n">
        <f aca="false">IF(OR(BA48&lt;Inputs!$B$29,BB48&lt;Inputs!$B$30),1,0)</f>
        <v>0</v>
      </c>
      <c r="BD48" s="0" t="n">
        <f aca="false">IF((AT48+AU48+AV48)&gt;Inputs!$B$19,AW48/(AT48+AU48+AV48),1000000000)</f>
        <v>1.33236612549529</v>
      </c>
      <c r="BE48" s="0" t="n">
        <f aca="false">IF((J48+K48+L48)&gt;0.000000001,(R48-I48-MAX(-M48,0))/(J48+K48+L48),1000000000)</f>
        <v>1.82690292490346</v>
      </c>
      <c r="BF48" s="0" t="n">
        <f aca="false">IF(OR(BD48&lt;Inputs!$B$34,BE48&lt;Inputs!$B$35),1,0)</f>
        <v>0</v>
      </c>
      <c r="BG48" s="0" t="n">
        <f aca="false">MAX(AZ48,BC48,BF48)</f>
        <v>0</v>
      </c>
      <c r="BH48" s="0" t="n">
        <f aca="false">MIN(R48,N48)</f>
        <v>44523.4893672399</v>
      </c>
      <c r="BI48" s="0" t="n">
        <f aca="false">R48-BH48</f>
        <v>649040.691530341</v>
      </c>
      <c r="BJ48" s="0" t="n">
        <f aca="false">MIN(BI48,O48)</f>
        <v>0</v>
      </c>
      <c r="BK48" s="0" t="n">
        <f aca="false">BI48-BJ48</f>
        <v>649040.691530341</v>
      </c>
      <c r="BL48" s="0" t="n">
        <f aca="false">AZ48*MIN(AT48,BK48)</f>
        <v>0</v>
      </c>
      <c r="BM48" s="0" t="n">
        <f aca="false">AZ48*MIN(AU48,BK48-BL48)</f>
        <v>0</v>
      </c>
      <c r="BN48" s="0" t="n">
        <f aca="false">AZ48*MIN(AV48,BK48-BL48-BM48)</f>
        <v>0</v>
      </c>
      <c r="BO48" s="0" t="n">
        <f aca="false">BK48-BL48-BM48-BN48</f>
        <v>649040.691530341</v>
      </c>
      <c r="BP48" s="0" t="n">
        <f aca="false">MIN(BO48,P48)</f>
        <v>167768.297336948</v>
      </c>
      <c r="BQ48" s="0" t="n">
        <f aca="false">BO48-BP48</f>
        <v>481272.394193394</v>
      </c>
      <c r="BR48" s="0" t="n">
        <f aca="false">BC48*MIN((AT48-BL48),BQ48)</f>
        <v>0</v>
      </c>
      <c r="BS48" s="0" t="n">
        <f aca="false">BC48*MIN((AU48-BM48),BQ48-BR48)</f>
        <v>0</v>
      </c>
      <c r="BT48" s="0" t="n">
        <f aca="false">BC48*MIN((AV48-BN48),BQ48-BR48-BS48)</f>
        <v>0</v>
      </c>
      <c r="BU48" s="0" t="n">
        <f aca="false">BQ48-BR48-BS48-BT48</f>
        <v>481272.394193394</v>
      </c>
      <c r="BV48" s="0" t="n">
        <f aca="false">MIN(BU48,Q48)</f>
        <v>187500</v>
      </c>
      <c r="BW48" s="0" t="n">
        <f aca="false">BU48-BV48</f>
        <v>293772.394193394</v>
      </c>
      <c r="BX48" s="0" t="n">
        <f aca="false">BF48*MIN((AT48-BL48-BR48),BW48)</f>
        <v>0</v>
      </c>
      <c r="BY48" s="0" t="n">
        <f aca="false">BF48*MIN((AU48-BM48-BS48),BW48-BX48)</f>
        <v>0</v>
      </c>
      <c r="BZ48" s="0" t="n">
        <f aca="false">BF48*MIN((AV48-BN48-BT48),BW48-BX48-BY48)</f>
        <v>0</v>
      </c>
      <c r="CA48" s="0" t="n">
        <f aca="false">BW48-BX48-BY48-BZ48</f>
        <v>293772.394193394</v>
      </c>
      <c r="CB48" s="0" t="n">
        <f aca="false">MAX(0,AT48+AU48+AV48-BL48-BM48-BN48-BR48-BS48-BT48-BX48-BY48-BZ48-AW48)</f>
        <v>0</v>
      </c>
      <c r="CC48" s="0" t="n">
        <f aca="false">1*MIN((AT48-BL48-BR48-BX48),MIN(CA48,CB48))</f>
        <v>0</v>
      </c>
      <c r="CD48" s="0" t="n">
        <f aca="false">1*MIN((AU48-BM48-BS48-BY48),MIN(CA48,CB48)-CC48)</f>
        <v>0</v>
      </c>
      <c r="CE48" s="0" t="n">
        <f aca="false">1*MIN((AV48-BN48-BT48-BZ48),MIN(CA48,CB48)-CC48-CD48)</f>
        <v>0</v>
      </c>
      <c r="CF48" s="0" t="n">
        <f aca="false">CA48-CC48-CD48-CE48</f>
        <v>293772.394193394</v>
      </c>
      <c r="CG48" s="0" t="n">
        <f aca="false">IF(C48+D48+E48&gt;Inputs!$B$19,MIN(CF48,MAX(0,Inputs!$B$15-DO47)),0)</f>
        <v>0</v>
      </c>
      <c r="CH48" s="0" t="n">
        <f aca="false">CF48-CG48</f>
        <v>293772.394193394</v>
      </c>
      <c r="CI48" s="0" t="n">
        <f aca="false">DO47+CG48</f>
        <v>3000000</v>
      </c>
      <c r="CJ48" s="0" t="n">
        <f aca="false">MIN(MAX(N48-BH48,0),CI48)</f>
        <v>0</v>
      </c>
      <c r="CK48" s="0" t="n">
        <f aca="false">MIN(MAX(O48-BJ48,0),CI48-CJ48)</f>
        <v>0</v>
      </c>
      <c r="CL48" s="0" t="n">
        <f aca="false">MIN(MAX(P48-BP48,0),CI48-CJ48-CK48)</f>
        <v>0</v>
      </c>
      <c r="CM48" s="0" t="n">
        <f aca="false">CJ48+CK48+CL48</f>
        <v>0</v>
      </c>
      <c r="CN48" s="0" t="n">
        <f aca="false">CI48-CM48</f>
        <v>3000000</v>
      </c>
      <c r="CO48" s="0" t="n">
        <f aca="false">BH48+CJ48</f>
        <v>44523.4893672399</v>
      </c>
      <c r="CP48" s="0" t="n">
        <f aca="false">BJ48+CK48</f>
        <v>0</v>
      </c>
      <c r="CQ48" s="0" t="n">
        <f aca="false">BP48+CL48</f>
        <v>167768.297336948</v>
      </c>
      <c r="CR48" s="0" t="n">
        <f aca="false">BV48</f>
        <v>187500</v>
      </c>
      <c r="CS48" s="0" t="n">
        <f aca="false">AT48-BL48-BR48-BX48-CC48</f>
        <v>0</v>
      </c>
      <c r="CT48" s="0" t="n">
        <f aca="false">AU48-BM48-BS48-BY48-CD48</f>
        <v>30712785.2145316</v>
      </c>
      <c r="CU48" s="0" t="n">
        <f aca="false">AV48-BN48-BT48-BZ48-CE48</f>
        <v>30000000</v>
      </c>
      <c r="CV48" s="0" t="n">
        <f aca="false">MAX(0,CS48+CT48+CU48-AW48)</f>
        <v>0</v>
      </c>
      <c r="CW48" s="0" t="n">
        <f aca="false">MIN(CU48,CV48)</f>
        <v>0</v>
      </c>
      <c r="CX48" s="0" t="n">
        <f aca="false">MIN(CT48,CV48-CW48)</f>
        <v>0</v>
      </c>
      <c r="CY48" s="0" t="n">
        <f aca="false">MIN(CS48,CV48-CW48-CX48)</f>
        <v>0</v>
      </c>
      <c r="CZ48" s="0" t="n">
        <f aca="false">IF(CS48-CY48&lt;Inputs!$B$19,0,CS48-CY48)</f>
        <v>0</v>
      </c>
      <c r="DA48" s="0" t="n">
        <f aca="false">IF(CT48-CX48&lt;Inputs!$B$19,0,CT48-CX48)</f>
        <v>30712785.2145316</v>
      </c>
      <c r="DB48" s="0" t="n">
        <f aca="false">IF(CU48-CW48&lt;Inputs!$B$19,0,CU48-CW48)</f>
        <v>30000000</v>
      </c>
      <c r="DC48" s="0" t="n">
        <f aca="false">N48-CO48</f>
        <v>0</v>
      </c>
      <c r="DD48" s="0" t="n">
        <f aca="false">O48-CP48</f>
        <v>0</v>
      </c>
      <c r="DE48" s="0" t="n">
        <f aca="false">P48-CQ48</f>
        <v>0</v>
      </c>
      <c r="DF48" s="0" t="n">
        <f aca="false">Q48-CR48</f>
        <v>0</v>
      </c>
      <c r="DG48" s="0" t="n">
        <f aca="false">IF(CZ48+DA48+DB48&lt;=Inputs!$B$19,1,0)</f>
        <v>0</v>
      </c>
      <c r="DH48" s="0" t="n">
        <f aca="false">DG48*CN48</f>
        <v>0</v>
      </c>
      <c r="DI48" s="0" t="n">
        <f aca="false">DG48*(AS48+DH48)</f>
        <v>0</v>
      </c>
      <c r="DJ48" s="0" t="n">
        <f aca="false">DG48*MIN(DC48,DI48)</f>
        <v>0</v>
      </c>
      <c r="DK48" s="0" t="n">
        <f aca="false">DG48*MIN(DD48,DI48-DJ48)</f>
        <v>0</v>
      </c>
      <c r="DL48" s="0" t="n">
        <f aca="false">DG48*MIN(DE48,DI48-DJ48-DK48)</f>
        <v>0</v>
      </c>
      <c r="DM48" s="0" t="n">
        <f aca="false">DG48*MIN(DF48,DI48-DJ48-DK48-DL48)</f>
        <v>0</v>
      </c>
      <c r="DN48" s="0" t="n">
        <f aca="false">DJ48+DK48+DL48+DM48</f>
        <v>0</v>
      </c>
      <c r="DO48" s="0" t="n">
        <f aca="false">CN48-DH48</f>
        <v>3000000</v>
      </c>
      <c r="DP48" s="0" t="n">
        <f aca="false">DC48-DJ48</f>
        <v>0</v>
      </c>
      <c r="DQ48" s="0" t="n">
        <f aca="false">DD48-DK48</f>
        <v>0</v>
      </c>
      <c r="DR48" s="0" t="n">
        <f aca="false">DE48-DL48</f>
        <v>0</v>
      </c>
      <c r="DS48" s="0" t="n">
        <f aca="false">DF48-DM48</f>
        <v>0</v>
      </c>
      <c r="DT48" s="0" t="n">
        <f aca="false">CO48+DJ48</f>
        <v>44523.4893672399</v>
      </c>
      <c r="DU48" s="0" t="n">
        <f aca="false">CP48+DK48</f>
        <v>0</v>
      </c>
      <c r="DV48" s="0" t="n">
        <f aca="false">AP48+BL48+BR48+BX48+CC48</f>
        <v>0</v>
      </c>
      <c r="DW48" s="0" t="n">
        <f aca="false">CQ48+DL48</f>
        <v>167768.297336948</v>
      </c>
      <c r="DX48" s="0" t="n">
        <f aca="false">AQ48+BM48+BS48+BY48+CD48</f>
        <v>4762347.93886738</v>
      </c>
      <c r="DY48" s="0" t="n">
        <f aca="false">CR48+DM48</f>
        <v>187500</v>
      </c>
      <c r="DZ48" s="0" t="n">
        <f aca="false">AR48+BN48+BT48+BZ48+CE48</f>
        <v>0</v>
      </c>
      <c r="EA48" s="0" t="n">
        <f aca="false">DI48-DN48</f>
        <v>0</v>
      </c>
      <c r="EB48" s="0" t="n">
        <f aca="false">CH48+EA48</f>
        <v>293772.394193394</v>
      </c>
      <c r="EC48" s="0" t="n">
        <f aca="false">R48-I48-MAX(-M48,0)-J48-K48-L48</f>
        <v>293772.394193394</v>
      </c>
      <c r="ED48" s="0" t="n">
        <f aca="false">R48+S48+CM48+DH48-CG48-DT48-DU48-DW48-DY48-DV48-DX48-DZ48-EB48</f>
        <v>0</v>
      </c>
      <c r="EE48" s="0" t="n">
        <f aca="false">IF(AND(EB48&gt;0.000001,DP48+DQ48+DR48+DS48&gt;0.000001),1,0)</f>
        <v>0</v>
      </c>
    </row>
    <row r="49" customFormat="false" ht="15" hidden="false" customHeight="false" outlineLevel="0" collapsed="false">
      <c r="A49" s="0" t="n">
        <f aca="false">ROW()-5</f>
        <v>44</v>
      </c>
      <c r="B49" s="0" t="n">
        <f aca="false">Inputs!$B$11+(Inputs!$B$12-Inputs!$B$11)*(1-EXP(-A49/Inputs!$B$13))+Inputs!$B$8</f>
        <v>0.0341787373338368</v>
      </c>
      <c r="C49" s="0" t="n">
        <f aca="false">CZ48</f>
        <v>0</v>
      </c>
      <c r="D49" s="0" t="n">
        <f aca="false">DA48</f>
        <v>30712785.2145316</v>
      </c>
      <c r="E49" s="0" t="n">
        <f aca="false">DB48</f>
        <v>30000000</v>
      </c>
      <c r="F49" s="0" t="n">
        <f aca="false">IF(Inputs!$B$22=1,B49+Inputs!$B$23,Inputs!$B$23)/12</f>
        <v>0.00376489477781973</v>
      </c>
      <c r="G49" s="0" t="n">
        <f aca="false">IF(Inputs!$B$27=1,B49+Inputs!$B$28,Inputs!$B$28)/12</f>
        <v>0.00472322811115307</v>
      </c>
      <c r="H49" s="0" t="n">
        <f aca="false">IF(Inputs!$B$32=1,B49+Inputs!$B$33,Inputs!$B$33)/12</f>
        <v>0.00625</v>
      </c>
      <c r="I49" s="0" t="n">
        <f aca="false">Pool!BT49*Inputs!$B$14/12</f>
        <v>42002.3057562053</v>
      </c>
      <c r="J49" s="0" t="n">
        <f aca="false">C49*F49</f>
        <v>0</v>
      </c>
      <c r="K49" s="0" t="n">
        <f aca="false">D49*G49</f>
        <v>145063.490497082</v>
      </c>
      <c r="L49" s="0" t="n">
        <f aca="false">E49*H49</f>
        <v>187500</v>
      </c>
      <c r="M49" s="0" t="n">
        <f aca="false">Inputs!$B$17*(C49*Inputs!$B$22+D49*Inputs!$B$27+E49*Inputs!$B$32)*(B49-Inputs!$B$18)/12</f>
        <v>-0</v>
      </c>
      <c r="N49" s="0" t="n">
        <f aca="false">DP48+I49+MAX(-M49,0)</f>
        <v>42002.3057562053</v>
      </c>
      <c r="O49" s="0" t="n">
        <f aca="false">DQ48+J49</f>
        <v>0</v>
      </c>
      <c r="P49" s="0" t="n">
        <f aca="false">DR48+K49</f>
        <v>145063.490497082</v>
      </c>
      <c r="Q49" s="0" t="n">
        <f aca="false">DS48+L49</f>
        <v>187500</v>
      </c>
      <c r="R49" s="0" t="n">
        <f aca="false">Pool!BV49+MAX(M49,0)</f>
        <v>656723.570932054</v>
      </c>
      <c r="S49" s="0" t="n">
        <f aca="false">Pool!BW49+Pool!BX49+Pool!BZ49</f>
        <v>4697993.45951222</v>
      </c>
      <c r="T49" s="0" t="n">
        <f aca="false">MAX(T48,BG48)</f>
        <v>1</v>
      </c>
      <c r="U49" s="0" t="n">
        <f aca="false">MIN(C49,S49)</f>
        <v>0</v>
      </c>
      <c r="V49" s="0" t="n">
        <f aca="false">MIN(D49,S49-U49)</f>
        <v>4697993.45951222</v>
      </c>
      <c r="W49" s="0" t="n">
        <f aca="false">MIN(E49,S49-U49-V49)</f>
        <v>0</v>
      </c>
      <c r="X49" s="0" t="n">
        <f aca="false">IF(C49-(0)&gt;Inputs!$B$19,1,0)</f>
        <v>0</v>
      </c>
      <c r="Y49" s="0" t="n">
        <f aca="false">IF(D49-(0)&gt;Inputs!$B$19,1,0)</f>
        <v>1</v>
      </c>
      <c r="Z49" s="0" t="n">
        <f aca="false">IF(E49-(0)&gt;Inputs!$B$19,1,0)</f>
        <v>1</v>
      </c>
      <c r="AA49" s="0" t="n">
        <f aca="false">IF((X49*C49+Y49*D49+Z49*E49)&gt;0,MIN(C49-(0),S49*X49*C49/(X49*C49+Y49*D49+Z49*E49)),0)</f>
        <v>0</v>
      </c>
      <c r="AB49" s="0" t="n">
        <f aca="false">IF((X49*C49+Y49*D49+Z49*E49)&gt;0,MIN(D49-(0),S49*Y49*D49/(X49*C49+Y49*D49+Z49*E49)),0)</f>
        <v>2376574.61359124</v>
      </c>
      <c r="AC49" s="0" t="n">
        <f aca="false">IF((X49*C49+Y49*D49+Z49*E49)&gt;0,MIN(E49-(0),S49*Z49*E49/(X49*C49+Y49*D49+Z49*E49)),0)</f>
        <v>2321418.84592098</v>
      </c>
      <c r="AD49" s="0" t="n">
        <f aca="false">IF(C49-(AA49)&gt;Inputs!$B$19,1,0)</f>
        <v>0</v>
      </c>
      <c r="AE49" s="0" t="n">
        <f aca="false">IF(D49-(AB49)&gt;Inputs!$B$19,1,0)</f>
        <v>1</v>
      </c>
      <c r="AF49" s="0" t="n">
        <f aca="false">IF(E49-(AC49)&gt;Inputs!$B$19,1,0)</f>
        <v>1</v>
      </c>
      <c r="AG49" s="0" t="n">
        <f aca="false">IF((AD49*C49+AE49*D49+AF49*E49)&gt;0,MIN(C49-(AA49),(S49-(AA49+AB49+AC49))*AD49*C49/(AD49*C49+AE49*D49+AF49*E49)),0)</f>
        <v>0</v>
      </c>
      <c r="AH49" s="0" t="n">
        <f aca="false">IF((AD49*C49+AE49*D49+AF49*E49)&gt;0,MIN(D49-(AB49),(S49-(AA49+AB49+AC49))*AE49*D49/(AD49*C49+AE49*D49+AF49*E49)),0)</f>
        <v>0</v>
      </c>
      <c r="AI49" s="0" t="n">
        <f aca="false">IF((AD49*C49+AE49*D49+AF49*E49)&gt;0,MIN(E49-(AC49),(S49-(AA49+AB49+AC49))*AF49*E49/(AD49*C49+AE49*D49+AF49*E49)),0)</f>
        <v>0</v>
      </c>
      <c r="AJ49" s="0" t="n">
        <f aca="false">IF(C49-(AA49+AG49)&gt;Inputs!$B$19,1,0)</f>
        <v>0</v>
      </c>
      <c r="AK49" s="0" t="n">
        <f aca="false">IF(D49-(AB49+AH49)&gt;Inputs!$B$19,1,0)</f>
        <v>1</v>
      </c>
      <c r="AL49" s="0" t="n">
        <f aca="false">IF(E49-(AC49+AI49)&gt;Inputs!$B$19,1,0)</f>
        <v>1</v>
      </c>
      <c r="AM49" s="0" t="n">
        <f aca="false">IF((AJ49*C49+AK49*D49+AL49*E49)&gt;0,MIN(C49-(AA49+AG49),(S49-(AA49+AB49+AC49+AG49+AH49+AI49))*AJ49*C49/(AJ49*C49+AK49*D49+AL49*E49)),0)</f>
        <v>0</v>
      </c>
      <c r="AN49" s="0" t="n">
        <f aca="false">IF((AJ49*C49+AK49*D49+AL49*E49)&gt;0,MIN(D49-(AB49+AH49),(S49-(AA49+AB49+AC49+AG49+AH49+AI49))*AK49*D49/(AJ49*C49+AK49*D49+AL49*E49)),0)</f>
        <v>0</v>
      </c>
      <c r="AO49" s="0" t="n">
        <f aca="false">IF((AJ49*C49+AK49*D49+AL49*E49)&gt;0,MIN(E49-(AC49+AI49),(S49-(AA49+AB49+AC49+AG49+AH49+AI49))*AL49*E49/(AJ49*C49+AK49*D49+AL49*E49)),0)</f>
        <v>0</v>
      </c>
      <c r="AP49" s="0" t="n">
        <f aca="false">IF(T49=1,U49,AA49+AG49+AM49)</f>
        <v>0</v>
      </c>
      <c r="AQ49" s="0" t="n">
        <f aca="false">IF(T49=1,V49,AB49+AH49+AN49)</f>
        <v>4697993.45951222</v>
      </c>
      <c r="AR49" s="0" t="n">
        <f aca="false">IF(T49=1,W49,AC49+AI49+AO49)</f>
        <v>0</v>
      </c>
      <c r="AS49" s="0" t="n">
        <f aca="false">S49-AP49-AQ49-AR49</f>
        <v>0</v>
      </c>
      <c r="AT49" s="0" t="n">
        <f aca="false">C49-AP49</f>
        <v>0</v>
      </c>
      <c r="AU49" s="0" t="n">
        <f aca="false">D49-AQ49</f>
        <v>26014791.7550194</v>
      </c>
      <c r="AV49" s="0" t="n">
        <f aca="false">E49-AR49</f>
        <v>30000000</v>
      </c>
      <c r="AW49" s="0" t="n">
        <f aca="false">Pool!CB49</f>
        <v>76112538.9356694</v>
      </c>
      <c r="AX49" s="0" t="n">
        <f aca="false">IF((AT49)&gt;Inputs!$B$19,AW49/(AT49),1000000000)</f>
        <v>1000000000</v>
      </c>
      <c r="AY49" s="0" t="n">
        <f aca="false">IF((J49)&gt;0.000000001,(R49-I49-MAX(-M49,0))/(J49),1000000000)</f>
        <v>1000000000</v>
      </c>
      <c r="AZ49" s="0" t="n">
        <f aca="false">IF(OR(AX49&lt;Inputs!$B$24,AY49&lt;Inputs!$B$25),1,0)</f>
        <v>0</v>
      </c>
      <c r="BA49" s="0" t="n">
        <f aca="false">IF((AT49+AU49)&gt;Inputs!$B$19,AW49/(AT49+AU49),1000000000)</f>
        <v>2.92574084976036</v>
      </c>
      <c r="BB49" s="0" t="n">
        <f aca="false">IF((J49+K49)&gt;0.000000001,(R49-I49-MAX(-M49,0))/(J49+K49),1000000000)</f>
        <v>4.23760150172461</v>
      </c>
      <c r="BC49" s="0" t="n">
        <f aca="false">IF(OR(BA49&lt;Inputs!$B$29,BB49&lt;Inputs!$B$30),1,0)</f>
        <v>0</v>
      </c>
      <c r="BD49" s="0" t="n">
        <f aca="false">IF((AT49+AU49+AV49)&gt;Inputs!$B$19,AW49/(AT49+AU49+AV49),1000000000)</f>
        <v>1.35879357132215</v>
      </c>
      <c r="BE49" s="0" t="n">
        <f aca="false">IF((J49+K49+L49)&gt;0.000000001,(R49-I49-MAX(-M49,0))/(J49+K49+L49),1000000000)</f>
        <v>1.8484328037844</v>
      </c>
      <c r="BF49" s="0" t="n">
        <f aca="false">IF(OR(BD49&lt;Inputs!$B$34,BE49&lt;Inputs!$B$35),1,0)</f>
        <v>0</v>
      </c>
      <c r="BG49" s="0" t="n">
        <f aca="false">MAX(AZ49,BC49,BF49)</f>
        <v>0</v>
      </c>
      <c r="BH49" s="0" t="n">
        <f aca="false">MIN(R49,N49)</f>
        <v>42002.3057562053</v>
      </c>
      <c r="BI49" s="0" t="n">
        <f aca="false">R49-BH49</f>
        <v>614721.265175848</v>
      </c>
      <c r="BJ49" s="0" t="n">
        <f aca="false">MIN(BI49,O49)</f>
        <v>0</v>
      </c>
      <c r="BK49" s="0" t="n">
        <f aca="false">BI49-BJ49</f>
        <v>614721.265175848</v>
      </c>
      <c r="BL49" s="0" t="n">
        <f aca="false">AZ49*MIN(AT49,BK49)</f>
        <v>0</v>
      </c>
      <c r="BM49" s="0" t="n">
        <f aca="false">AZ49*MIN(AU49,BK49-BL49)</f>
        <v>0</v>
      </c>
      <c r="BN49" s="0" t="n">
        <f aca="false">AZ49*MIN(AV49,BK49-BL49-BM49)</f>
        <v>0</v>
      </c>
      <c r="BO49" s="0" t="n">
        <f aca="false">BK49-BL49-BM49-BN49</f>
        <v>614721.265175848</v>
      </c>
      <c r="BP49" s="0" t="n">
        <f aca="false">MIN(BO49,P49)</f>
        <v>145063.490497082</v>
      </c>
      <c r="BQ49" s="0" t="n">
        <f aca="false">BO49-BP49</f>
        <v>469657.774678766</v>
      </c>
      <c r="BR49" s="0" t="n">
        <f aca="false">BC49*MIN((AT49-BL49),BQ49)</f>
        <v>0</v>
      </c>
      <c r="BS49" s="0" t="n">
        <f aca="false">BC49*MIN((AU49-BM49),BQ49-BR49)</f>
        <v>0</v>
      </c>
      <c r="BT49" s="0" t="n">
        <f aca="false">BC49*MIN((AV49-BN49),BQ49-BR49-BS49)</f>
        <v>0</v>
      </c>
      <c r="BU49" s="0" t="n">
        <f aca="false">BQ49-BR49-BS49-BT49</f>
        <v>469657.774678766</v>
      </c>
      <c r="BV49" s="0" t="n">
        <f aca="false">MIN(BU49,Q49)</f>
        <v>187500</v>
      </c>
      <c r="BW49" s="0" t="n">
        <f aca="false">BU49-BV49</f>
        <v>282157.774678766</v>
      </c>
      <c r="BX49" s="0" t="n">
        <f aca="false">BF49*MIN((AT49-BL49-BR49),BW49)</f>
        <v>0</v>
      </c>
      <c r="BY49" s="0" t="n">
        <f aca="false">BF49*MIN((AU49-BM49-BS49),BW49-BX49)</f>
        <v>0</v>
      </c>
      <c r="BZ49" s="0" t="n">
        <f aca="false">BF49*MIN((AV49-BN49-BT49),BW49-BX49-BY49)</f>
        <v>0</v>
      </c>
      <c r="CA49" s="0" t="n">
        <f aca="false">BW49-BX49-BY49-BZ49</f>
        <v>282157.774678766</v>
      </c>
      <c r="CB49" s="0" t="n">
        <f aca="false">MAX(0,AT49+AU49+AV49-BL49-BM49-BN49-BR49-BS49-BT49-BX49-BY49-BZ49-AW49)</f>
        <v>0</v>
      </c>
      <c r="CC49" s="0" t="n">
        <f aca="false">1*MIN((AT49-BL49-BR49-BX49),MIN(CA49,CB49))</f>
        <v>0</v>
      </c>
      <c r="CD49" s="0" t="n">
        <f aca="false">1*MIN((AU49-BM49-BS49-BY49),MIN(CA49,CB49)-CC49)</f>
        <v>0</v>
      </c>
      <c r="CE49" s="0" t="n">
        <f aca="false">1*MIN((AV49-BN49-BT49-BZ49),MIN(CA49,CB49)-CC49-CD49)</f>
        <v>0</v>
      </c>
      <c r="CF49" s="0" t="n">
        <f aca="false">CA49-CC49-CD49-CE49</f>
        <v>282157.774678766</v>
      </c>
      <c r="CG49" s="0" t="n">
        <f aca="false">IF(C49+D49+E49&gt;Inputs!$B$19,MIN(CF49,MAX(0,Inputs!$B$15-DO48)),0)</f>
        <v>0</v>
      </c>
      <c r="CH49" s="0" t="n">
        <f aca="false">CF49-CG49</f>
        <v>282157.774678766</v>
      </c>
      <c r="CI49" s="0" t="n">
        <f aca="false">DO48+CG49</f>
        <v>3000000</v>
      </c>
      <c r="CJ49" s="0" t="n">
        <f aca="false">MIN(MAX(N49-BH49,0),CI49)</f>
        <v>0</v>
      </c>
      <c r="CK49" s="0" t="n">
        <f aca="false">MIN(MAX(O49-BJ49,0),CI49-CJ49)</f>
        <v>0</v>
      </c>
      <c r="CL49" s="0" t="n">
        <f aca="false">MIN(MAX(P49-BP49,0),CI49-CJ49-CK49)</f>
        <v>0</v>
      </c>
      <c r="CM49" s="0" t="n">
        <f aca="false">CJ49+CK49+CL49</f>
        <v>0</v>
      </c>
      <c r="CN49" s="0" t="n">
        <f aca="false">CI49-CM49</f>
        <v>3000000</v>
      </c>
      <c r="CO49" s="0" t="n">
        <f aca="false">BH49+CJ49</f>
        <v>42002.3057562053</v>
      </c>
      <c r="CP49" s="0" t="n">
        <f aca="false">BJ49+CK49</f>
        <v>0</v>
      </c>
      <c r="CQ49" s="0" t="n">
        <f aca="false">BP49+CL49</f>
        <v>145063.490497082</v>
      </c>
      <c r="CR49" s="0" t="n">
        <f aca="false">BV49</f>
        <v>187500</v>
      </c>
      <c r="CS49" s="0" t="n">
        <f aca="false">AT49-BL49-BR49-BX49-CC49</f>
        <v>0</v>
      </c>
      <c r="CT49" s="0" t="n">
        <f aca="false">AU49-BM49-BS49-BY49-CD49</f>
        <v>26014791.7550194</v>
      </c>
      <c r="CU49" s="0" t="n">
        <f aca="false">AV49-BN49-BT49-BZ49-CE49</f>
        <v>30000000</v>
      </c>
      <c r="CV49" s="0" t="n">
        <f aca="false">MAX(0,CS49+CT49+CU49-AW49)</f>
        <v>0</v>
      </c>
      <c r="CW49" s="0" t="n">
        <f aca="false">MIN(CU49,CV49)</f>
        <v>0</v>
      </c>
      <c r="CX49" s="0" t="n">
        <f aca="false">MIN(CT49,CV49-CW49)</f>
        <v>0</v>
      </c>
      <c r="CY49" s="0" t="n">
        <f aca="false">MIN(CS49,CV49-CW49-CX49)</f>
        <v>0</v>
      </c>
      <c r="CZ49" s="0" t="n">
        <f aca="false">IF(CS49-CY49&lt;Inputs!$B$19,0,CS49-CY49)</f>
        <v>0</v>
      </c>
      <c r="DA49" s="0" t="n">
        <f aca="false">IF(CT49-CX49&lt;Inputs!$B$19,0,CT49-CX49)</f>
        <v>26014791.7550194</v>
      </c>
      <c r="DB49" s="0" t="n">
        <f aca="false">IF(CU49-CW49&lt;Inputs!$B$19,0,CU49-CW49)</f>
        <v>30000000</v>
      </c>
      <c r="DC49" s="0" t="n">
        <f aca="false">N49-CO49</f>
        <v>0</v>
      </c>
      <c r="DD49" s="0" t="n">
        <f aca="false">O49-CP49</f>
        <v>0</v>
      </c>
      <c r="DE49" s="0" t="n">
        <f aca="false">P49-CQ49</f>
        <v>0</v>
      </c>
      <c r="DF49" s="0" t="n">
        <f aca="false">Q49-CR49</f>
        <v>0</v>
      </c>
      <c r="DG49" s="0" t="n">
        <f aca="false">IF(CZ49+DA49+DB49&lt;=Inputs!$B$19,1,0)</f>
        <v>0</v>
      </c>
      <c r="DH49" s="0" t="n">
        <f aca="false">DG49*CN49</f>
        <v>0</v>
      </c>
      <c r="DI49" s="0" t="n">
        <f aca="false">DG49*(AS49+DH49)</f>
        <v>0</v>
      </c>
      <c r="DJ49" s="0" t="n">
        <f aca="false">DG49*MIN(DC49,DI49)</f>
        <v>0</v>
      </c>
      <c r="DK49" s="0" t="n">
        <f aca="false">DG49*MIN(DD49,DI49-DJ49)</f>
        <v>0</v>
      </c>
      <c r="DL49" s="0" t="n">
        <f aca="false">DG49*MIN(DE49,DI49-DJ49-DK49)</f>
        <v>0</v>
      </c>
      <c r="DM49" s="0" t="n">
        <f aca="false">DG49*MIN(DF49,DI49-DJ49-DK49-DL49)</f>
        <v>0</v>
      </c>
      <c r="DN49" s="0" t="n">
        <f aca="false">DJ49+DK49+DL49+DM49</f>
        <v>0</v>
      </c>
      <c r="DO49" s="0" t="n">
        <f aca="false">CN49-DH49</f>
        <v>3000000</v>
      </c>
      <c r="DP49" s="0" t="n">
        <f aca="false">DC49-DJ49</f>
        <v>0</v>
      </c>
      <c r="DQ49" s="0" t="n">
        <f aca="false">DD49-DK49</f>
        <v>0</v>
      </c>
      <c r="DR49" s="0" t="n">
        <f aca="false">DE49-DL49</f>
        <v>0</v>
      </c>
      <c r="DS49" s="0" t="n">
        <f aca="false">DF49-DM49</f>
        <v>0</v>
      </c>
      <c r="DT49" s="0" t="n">
        <f aca="false">CO49+DJ49</f>
        <v>42002.3057562053</v>
      </c>
      <c r="DU49" s="0" t="n">
        <f aca="false">CP49+DK49</f>
        <v>0</v>
      </c>
      <c r="DV49" s="0" t="n">
        <f aca="false">AP49+BL49+BR49+BX49+CC49</f>
        <v>0</v>
      </c>
      <c r="DW49" s="0" t="n">
        <f aca="false">CQ49+DL49</f>
        <v>145063.490497082</v>
      </c>
      <c r="DX49" s="0" t="n">
        <f aca="false">AQ49+BM49+BS49+BY49+CD49</f>
        <v>4697993.45951222</v>
      </c>
      <c r="DY49" s="0" t="n">
        <f aca="false">CR49+DM49</f>
        <v>187500</v>
      </c>
      <c r="DZ49" s="0" t="n">
        <f aca="false">AR49+BN49+BT49+BZ49+CE49</f>
        <v>0</v>
      </c>
      <c r="EA49" s="0" t="n">
        <f aca="false">DI49-DN49</f>
        <v>0</v>
      </c>
      <c r="EB49" s="0" t="n">
        <f aca="false">CH49+EA49</f>
        <v>282157.774678766</v>
      </c>
      <c r="EC49" s="0" t="n">
        <f aca="false">R49-I49-MAX(-M49,0)-J49-K49-L49</f>
        <v>282157.774678766</v>
      </c>
      <c r="ED49" s="0" t="n">
        <f aca="false">R49+S49+CM49+DH49-CG49-DT49-DU49-DW49-DY49-DV49-DX49-DZ49-EB49</f>
        <v>0</v>
      </c>
      <c r="EE49" s="0" t="n">
        <f aca="false">IF(AND(EB49&gt;0.000001,DP49+DQ49+DR49+DS49&gt;0.000001),1,0)</f>
        <v>0</v>
      </c>
    </row>
    <row r="50" customFormat="false" ht="15" hidden="false" customHeight="false" outlineLevel="0" collapsed="false">
      <c r="A50" s="0" t="n">
        <f aca="false">ROW()-5</f>
        <v>45</v>
      </c>
      <c r="B50" s="0" t="n">
        <f aca="false">Inputs!$B$11+(Inputs!$B$12-Inputs!$B$11)*(1-EXP(-A50/Inputs!$B$13))+Inputs!$B$8</f>
        <v>0.0341102271518718</v>
      </c>
      <c r="C50" s="0" t="n">
        <f aca="false">CZ49</f>
        <v>0</v>
      </c>
      <c r="D50" s="0" t="n">
        <f aca="false">DA49</f>
        <v>26014791.7550194</v>
      </c>
      <c r="E50" s="0" t="n">
        <f aca="false">DB49</f>
        <v>30000000</v>
      </c>
      <c r="F50" s="0" t="n">
        <f aca="false">IF(Inputs!$B$22=1,B50+Inputs!$B$23,Inputs!$B$23)/12</f>
        <v>0.00375918559598931</v>
      </c>
      <c r="G50" s="0" t="n">
        <f aca="false">IF(Inputs!$B$27=1,B50+Inputs!$B$28,Inputs!$B$28)/12</f>
        <v>0.00471751892932265</v>
      </c>
      <c r="H50" s="0" t="n">
        <f aca="false">IF(Inputs!$B$32=1,B50+Inputs!$B$33,Inputs!$B$33)/12</f>
        <v>0.00625</v>
      </c>
      <c r="I50" s="0" t="n">
        <f aca="false">Pool!BT50*Inputs!$B$14/12</f>
        <v>39517.1218832604</v>
      </c>
      <c r="J50" s="0" t="n">
        <f aca="false">C50*F50</f>
        <v>0</v>
      </c>
      <c r="K50" s="0" t="n">
        <f aca="false">D50*G50</f>
        <v>122725.272546691</v>
      </c>
      <c r="L50" s="0" t="n">
        <f aca="false">E50*H50</f>
        <v>187500</v>
      </c>
      <c r="M50" s="0" t="n">
        <f aca="false">Inputs!$B$17*(C50*Inputs!$B$22+D50*Inputs!$B$27+E50*Inputs!$B$32)*(B50-Inputs!$B$18)/12</f>
        <v>-0</v>
      </c>
      <c r="N50" s="0" t="n">
        <f aca="false">DP49+I50+MAX(-M50,0)</f>
        <v>39517.1218832604</v>
      </c>
      <c r="O50" s="0" t="n">
        <f aca="false">DQ49+J50</f>
        <v>0</v>
      </c>
      <c r="P50" s="0" t="n">
        <f aca="false">DR49+K50</f>
        <v>122725.272546691</v>
      </c>
      <c r="Q50" s="0" t="n">
        <f aca="false">DS49+L50</f>
        <v>187500</v>
      </c>
      <c r="R50" s="0" t="n">
        <f aca="false">Pool!BV50+MAX(M50,0)</f>
        <v>620404.0187779</v>
      </c>
      <c r="S50" s="0" t="n">
        <f aca="false">Pool!BW50+Pool!BX50+Pool!BZ50</f>
        <v>4634407.0218411</v>
      </c>
      <c r="T50" s="0" t="n">
        <f aca="false">MAX(T49,BG49)</f>
        <v>1</v>
      </c>
      <c r="U50" s="0" t="n">
        <f aca="false">MIN(C50,S50)</f>
        <v>0</v>
      </c>
      <c r="V50" s="0" t="n">
        <f aca="false">MIN(D50,S50-U50)</f>
        <v>4634407.0218411</v>
      </c>
      <c r="W50" s="0" t="n">
        <f aca="false">MIN(E50,S50-U50-V50)</f>
        <v>0</v>
      </c>
      <c r="X50" s="0" t="n">
        <f aca="false">IF(C50-(0)&gt;Inputs!$B$19,1,0)</f>
        <v>0</v>
      </c>
      <c r="Y50" s="0" t="n">
        <f aca="false">IF(D50-(0)&gt;Inputs!$B$19,1,0)</f>
        <v>1</v>
      </c>
      <c r="Z50" s="0" t="n">
        <f aca="false">IF(E50-(0)&gt;Inputs!$B$19,1,0)</f>
        <v>1</v>
      </c>
      <c r="AA50" s="0" t="n">
        <f aca="false">IF((X50*C50+Y50*D50+Z50*E50)&gt;0,MIN(C50-(0),S50*X50*C50/(X50*C50+Y50*D50+Z50*E50)),0)</f>
        <v>0</v>
      </c>
      <c r="AB50" s="0" t="n">
        <f aca="false">IF((X50*C50+Y50*D50+Z50*E50)&gt;0,MIN(D50-(0),S50*Y50*D50/(X50*C50+Y50*D50+Z50*E50)),0)</f>
        <v>2152344.58263236</v>
      </c>
      <c r="AC50" s="0" t="n">
        <f aca="false">IF((X50*C50+Y50*D50+Z50*E50)&gt;0,MIN(E50-(0),S50*Z50*E50/(X50*C50+Y50*D50+Z50*E50)),0)</f>
        <v>2482062.43920874</v>
      </c>
      <c r="AD50" s="0" t="n">
        <f aca="false">IF(C50-(AA50)&gt;Inputs!$B$19,1,0)</f>
        <v>0</v>
      </c>
      <c r="AE50" s="0" t="n">
        <f aca="false">IF(D50-(AB50)&gt;Inputs!$B$19,1,0)</f>
        <v>1</v>
      </c>
      <c r="AF50" s="0" t="n">
        <f aca="false">IF(E50-(AC50)&gt;Inputs!$B$19,1,0)</f>
        <v>1</v>
      </c>
      <c r="AG50" s="0" t="n">
        <f aca="false">IF((AD50*C50+AE50*D50+AF50*E50)&gt;0,MIN(C50-(AA50),(S50-(AA50+AB50+AC50))*AD50*C50/(AD50*C50+AE50*D50+AF50*E50)),0)</f>
        <v>0</v>
      </c>
      <c r="AH50" s="0" t="n">
        <f aca="false">IF((AD50*C50+AE50*D50+AF50*E50)&gt;0,MIN(D50-(AB50),(S50-(AA50+AB50+AC50))*AE50*D50/(AD50*C50+AE50*D50+AF50*E50)),0)</f>
        <v>0</v>
      </c>
      <c r="AI50" s="0" t="n">
        <f aca="false">IF((AD50*C50+AE50*D50+AF50*E50)&gt;0,MIN(E50-(AC50),(S50-(AA50+AB50+AC50))*AF50*E50/(AD50*C50+AE50*D50+AF50*E50)),0)</f>
        <v>0</v>
      </c>
      <c r="AJ50" s="0" t="n">
        <f aca="false">IF(C50-(AA50+AG50)&gt;Inputs!$B$19,1,0)</f>
        <v>0</v>
      </c>
      <c r="AK50" s="0" t="n">
        <f aca="false">IF(D50-(AB50+AH50)&gt;Inputs!$B$19,1,0)</f>
        <v>1</v>
      </c>
      <c r="AL50" s="0" t="n">
        <f aca="false">IF(E50-(AC50+AI50)&gt;Inputs!$B$19,1,0)</f>
        <v>1</v>
      </c>
      <c r="AM50" s="0" t="n">
        <f aca="false">IF((AJ50*C50+AK50*D50+AL50*E50)&gt;0,MIN(C50-(AA50+AG50),(S50-(AA50+AB50+AC50+AG50+AH50+AI50))*AJ50*C50/(AJ50*C50+AK50*D50+AL50*E50)),0)</f>
        <v>0</v>
      </c>
      <c r="AN50" s="0" t="n">
        <f aca="false">IF((AJ50*C50+AK50*D50+AL50*E50)&gt;0,MIN(D50-(AB50+AH50),(S50-(AA50+AB50+AC50+AG50+AH50+AI50))*AK50*D50/(AJ50*C50+AK50*D50+AL50*E50)),0)</f>
        <v>0</v>
      </c>
      <c r="AO50" s="0" t="n">
        <f aca="false">IF((AJ50*C50+AK50*D50+AL50*E50)&gt;0,MIN(E50-(AC50+AI50),(S50-(AA50+AB50+AC50+AG50+AH50+AI50))*AL50*E50/(AJ50*C50+AK50*D50+AL50*E50)),0)</f>
        <v>0</v>
      </c>
      <c r="AP50" s="0" t="n">
        <f aca="false">IF(T50=1,U50,AA50+AG50+AM50)</f>
        <v>0</v>
      </c>
      <c r="AQ50" s="0" t="n">
        <f aca="false">IF(T50=1,V50,AB50+AH50+AN50)</f>
        <v>4634407.0218411</v>
      </c>
      <c r="AR50" s="0" t="n">
        <f aca="false">IF(T50=1,W50,AC50+AI50+AO50)</f>
        <v>0</v>
      </c>
      <c r="AS50" s="0" t="n">
        <f aca="false">S50-AP50-AQ50-AR50</f>
        <v>0</v>
      </c>
      <c r="AT50" s="0" t="n">
        <f aca="false">C50-AP50</f>
        <v>0</v>
      </c>
      <c r="AU50" s="0" t="n">
        <f aca="false">D50-AQ50</f>
        <v>21380384.7331783</v>
      </c>
      <c r="AV50" s="0" t="n">
        <f aca="false">E50-AR50</f>
        <v>30000000</v>
      </c>
      <c r="AW50" s="0" t="n">
        <f aca="false">Pool!CB50</f>
        <v>71401805.9518831</v>
      </c>
      <c r="AX50" s="0" t="n">
        <f aca="false">IF((AT50)&gt;Inputs!$B$19,AW50/(AT50),1000000000)</f>
        <v>1000000000</v>
      </c>
      <c r="AY50" s="0" t="n">
        <f aca="false">IF((J50)&gt;0.000000001,(R50-I50-MAX(-M50,0))/(J50),1000000000)</f>
        <v>1000000000</v>
      </c>
      <c r="AZ50" s="0" t="n">
        <f aca="false">IF(OR(AX50&lt;Inputs!$B$24,AY50&lt;Inputs!$B$25),1,0)</f>
        <v>0</v>
      </c>
      <c r="BA50" s="0" t="n">
        <f aca="false">IF((AT50+AU50)&gt;Inputs!$B$19,AW50/(AT50+AU50),1000000000)</f>
        <v>3.33959406451097</v>
      </c>
      <c r="BB50" s="0" t="n">
        <f aca="false">IF((J50+K50)&gt;0.000000001,(R50-I50-MAX(-M50,0))/(J50+K50),1000000000)</f>
        <v>4.73322963429265</v>
      </c>
      <c r="BC50" s="0" t="n">
        <f aca="false">IF(OR(BA50&lt;Inputs!$B$29,BB50&lt;Inputs!$B$30),1,0)</f>
        <v>0</v>
      </c>
      <c r="BD50" s="0" t="n">
        <f aca="false">IF((AT50+AU50+AV50)&gt;Inputs!$B$19,AW50/(AT50+AU50+AV50),1000000000)</f>
        <v>1.38967051964825</v>
      </c>
      <c r="BE50" s="0" t="n">
        <f aca="false">IF((J50+K50+L50)&gt;0.000000001,(R50-I50-MAX(-M50,0))/(J50+K50+L50),1000000000)</f>
        <v>1.87246800406054</v>
      </c>
      <c r="BF50" s="0" t="n">
        <f aca="false">IF(OR(BD50&lt;Inputs!$B$34,BE50&lt;Inputs!$B$35),1,0)</f>
        <v>0</v>
      </c>
      <c r="BG50" s="0" t="n">
        <f aca="false">MAX(AZ50,BC50,BF50)</f>
        <v>0</v>
      </c>
      <c r="BH50" s="0" t="n">
        <f aca="false">MIN(R50,N50)</f>
        <v>39517.1218832604</v>
      </c>
      <c r="BI50" s="0" t="n">
        <f aca="false">R50-BH50</f>
        <v>580886.896894639</v>
      </c>
      <c r="BJ50" s="0" t="n">
        <f aca="false">MIN(BI50,O50)</f>
        <v>0</v>
      </c>
      <c r="BK50" s="0" t="n">
        <f aca="false">BI50-BJ50</f>
        <v>580886.896894639</v>
      </c>
      <c r="BL50" s="0" t="n">
        <f aca="false">AZ50*MIN(AT50,BK50)</f>
        <v>0</v>
      </c>
      <c r="BM50" s="0" t="n">
        <f aca="false">AZ50*MIN(AU50,BK50-BL50)</f>
        <v>0</v>
      </c>
      <c r="BN50" s="0" t="n">
        <f aca="false">AZ50*MIN(AV50,BK50-BL50-BM50)</f>
        <v>0</v>
      </c>
      <c r="BO50" s="0" t="n">
        <f aca="false">BK50-BL50-BM50-BN50</f>
        <v>580886.896894639</v>
      </c>
      <c r="BP50" s="0" t="n">
        <f aca="false">MIN(BO50,P50)</f>
        <v>122725.272546691</v>
      </c>
      <c r="BQ50" s="0" t="n">
        <f aca="false">BO50-BP50</f>
        <v>458161.624347948</v>
      </c>
      <c r="BR50" s="0" t="n">
        <f aca="false">BC50*MIN((AT50-BL50),BQ50)</f>
        <v>0</v>
      </c>
      <c r="BS50" s="0" t="n">
        <f aca="false">BC50*MIN((AU50-BM50),BQ50-BR50)</f>
        <v>0</v>
      </c>
      <c r="BT50" s="0" t="n">
        <f aca="false">BC50*MIN((AV50-BN50),BQ50-BR50-BS50)</f>
        <v>0</v>
      </c>
      <c r="BU50" s="0" t="n">
        <f aca="false">BQ50-BR50-BS50-BT50</f>
        <v>458161.624347948</v>
      </c>
      <c r="BV50" s="0" t="n">
        <f aca="false">MIN(BU50,Q50)</f>
        <v>187500</v>
      </c>
      <c r="BW50" s="0" t="n">
        <f aca="false">BU50-BV50</f>
        <v>270661.624347948</v>
      </c>
      <c r="BX50" s="0" t="n">
        <f aca="false">BF50*MIN((AT50-BL50-BR50),BW50)</f>
        <v>0</v>
      </c>
      <c r="BY50" s="0" t="n">
        <f aca="false">BF50*MIN((AU50-BM50-BS50),BW50-BX50)</f>
        <v>0</v>
      </c>
      <c r="BZ50" s="0" t="n">
        <f aca="false">BF50*MIN((AV50-BN50-BT50),BW50-BX50-BY50)</f>
        <v>0</v>
      </c>
      <c r="CA50" s="0" t="n">
        <f aca="false">BW50-BX50-BY50-BZ50</f>
        <v>270661.624347948</v>
      </c>
      <c r="CB50" s="0" t="n">
        <f aca="false">MAX(0,AT50+AU50+AV50-BL50-BM50-BN50-BR50-BS50-BT50-BX50-BY50-BZ50-AW50)</f>
        <v>0</v>
      </c>
      <c r="CC50" s="0" t="n">
        <f aca="false">1*MIN((AT50-BL50-BR50-BX50),MIN(CA50,CB50))</f>
        <v>0</v>
      </c>
      <c r="CD50" s="0" t="n">
        <f aca="false">1*MIN((AU50-BM50-BS50-BY50),MIN(CA50,CB50)-CC50)</f>
        <v>0</v>
      </c>
      <c r="CE50" s="0" t="n">
        <f aca="false">1*MIN((AV50-BN50-BT50-BZ50),MIN(CA50,CB50)-CC50-CD50)</f>
        <v>0</v>
      </c>
      <c r="CF50" s="0" t="n">
        <f aca="false">CA50-CC50-CD50-CE50</f>
        <v>270661.624347948</v>
      </c>
      <c r="CG50" s="0" t="n">
        <f aca="false">IF(C50+D50+E50&gt;Inputs!$B$19,MIN(CF50,MAX(0,Inputs!$B$15-DO49)),0)</f>
        <v>0</v>
      </c>
      <c r="CH50" s="0" t="n">
        <f aca="false">CF50-CG50</f>
        <v>270661.624347948</v>
      </c>
      <c r="CI50" s="0" t="n">
        <f aca="false">DO49+CG50</f>
        <v>3000000</v>
      </c>
      <c r="CJ50" s="0" t="n">
        <f aca="false">MIN(MAX(N50-BH50,0),CI50)</f>
        <v>0</v>
      </c>
      <c r="CK50" s="0" t="n">
        <f aca="false">MIN(MAX(O50-BJ50,0),CI50-CJ50)</f>
        <v>0</v>
      </c>
      <c r="CL50" s="0" t="n">
        <f aca="false">MIN(MAX(P50-BP50,0),CI50-CJ50-CK50)</f>
        <v>0</v>
      </c>
      <c r="CM50" s="0" t="n">
        <f aca="false">CJ50+CK50+CL50</f>
        <v>0</v>
      </c>
      <c r="CN50" s="0" t="n">
        <f aca="false">CI50-CM50</f>
        <v>3000000</v>
      </c>
      <c r="CO50" s="0" t="n">
        <f aca="false">BH50+CJ50</f>
        <v>39517.1218832604</v>
      </c>
      <c r="CP50" s="0" t="n">
        <f aca="false">BJ50+CK50</f>
        <v>0</v>
      </c>
      <c r="CQ50" s="0" t="n">
        <f aca="false">BP50+CL50</f>
        <v>122725.272546691</v>
      </c>
      <c r="CR50" s="0" t="n">
        <f aca="false">BV50</f>
        <v>187500</v>
      </c>
      <c r="CS50" s="0" t="n">
        <f aca="false">AT50-BL50-BR50-BX50-CC50</f>
        <v>0</v>
      </c>
      <c r="CT50" s="0" t="n">
        <f aca="false">AU50-BM50-BS50-BY50-CD50</f>
        <v>21380384.7331783</v>
      </c>
      <c r="CU50" s="0" t="n">
        <f aca="false">AV50-BN50-BT50-BZ50-CE50</f>
        <v>30000000</v>
      </c>
      <c r="CV50" s="0" t="n">
        <f aca="false">MAX(0,CS50+CT50+CU50-AW50)</f>
        <v>0</v>
      </c>
      <c r="CW50" s="0" t="n">
        <f aca="false">MIN(CU50,CV50)</f>
        <v>0</v>
      </c>
      <c r="CX50" s="0" t="n">
        <f aca="false">MIN(CT50,CV50-CW50)</f>
        <v>0</v>
      </c>
      <c r="CY50" s="0" t="n">
        <f aca="false">MIN(CS50,CV50-CW50-CX50)</f>
        <v>0</v>
      </c>
      <c r="CZ50" s="0" t="n">
        <f aca="false">IF(CS50-CY50&lt;Inputs!$B$19,0,CS50-CY50)</f>
        <v>0</v>
      </c>
      <c r="DA50" s="0" t="n">
        <f aca="false">IF(CT50-CX50&lt;Inputs!$B$19,0,CT50-CX50)</f>
        <v>21380384.7331783</v>
      </c>
      <c r="DB50" s="0" t="n">
        <f aca="false">IF(CU50-CW50&lt;Inputs!$B$19,0,CU50-CW50)</f>
        <v>30000000</v>
      </c>
      <c r="DC50" s="0" t="n">
        <f aca="false">N50-CO50</f>
        <v>0</v>
      </c>
      <c r="DD50" s="0" t="n">
        <f aca="false">O50-CP50</f>
        <v>0</v>
      </c>
      <c r="DE50" s="0" t="n">
        <f aca="false">P50-CQ50</f>
        <v>0</v>
      </c>
      <c r="DF50" s="0" t="n">
        <f aca="false">Q50-CR50</f>
        <v>0</v>
      </c>
      <c r="DG50" s="0" t="n">
        <f aca="false">IF(CZ50+DA50+DB50&lt;=Inputs!$B$19,1,0)</f>
        <v>0</v>
      </c>
      <c r="DH50" s="0" t="n">
        <f aca="false">DG50*CN50</f>
        <v>0</v>
      </c>
      <c r="DI50" s="0" t="n">
        <f aca="false">DG50*(AS50+DH50)</f>
        <v>0</v>
      </c>
      <c r="DJ50" s="0" t="n">
        <f aca="false">DG50*MIN(DC50,DI50)</f>
        <v>0</v>
      </c>
      <c r="DK50" s="0" t="n">
        <f aca="false">DG50*MIN(DD50,DI50-DJ50)</f>
        <v>0</v>
      </c>
      <c r="DL50" s="0" t="n">
        <f aca="false">DG50*MIN(DE50,DI50-DJ50-DK50)</f>
        <v>0</v>
      </c>
      <c r="DM50" s="0" t="n">
        <f aca="false">DG50*MIN(DF50,DI50-DJ50-DK50-DL50)</f>
        <v>0</v>
      </c>
      <c r="DN50" s="0" t="n">
        <f aca="false">DJ50+DK50+DL50+DM50</f>
        <v>0</v>
      </c>
      <c r="DO50" s="0" t="n">
        <f aca="false">CN50-DH50</f>
        <v>3000000</v>
      </c>
      <c r="DP50" s="0" t="n">
        <f aca="false">DC50-DJ50</f>
        <v>0</v>
      </c>
      <c r="DQ50" s="0" t="n">
        <f aca="false">DD50-DK50</f>
        <v>0</v>
      </c>
      <c r="DR50" s="0" t="n">
        <f aca="false">DE50-DL50</f>
        <v>0</v>
      </c>
      <c r="DS50" s="0" t="n">
        <f aca="false">DF50-DM50</f>
        <v>0</v>
      </c>
      <c r="DT50" s="0" t="n">
        <f aca="false">CO50+DJ50</f>
        <v>39517.1218832604</v>
      </c>
      <c r="DU50" s="0" t="n">
        <f aca="false">CP50+DK50</f>
        <v>0</v>
      </c>
      <c r="DV50" s="0" t="n">
        <f aca="false">AP50+BL50+BR50+BX50+CC50</f>
        <v>0</v>
      </c>
      <c r="DW50" s="0" t="n">
        <f aca="false">CQ50+DL50</f>
        <v>122725.272546691</v>
      </c>
      <c r="DX50" s="0" t="n">
        <f aca="false">AQ50+BM50+BS50+BY50+CD50</f>
        <v>4634407.0218411</v>
      </c>
      <c r="DY50" s="0" t="n">
        <f aca="false">CR50+DM50</f>
        <v>187500</v>
      </c>
      <c r="DZ50" s="0" t="n">
        <f aca="false">AR50+BN50+BT50+BZ50+CE50</f>
        <v>0</v>
      </c>
      <c r="EA50" s="0" t="n">
        <f aca="false">DI50-DN50</f>
        <v>0</v>
      </c>
      <c r="EB50" s="0" t="n">
        <f aca="false">CH50+EA50</f>
        <v>270661.624347948</v>
      </c>
      <c r="EC50" s="0" t="n">
        <f aca="false">R50-I50-MAX(-M50,0)-J50-K50-L50</f>
        <v>270661.624347948</v>
      </c>
      <c r="ED50" s="0" t="n">
        <f aca="false">R50+S50+CM50+DH50-CG50-DT50-DU50-DW50-DY50-DV50-DX50-DZ50-EB50</f>
        <v>0</v>
      </c>
      <c r="EE50" s="0" t="n">
        <f aca="false">IF(AND(EB50&gt;0.000001,DP50+DQ50+DR50+DS50&gt;0.000001),1,0)</f>
        <v>0</v>
      </c>
    </row>
    <row r="51" customFormat="false" ht="15" hidden="false" customHeight="false" outlineLevel="0" collapsed="false">
      <c r="A51" s="0" t="n">
        <f aca="false">ROW()-5</f>
        <v>46</v>
      </c>
      <c r="B51" s="0" t="n">
        <f aca="false">Inputs!$B$11+(Inputs!$B$12-Inputs!$B$11)*(1-EXP(-A51/Inputs!$B$13))+Inputs!$B$8</f>
        <v>0.0340445129076263</v>
      </c>
      <c r="C51" s="0" t="n">
        <f aca="false">CZ50</f>
        <v>0</v>
      </c>
      <c r="D51" s="0" t="n">
        <f aca="false">DA50</f>
        <v>21380384.7331783</v>
      </c>
      <c r="E51" s="0" t="n">
        <f aca="false">DB50</f>
        <v>30000000</v>
      </c>
      <c r="F51" s="0" t="n">
        <f aca="false">IF(Inputs!$B$22=1,B51+Inputs!$B$23,Inputs!$B$23)/12</f>
        <v>0.00375370940896886</v>
      </c>
      <c r="G51" s="0" t="n">
        <f aca="false">IF(Inputs!$B$27=1,B51+Inputs!$B$28,Inputs!$B$28)/12</f>
        <v>0.00471204274230219</v>
      </c>
      <c r="H51" s="0" t="n">
        <f aca="false">IF(Inputs!$B$32=1,B51+Inputs!$B$33,Inputs!$B$33)/12</f>
        <v>0.00625</v>
      </c>
      <c r="I51" s="0" t="n">
        <f aca="false">Pool!BT51*Inputs!$B$14/12</f>
        <v>37067.5021629457</v>
      </c>
      <c r="J51" s="0" t="n">
        <f aca="false">C51*F51</f>
        <v>0</v>
      </c>
      <c r="K51" s="0" t="n">
        <f aca="false">D51*G51</f>
        <v>100745.286709601</v>
      </c>
      <c r="L51" s="0" t="n">
        <f aca="false">E51*H51</f>
        <v>187500</v>
      </c>
      <c r="M51" s="0" t="n">
        <f aca="false">Inputs!$B$17*(C51*Inputs!$B$22+D51*Inputs!$B$27+E51*Inputs!$B$32)*(B51-Inputs!$B$18)/12</f>
        <v>-0</v>
      </c>
      <c r="N51" s="0" t="n">
        <f aca="false">DP50+I51+MAX(-M51,0)</f>
        <v>37067.5021629457</v>
      </c>
      <c r="O51" s="0" t="n">
        <f aca="false">DQ50+J51</f>
        <v>0</v>
      </c>
      <c r="P51" s="0" t="n">
        <f aca="false">DR50+K51</f>
        <v>100745.286709601</v>
      </c>
      <c r="Q51" s="0" t="n">
        <f aca="false">DS50+L51</f>
        <v>187500</v>
      </c>
      <c r="R51" s="0" t="n">
        <f aca="false">Pool!BV51+MAX(M51,0)</f>
        <v>584599.245748637</v>
      </c>
      <c r="S51" s="0" t="n">
        <f aca="false">Pool!BW51+Pool!BX51+Pool!BZ51</f>
        <v>4571579.79702324</v>
      </c>
      <c r="T51" s="0" t="n">
        <f aca="false">MAX(T50,BG50)</f>
        <v>1</v>
      </c>
      <c r="U51" s="0" t="n">
        <f aca="false">MIN(C51,S51)</f>
        <v>0</v>
      </c>
      <c r="V51" s="0" t="n">
        <f aca="false">MIN(D51,S51-U51)</f>
        <v>4571579.79702324</v>
      </c>
      <c r="W51" s="0" t="n">
        <f aca="false">MIN(E51,S51-U51-V51)</f>
        <v>0</v>
      </c>
      <c r="X51" s="0" t="n">
        <f aca="false">IF(C51-(0)&gt;Inputs!$B$19,1,0)</f>
        <v>0</v>
      </c>
      <c r="Y51" s="0" t="n">
        <f aca="false">IF(D51-(0)&gt;Inputs!$B$19,1,0)</f>
        <v>1</v>
      </c>
      <c r="Z51" s="0" t="n">
        <f aca="false">IF(E51-(0)&gt;Inputs!$B$19,1,0)</f>
        <v>1</v>
      </c>
      <c r="AA51" s="0" t="n">
        <f aca="false">IF((X51*C51+Y51*D51+Z51*E51)&gt;0,MIN(C51-(0),S51*X51*C51/(X51*C51+Y51*D51+Z51*E51)),0)</f>
        <v>0</v>
      </c>
      <c r="AB51" s="0" t="n">
        <f aca="false">IF((X51*C51+Y51*D51+Z51*E51)&gt;0,MIN(D51-(0),S51*Y51*D51/(X51*C51+Y51*D51+Z51*E51)),0)</f>
        <v>1902323.92003998</v>
      </c>
      <c r="AC51" s="0" t="n">
        <f aca="false">IF((X51*C51+Y51*D51+Z51*E51)&gt;0,MIN(E51-(0),S51*Z51*E51/(X51*C51+Y51*D51+Z51*E51)),0)</f>
        <v>2669255.87698326</v>
      </c>
      <c r="AD51" s="0" t="n">
        <f aca="false">IF(C51-(AA51)&gt;Inputs!$B$19,1,0)</f>
        <v>0</v>
      </c>
      <c r="AE51" s="0" t="n">
        <f aca="false">IF(D51-(AB51)&gt;Inputs!$B$19,1,0)</f>
        <v>1</v>
      </c>
      <c r="AF51" s="0" t="n">
        <f aca="false">IF(E51-(AC51)&gt;Inputs!$B$19,1,0)</f>
        <v>1</v>
      </c>
      <c r="AG51" s="0" t="n">
        <f aca="false">IF((AD51*C51+AE51*D51+AF51*E51)&gt;0,MIN(C51-(AA51),(S51-(AA51+AB51+AC51))*AD51*C51/(AD51*C51+AE51*D51+AF51*E51)),0)</f>
        <v>0</v>
      </c>
      <c r="AH51" s="0" t="n">
        <f aca="false">IF((AD51*C51+AE51*D51+AF51*E51)&gt;0,MIN(D51-(AB51),(S51-(AA51+AB51+AC51))*AE51*D51/(AD51*C51+AE51*D51+AF51*E51)),0)</f>
        <v>0</v>
      </c>
      <c r="AI51" s="0" t="n">
        <f aca="false">IF((AD51*C51+AE51*D51+AF51*E51)&gt;0,MIN(E51-(AC51),(S51-(AA51+AB51+AC51))*AF51*E51/(AD51*C51+AE51*D51+AF51*E51)),0)</f>
        <v>0</v>
      </c>
      <c r="AJ51" s="0" t="n">
        <f aca="false">IF(C51-(AA51+AG51)&gt;Inputs!$B$19,1,0)</f>
        <v>0</v>
      </c>
      <c r="AK51" s="0" t="n">
        <f aca="false">IF(D51-(AB51+AH51)&gt;Inputs!$B$19,1,0)</f>
        <v>1</v>
      </c>
      <c r="AL51" s="0" t="n">
        <f aca="false">IF(E51-(AC51+AI51)&gt;Inputs!$B$19,1,0)</f>
        <v>1</v>
      </c>
      <c r="AM51" s="0" t="n">
        <f aca="false">IF((AJ51*C51+AK51*D51+AL51*E51)&gt;0,MIN(C51-(AA51+AG51),(S51-(AA51+AB51+AC51+AG51+AH51+AI51))*AJ51*C51/(AJ51*C51+AK51*D51+AL51*E51)),0)</f>
        <v>0</v>
      </c>
      <c r="AN51" s="0" t="n">
        <f aca="false">IF((AJ51*C51+AK51*D51+AL51*E51)&gt;0,MIN(D51-(AB51+AH51),(S51-(AA51+AB51+AC51+AG51+AH51+AI51))*AK51*D51/(AJ51*C51+AK51*D51+AL51*E51)),0)</f>
        <v>0</v>
      </c>
      <c r="AO51" s="0" t="n">
        <f aca="false">IF((AJ51*C51+AK51*D51+AL51*E51)&gt;0,MIN(E51-(AC51+AI51),(S51-(AA51+AB51+AC51+AG51+AH51+AI51))*AL51*E51/(AJ51*C51+AK51*D51+AL51*E51)),0)</f>
        <v>0</v>
      </c>
      <c r="AP51" s="0" t="n">
        <f aca="false">IF(T51=1,U51,AA51+AG51+AM51)</f>
        <v>0</v>
      </c>
      <c r="AQ51" s="0" t="n">
        <f aca="false">IF(T51=1,V51,AB51+AH51+AN51)</f>
        <v>4571579.79702324</v>
      </c>
      <c r="AR51" s="0" t="n">
        <f aca="false">IF(T51=1,W51,AC51+AI51+AO51)</f>
        <v>0</v>
      </c>
      <c r="AS51" s="0" t="n">
        <f aca="false">S51-AP51-AQ51-AR51</f>
        <v>0</v>
      </c>
      <c r="AT51" s="0" t="n">
        <f aca="false">C51-AP51</f>
        <v>0</v>
      </c>
      <c r="AU51" s="0" t="n">
        <f aca="false">D51-AQ51</f>
        <v>16808804.9361551</v>
      </c>
      <c r="AV51" s="0" t="n">
        <f aca="false">E51-AR51</f>
        <v>30000000</v>
      </c>
      <c r="AW51" s="0" t="n">
        <f aca="false">Pool!CB51</f>
        <v>66758631.5491635</v>
      </c>
      <c r="AX51" s="0" t="n">
        <f aca="false">IF((AT51)&gt;Inputs!$B$19,AW51/(AT51),1000000000)</f>
        <v>1000000000</v>
      </c>
      <c r="AY51" s="0" t="n">
        <f aca="false">IF((J51)&gt;0.000000001,(R51-I51-MAX(-M51,0))/(J51),1000000000)</f>
        <v>1000000000</v>
      </c>
      <c r="AZ51" s="0" t="n">
        <f aca="false">IF(OR(AX51&lt;Inputs!$B$24,AY51&lt;Inputs!$B$25),1,0)</f>
        <v>0</v>
      </c>
      <c r="BA51" s="0" t="n">
        <f aca="false">IF((AT51+AU51)&gt;Inputs!$B$19,AW51/(AT51+AU51),1000000000)</f>
        <v>3.9716465151885</v>
      </c>
      <c r="BB51" s="0" t="n">
        <f aca="false">IF((J51+K51)&gt;0.000000001,(R51-I51-MAX(-M51,0))/(J51+K51),1000000000)</f>
        <v>5.4348125005982</v>
      </c>
      <c r="BC51" s="0" t="n">
        <f aca="false">IF(OR(BA51&lt;Inputs!$B$29,BB51&lt;Inputs!$B$30),1,0)</f>
        <v>0</v>
      </c>
      <c r="BD51" s="0" t="n">
        <f aca="false">IF((AT51+AU51+AV51)&gt;Inputs!$B$19,AW51/(AT51+AU51+AV51),1000000000)</f>
        <v>1.42619816165397</v>
      </c>
      <c r="BE51" s="0" t="n">
        <f aca="false">IF((J51+K51+L51)&gt;0.000000001,(R51-I51-MAX(-M51,0))/(J51+K51+L51),1000000000)</f>
        <v>1.89953407334398</v>
      </c>
      <c r="BF51" s="0" t="n">
        <f aca="false">IF(OR(BD51&lt;Inputs!$B$34,BE51&lt;Inputs!$B$35),1,0)</f>
        <v>0</v>
      </c>
      <c r="BG51" s="0" t="n">
        <f aca="false">MAX(AZ51,BC51,BF51)</f>
        <v>0</v>
      </c>
      <c r="BH51" s="0" t="n">
        <f aca="false">MIN(R51,N51)</f>
        <v>37067.5021629457</v>
      </c>
      <c r="BI51" s="0" t="n">
        <f aca="false">R51-BH51</f>
        <v>547531.743585691</v>
      </c>
      <c r="BJ51" s="0" t="n">
        <f aca="false">MIN(BI51,O51)</f>
        <v>0</v>
      </c>
      <c r="BK51" s="0" t="n">
        <f aca="false">BI51-BJ51</f>
        <v>547531.743585691</v>
      </c>
      <c r="BL51" s="0" t="n">
        <f aca="false">AZ51*MIN(AT51,BK51)</f>
        <v>0</v>
      </c>
      <c r="BM51" s="0" t="n">
        <f aca="false">AZ51*MIN(AU51,BK51-BL51)</f>
        <v>0</v>
      </c>
      <c r="BN51" s="0" t="n">
        <f aca="false">AZ51*MIN(AV51,BK51-BL51-BM51)</f>
        <v>0</v>
      </c>
      <c r="BO51" s="0" t="n">
        <f aca="false">BK51-BL51-BM51-BN51</f>
        <v>547531.743585691</v>
      </c>
      <c r="BP51" s="0" t="n">
        <f aca="false">MIN(BO51,P51)</f>
        <v>100745.286709601</v>
      </c>
      <c r="BQ51" s="0" t="n">
        <f aca="false">BO51-BP51</f>
        <v>446786.45687609</v>
      </c>
      <c r="BR51" s="0" t="n">
        <f aca="false">BC51*MIN((AT51-BL51),BQ51)</f>
        <v>0</v>
      </c>
      <c r="BS51" s="0" t="n">
        <f aca="false">BC51*MIN((AU51-BM51),BQ51-BR51)</f>
        <v>0</v>
      </c>
      <c r="BT51" s="0" t="n">
        <f aca="false">BC51*MIN((AV51-BN51),BQ51-BR51-BS51)</f>
        <v>0</v>
      </c>
      <c r="BU51" s="0" t="n">
        <f aca="false">BQ51-BR51-BS51-BT51</f>
        <v>446786.45687609</v>
      </c>
      <c r="BV51" s="0" t="n">
        <f aca="false">MIN(BU51,Q51)</f>
        <v>187500</v>
      </c>
      <c r="BW51" s="0" t="n">
        <f aca="false">BU51-BV51</f>
        <v>259286.45687609</v>
      </c>
      <c r="BX51" s="0" t="n">
        <f aca="false">BF51*MIN((AT51-BL51-BR51),BW51)</f>
        <v>0</v>
      </c>
      <c r="BY51" s="0" t="n">
        <f aca="false">BF51*MIN((AU51-BM51-BS51),BW51-BX51)</f>
        <v>0</v>
      </c>
      <c r="BZ51" s="0" t="n">
        <f aca="false">BF51*MIN((AV51-BN51-BT51),BW51-BX51-BY51)</f>
        <v>0</v>
      </c>
      <c r="CA51" s="0" t="n">
        <f aca="false">BW51-BX51-BY51-BZ51</f>
        <v>259286.45687609</v>
      </c>
      <c r="CB51" s="0" t="n">
        <f aca="false">MAX(0,AT51+AU51+AV51-BL51-BM51-BN51-BR51-BS51-BT51-BX51-BY51-BZ51-AW51)</f>
        <v>0</v>
      </c>
      <c r="CC51" s="0" t="n">
        <f aca="false">1*MIN((AT51-BL51-BR51-BX51),MIN(CA51,CB51))</f>
        <v>0</v>
      </c>
      <c r="CD51" s="0" t="n">
        <f aca="false">1*MIN((AU51-BM51-BS51-BY51),MIN(CA51,CB51)-CC51)</f>
        <v>0</v>
      </c>
      <c r="CE51" s="0" t="n">
        <f aca="false">1*MIN((AV51-BN51-BT51-BZ51),MIN(CA51,CB51)-CC51-CD51)</f>
        <v>0</v>
      </c>
      <c r="CF51" s="0" t="n">
        <f aca="false">CA51-CC51-CD51-CE51</f>
        <v>259286.45687609</v>
      </c>
      <c r="CG51" s="0" t="n">
        <f aca="false">IF(C51+D51+E51&gt;Inputs!$B$19,MIN(CF51,MAX(0,Inputs!$B$15-DO50)),0)</f>
        <v>0</v>
      </c>
      <c r="CH51" s="0" t="n">
        <f aca="false">CF51-CG51</f>
        <v>259286.45687609</v>
      </c>
      <c r="CI51" s="0" t="n">
        <f aca="false">DO50+CG51</f>
        <v>3000000</v>
      </c>
      <c r="CJ51" s="0" t="n">
        <f aca="false">MIN(MAX(N51-BH51,0),CI51)</f>
        <v>0</v>
      </c>
      <c r="CK51" s="0" t="n">
        <f aca="false">MIN(MAX(O51-BJ51,0),CI51-CJ51)</f>
        <v>0</v>
      </c>
      <c r="CL51" s="0" t="n">
        <f aca="false">MIN(MAX(P51-BP51,0),CI51-CJ51-CK51)</f>
        <v>0</v>
      </c>
      <c r="CM51" s="0" t="n">
        <f aca="false">CJ51+CK51+CL51</f>
        <v>0</v>
      </c>
      <c r="CN51" s="0" t="n">
        <f aca="false">CI51-CM51</f>
        <v>3000000</v>
      </c>
      <c r="CO51" s="0" t="n">
        <f aca="false">BH51+CJ51</f>
        <v>37067.5021629457</v>
      </c>
      <c r="CP51" s="0" t="n">
        <f aca="false">BJ51+CK51</f>
        <v>0</v>
      </c>
      <c r="CQ51" s="0" t="n">
        <f aca="false">BP51+CL51</f>
        <v>100745.286709601</v>
      </c>
      <c r="CR51" s="0" t="n">
        <f aca="false">BV51</f>
        <v>187500</v>
      </c>
      <c r="CS51" s="0" t="n">
        <f aca="false">AT51-BL51-BR51-BX51-CC51</f>
        <v>0</v>
      </c>
      <c r="CT51" s="0" t="n">
        <f aca="false">AU51-BM51-BS51-BY51-CD51</f>
        <v>16808804.9361551</v>
      </c>
      <c r="CU51" s="0" t="n">
        <f aca="false">AV51-BN51-BT51-BZ51-CE51</f>
        <v>30000000</v>
      </c>
      <c r="CV51" s="0" t="n">
        <f aca="false">MAX(0,CS51+CT51+CU51-AW51)</f>
        <v>0</v>
      </c>
      <c r="CW51" s="0" t="n">
        <f aca="false">MIN(CU51,CV51)</f>
        <v>0</v>
      </c>
      <c r="CX51" s="0" t="n">
        <f aca="false">MIN(CT51,CV51-CW51)</f>
        <v>0</v>
      </c>
      <c r="CY51" s="0" t="n">
        <f aca="false">MIN(CS51,CV51-CW51-CX51)</f>
        <v>0</v>
      </c>
      <c r="CZ51" s="0" t="n">
        <f aca="false">IF(CS51-CY51&lt;Inputs!$B$19,0,CS51-CY51)</f>
        <v>0</v>
      </c>
      <c r="DA51" s="0" t="n">
        <f aca="false">IF(CT51-CX51&lt;Inputs!$B$19,0,CT51-CX51)</f>
        <v>16808804.9361551</v>
      </c>
      <c r="DB51" s="0" t="n">
        <f aca="false">IF(CU51-CW51&lt;Inputs!$B$19,0,CU51-CW51)</f>
        <v>30000000</v>
      </c>
      <c r="DC51" s="0" t="n">
        <f aca="false">N51-CO51</f>
        <v>0</v>
      </c>
      <c r="DD51" s="0" t="n">
        <f aca="false">O51-CP51</f>
        <v>0</v>
      </c>
      <c r="DE51" s="0" t="n">
        <f aca="false">P51-CQ51</f>
        <v>0</v>
      </c>
      <c r="DF51" s="0" t="n">
        <f aca="false">Q51-CR51</f>
        <v>0</v>
      </c>
      <c r="DG51" s="0" t="n">
        <f aca="false">IF(CZ51+DA51+DB51&lt;=Inputs!$B$19,1,0)</f>
        <v>0</v>
      </c>
      <c r="DH51" s="0" t="n">
        <f aca="false">DG51*CN51</f>
        <v>0</v>
      </c>
      <c r="DI51" s="0" t="n">
        <f aca="false">DG51*(AS51+DH51)</f>
        <v>0</v>
      </c>
      <c r="DJ51" s="0" t="n">
        <f aca="false">DG51*MIN(DC51,DI51)</f>
        <v>0</v>
      </c>
      <c r="DK51" s="0" t="n">
        <f aca="false">DG51*MIN(DD51,DI51-DJ51)</f>
        <v>0</v>
      </c>
      <c r="DL51" s="0" t="n">
        <f aca="false">DG51*MIN(DE51,DI51-DJ51-DK51)</f>
        <v>0</v>
      </c>
      <c r="DM51" s="0" t="n">
        <f aca="false">DG51*MIN(DF51,DI51-DJ51-DK51-DL51)</f>
        <v>0</v>
      </c>
      <c r="DN51" s="0" t="n">
        <f aca="false">DJ51+DK51+DL51+DM51</f>
        <v>0</v>
      </c>
      <c r="DO51" s="0" t="n">
        <f aca="false">CN51-DH51</f>
        <v>3000000</v>
      </c>
      <c r="DP51" s="0" t="n">
        <f aca="false">DC51-DJ51</f>
        <v>0</v>
      </c>
      <c r="DQ51" s="0" t="n">
        <f aca="false">DD51-DK51</f>
        <v>0</v>
      </c>
      <c r="DR51" s="0" t="n">
        <f aca="false">DE51-DL51</f>
        <v>0</v>
      </c>
      <c r="DS51" s="0" t="n">
        <f aca="false">DF51-DM51</f>
        <v>0</v>
      </c>
      <c r="DT51" s="0" t="n">
        <f aca="false">CO51+DJ51</f>
        <v>37067.5021629457</v>
      </c>
      <c r="DU51" s="0" t="n">
        <f aca="false">CP51+DK51</f>
        <v>0</v>
      </c>
      <c r="DV51" s="0" t="n">
        <f aca="false">AP51+BL51+BR51+BX51+CC51</f>
        <v>0</v>
      </c>
      <c r="DW51" s="0" t="n">
        <f aca="false">CQ51+DL51</f>
        <v>100745.286709601</v>
      </c>
      <c r="DX51" s="0" t="n">
        <f aca="false">AQ51+BM51+BS51+BY51+CD51</f>
        <v>4571579.79702324</v>
      </c>
      <c r="DY51" s="0" t="n">
        <f aca="false">CR51+DM51</f>
        <v>187500</v>
      </c>
      <c r="DZ51" s="0" t="n">
        <f aca="false">AR51+BN51+BT51+BZ51+CE51</f>
        <v>0</v>
      </c>
      <c r="EA51" s="0" t="n">
        <f aca="false">DI51-DN51</f>
        <v>0</v>
      </c>
      <c r="EB51" s="0" t="n">
        <f aca="false">CH51+EA51</f>
        <v>259286.45687609</v>
      </c>
      <c r="EC51" s="0" t="n">
        <f aca="false">R51-I51-MAX(-M51,0)-J51-K51-L51</f>
        <v>259286.45687609</v>
      </c>
      <c r="ED51" s="0" t="n">
        <f aca="false">R51+S51+CM51+DH51-CG51-DT51-DU51-DW51-DY51-DV51-DX51-DZ51-EB51</f>
        <v>0</v>
      </c>
      <c r="EE51" s="0" t="n">
        <f aca="false">IF(AND(EB51&gt;0.000001,DP51+DQ51+DR51+DS51&gt;0.000001),1,0)</f>
        <v>0</v>
      </c>
    </row>
    <row r="52" customFormat="false" ht="15" hidden="false" customHeight="false" outlineLevel="0" collapsed="false">
      <c r="A52" s="0" t="n">
        <f aca="false">ROW()-5</f>
        <v>47</v>
      </c>
      <c r="B52" s="0" t="n">
        <f aca="false">Inputs!$B$11+(Inputs!$B$12-Inputs!$B$11)*(1-EXP(-A52/Inputs!$B$13))+Inputs!$B$8</f>
        <v>0.0339814804973641</v>
      </c>
      <c r="C52" s="0" t="n">
        <f aca="false">CZ51</f>
        <v>0</v>
      </c>
      <c r="D52" s="0" t="n">
        <f aca="false">DA51</f>
        <v>16808804.9361551</v>
      </c>
      <c r="E52" s="0" t="n">
        <f aca="false">DB51</f>
        <v>30000000</v>
      </c>
      <c r="F52" s="0" t="n">
        <f aca="false">IF(Inputs!$B$22=1,B52+Inputs!$B$23,Inputs!$B$23)/12</f>
        <v>0.00374845670811367</v>
      </c>
      <c r="G52" s="0" t="n">
        <f aca="false">IF(Inputs!$B$27=1,B52+Inputs!$B$28,Inputs!$B$28)/12</f>
        <v>0.00470679004144701</v>
      </c>
      <c r="H52" s="0" t="n">
        <f aca="false">IF(Inputs!$B$32=1,B52+Inputs!$B$33,Inputs!$B$33)/12</f>
        <v>0.00625</v>
      </c>
      <c r="I52" s="0" t="n">
        <f aca="false">Pool!BT52*Inputs!$B$14/12</f>
        <v>34653.0160388523</v>
      </c>
      <c r="J52" s="0" t="n">
        <f aca="false">C52*F52</f>
        <v>0</v>
      </c>
      <c r="K52" s="0" t="n">
        <f aca="false">D52*G52</f>
        <v>79115.5156821199</v>
      </c>
      <c r="L52" s="0" t="n">
        <f aca="false">E52*H52</f>
        <v>187500</v>
      </c>
      <c r="M52" s="0" t="n">
        <f aca="false">Inputs!$B$17*(C52*Inputs!$B$22+D52*Inputs!$B$27+E52*Inputs!$B$32)*(B52-Inputs!$B$18)/12</f>
        <v>-0</v>
      </c>
      <c r="N52" s="0" t="n">
        <f aca="false">DP51+I52+MAX(-M52,0)</f>
        <v>34653.0160388523</v>
      </c>
      <c r="O52" s="0" t="n">
        <f aca="false">DQ51+J52</f>
        <v>0</v>
      </c>
      <c r="P52" s="0" t="n">
        <f aca="false">DR51+K52</f>
        <v>79115.5156821199</v>
      </c>
      <c r="Q52" s="0" t="n">
        <f aca="false">DS51+L52</f>
        <v>187500</v>
      </c>
      <c r="R52" s="0" t="n">
        <f aca="false">Pool!BV52+MAX(M52,0)</f>
        <v>549303.045514376</v>
      </c>
      <c r="S52" s="0" t="n">
        <f aca="false">Pool!BW52+Pool!BX52+Pool!BZ52</f>
        <v>4509503.05639567</v>
      </c>
      <c r="T52" s="0" t="n">
        <f aca="false">MAX(T51,BG51)</f>
        <v>1</v>
      </c>
      <c r="U52" s="0" t="n">
        <f aca="false">MIN(C52,S52)</f>
        <v>0</v>
      </c>
      <c r="V52" s="0" t="n">
        <f aca="false">MIN(D52,S52-U52)</f>
        <v>4509503.05639567</v>
      </c>
      <c r="W52" s="0" t="n">
        <f aca="false">MIN(E52,S52-U52-V52)</f>
        <v>0</v>
      </c>
      <c r="X52" s="0" t="n">
        <f aca="false">IF(C52-(0)&gt;Inputs!$B$19,1,0)</f>
        <v>0</v>
      </c>
      <c r="Y52" s="0" t="n">
        <f aca="false">IF(D52-(0)&gt;Inputs!$B$19,1,0)</f>
        <v>1</v>
      </c>
      <c r="Z52" s="0" t="n">
        <f aca="false">IF(E52-(0)&gt;Inputs!$B$19,1,0)</f>
        <v>1</v>
      </c>
      <c r="AA52" s="0" t="n">
        <f aca="false">IF((X52*C52+Y52*D52+Z52*E52)&gt;0,MIN(C52-(0),S52*X52*C52/(X52*C52+Y52*D52+Z52*E52)),0)</f>
        <v>0</v>
      </c>
      <c r="AB52" s="0" t="n">
        <f aca="false">IF((X52*C52+Y52*D52+Z52*E52)&gt;0,MIN(D52-(0),S52*Y52*D52/(X52*C52+Y52*D52+Z52*E52)),0)</f>
        <v>1619339.72331352</v>
      </c>
      <c r="AC52" s="0" t="n">
        <f aca="false">IF((X52*C52+Y52*D52+Z52*E52)&gt;0,MIN(E52-(0),S52*Z52*E52/(X52*C52+Y52*D52+Z52*E52)),0)</f>
        <v>2890163.33308215</v>
      </c>
      <c r="AD52" s="0" t="n">
        <f aca="false">IF(C52-(AA52)&gt;Inputs!$B$19,1,0)</f>
        <v>0</v>
      </c>
      <c r="AE52" s="0" t="n">
        <f aca="false">IF(D52-(AB52)&gt;Inputs!$B$19,1,0)</f>
        <v>1</v>
      </c>
      <c r="AF52" s="0" t="n">
        <f aca="false">IF(E52-(AC52)&gt;Inputs!$B$19,1,0)</f>
        <v>1</v>
      </c>
      <c r="AG52" s="0" t="n">
        <f aca="false">IF((AD52*C52+AE52*D52+AF52*E52)&gt;0,MIN(C52-(AA52),(S52-(AA52+AB52+AC52))*AD52*C52/(AD52*C52+AE52*D52+AF52*E52)),0)</f>
        <v>0</v>
      </c>
      <c r="AH52" s="0" t="n">
        <f aca="false">IF((AD52*C52+AE52*D52+AF52*E52)&gt;0,MIN(D52-(AB52),(S52-(AA52+AB52+AC52))*AE52*D52/(AD52*C52+AE52*D52+AF52*E52)),0)</f>
        <v>0</v>
      </c>
      <c r="AI52" s="0" t="n">
        <f aca="false">IF((AD52*C52+AE52*D52+AF52*E52)&gt;0,MIN(E52-(AC52),(S52-(AA52+AB52+AC52))*AF52*E52/(AD52*C52+AE52*D52+AF52*E52)),0)</f>
        <v>0</v>
      </c>
      <c r="AJ52" s="0" t="n">
        <f aca="false">IF(C52-(AA52+AG52)&gt;Inputs!$B$19,1,0)</f>
        <v>0</v>
      </c>
      <c r="AK52" s="0" t="n">
        <f aca="false">IF(D52-(AB52+AH52)&gt;Inputs!$B$19,1,0)</f>
        <v>1</v>
      </c>
      <c r="AL52" s="0" t="n">
        <f aca="false">IF(E52-(AC52+AI52)&gt;Inputs!$B$19,1,0)</f>
        <v>1</v>
      </c>
      <c r="AM52" s="0" t="n">
        <f aca="false">IF((AJ52*C52+AK52*D52+AL52*E52)&gt;0,MIN(C52-(AA52+AG52),(S52-(AA52+AB52+AC52+AG52+AH52+AI52))*AJ52*C52/(AJ52*C52+AK52*D52+AL52*E52)),0)</f>
        <v>0</v>
      </c>
      <c r="AN52" s="0" t="n">
        <f aca="false">IF((AJ52*C52+AK52*D52+AL52*E52)&gt;0,MIN(D52-(AB52+AH52),(S52-(AA52+AB52+AC52+AG52+AH52+AI52))*AK52*D52/(AJ52*C52+AK52*D52+AL52*E52)),0)</f>
        <v>0</v>
      </c>
      <c r="AO52" s="0" t="n">
        <f aca="false">IF((AJ52*C52+AK52*D52+AL52*E52)&gt;0,MIN(E52-(AC52+AI52),(S52-(AA52+AB52+AC52+AG52+AH52+AI52))*AL52*E52/(AJ52*C52+AK52*D52+AL52*E52)),0)</f>
        <v>0</v>
      </c>
      <c r="AP52" s="0" t="n">
        <f aca="false">IF(T52=1,U52,AA52+AG52+AM52)</f>
        <v>0</v>
      </c>
      <c r="AQ52" s="0" t="n">
        <f aca="false">IF(T52=1,V52,AB52+AH52+AN52)</f>
        <v>4509503.05639567</v>
      </c>
      <c r="AR52" s="0" t="n">
        <f aca="false">IF(T52=1,W52,AC52+AI52+AO52)</f>
        <v>0</v>
      </c>
      <c r="AS52" s="0" t="n">
        <f aca="false">S52-AP52-AQ52-AR52</f>
        <v>0</v>
      </c>
      <c r="AT52" s="0" t="n">
        <f aca="false">C52-AP52</f>
        <v>0</v>
      </c>
      <c r="AU52" s="0" t="n">
        <f aca="false">D52-AQ52</f>
        <v>12299301.8797594</v>
      </c>
      <c r="AV52" s="0" t="n">
        <f aca="false">E52-AR52</f>
        <v>30000000</v>
      </c>
      <c r="AW52" s="0" t="n">
        <f aca="false">Pool!CB52</f>
        <v>62182197.3839872</v>
      </c>
      <c r="AX52" s="0" t="n">
        <f aca="false">IF((AT52)&gt;Inputs!$B$19,AW52/(AT52),1000000000)</f>
        <v>1000000000</v>
      </c>
      <c r="AY52" s="0" t="n">
        <f aca="false">IF((J52)&gt;0.000000001,(R52-I52-MAX(-M52,0))/(J52),1000000000)</f>
        <v>1000000000</v>
      </c>
      <c r="AZ52" s="0" t="n">
        <f aca="false">IF(OR(AX52&lt;Inputs!$B$24,AY52&lt;Inputs!$B$25),1,0)</f>
        <v>0</v>
      </c>
      <c r="BA52" s="0" t="n">
        <f aca="false">IF((AT52+AU52)&gt;Inputs!$B$19,AW52/(AT52+AU52),1000000000)</f>
        <v>5.05575015491884</v>
      </c>
      <c r="BB52" s="0" t="n">
        <f aca="false">IF((J52+K52)&gt;0.000000001,(R52-I52-MAX(-M52,0))/(J52+K52),1000000000)</f>
        <v>6.50504550262111</v>
      </c>
      <c r="BC52" s="0" t="n">
        <f aca="false">IF(OR(BA52&lt;Inputs!$B$29,BB52&lt;Inputs!$B$30),1,0)</f>
        <v>0</v>
      </c>
      <c r="BD52" s="0" t="n">
        <f aca="false">IF((AT52+AU52+AV52)&gt;Inputs!$B$19,AW52/(AT52+AU52+AV52),1000000000)</f>
        <v>1.47005256873381</v>
      </c>
      <c r="BE52" s="0" t="n">
        <f aca="false">IF((J52+K52+L52)&gt;0.000000001,(R52-I52-MAX(-M52,0))/(J52+K52+L52),1000000000)</f>
        <v>1.93030787483925</v>
      </c>
      <c r="BF52" s="0" t="n">
        <f aca="false">IF(OR(BD52&lt;Inputs!$B$34,BE52&lt;Inputs!$B$35),1,0)</f>
        <v>0</v>
      </c>
      <c r="BG52" s="0" t="n">
        <f aca="false">MAX(AZ52,BC52,BF52)</f>
        <v>0</v>
      </c>
      <c r="BH52" s="0" t="n">
        <f aca="false">MIN(R52,N52)</f>
        <v>34653.0160388523</v>
      </c>
      <c r="BI52" s="0" t="n">
        <f aca="false">R52-BH52</f>
        <v>514650.029475524</v>
      </c>
      <c r="BJ52" s="0" t="n">
        <f aca="false">MIN(BI52,O52)</f>
        <v>0</v>
      </c>
      <c r="BK52" s="0" t="n">
        <f aca="false">BI52-BJ52</f>
        <v>514650.029475524</v>
      </c>
      <c r="BL52" s="0" t="n">
        <f aca="false">AZ52*MIN(AT52,BK52)</f>
        <v>0</v>
      </c>
      <c r="BM52" s="0" t="n">
        <f aca="false">AZ52*MIN(AU52,BK52-BL52)</f>
        <v>0</v>
      </c>
      <c r="BN52" s="0" t="n">
        <f aca="false">AZ52*MIN(AV52,BK52-BL52-BM52)</f>
        <v>0</v>
      </c>
      <c r="BO52" s="0" t="n">
        <f aca="false">BK52-BL52-BM52-BN52</f>
        <v>514650.029475524</v>
      </c>
      <c r="BP52" s="0" t="n">
        <f aca="false">MIN(BO52,P52)</f>
        <v>79115.5156821199</v>
      </c>
      <c r="BQ52" s="0" t="n">
        <f aca="false">BO52-BP52</f>
        <v>435534.513793404</v>
      </c>
      <c r="BR52" s="0" t="n">
        <f aca="false">BC52*MIN((AT52-BL52),BQ52)</f>
        <v>0</v>
      </c>
      <c r="BS52" s="0" t="n">
        <f aca="false">BC52*MIN((AU52-BM52),BQ52-BR52)</f>
        <v>0</v>
      </c>
      <c r="BT52" s="0" t="n">
        <f aca="false">BC52*MIN((AV52-BN52),BQ52-BR52-BS52)</f>
        <v>0</v>
      </c>
      <c r="BU52" s="0" t="n">
        <f aca="false">BQ52-BR52-BS52-BT52</f>
        <v>435534.513793404</v>
      </c>
      <c r="BV52" s="0" t="n">
        <f aca="false">MIN(BU52,Q52)</f>
        <v>187500</v>
      </c>
      <c r="BW52" s="0" t="n">
        <f aca="false">BU52-BV52</f>
        <v>248034.513793404</v>
      </c>
      <c r="BX52" s="0" t="n">
        <f aca="false">BF52*MIN((AT52-BL52-BR52),BW52)</f>
        <v>0</v>
      </c>
      <c r="BY52" s="0" t="n">
        <f aca="false">BF52*MIN((AU52-BM52-BS52),BW52-BX52)</f>
        <v>0</v>
      </c>
      <c r="BZ52" s="0" t="n">
        <f aca="false">BF52*MIN((AV52-BN52-BT52),BW52-BX52-BY52)</f>
        <v>0</v>
      </c>
      <c r="CA52" s="0" t="n">
        <f aca="false">BW52-BX52-BY52-BZ52</f>
        <v>248034.513793404</v>
      </c>
      <c r="CB52" s="0" t="n">
        <f aca="false">MAX(0,AT52+AU52+AV52-BL52-BM52-BN52-BR52-BS52-BT52-BX52-BY52-BZ52-AW52)</f>
        <v>0</v>
      </c>
      <c r="CC52" s="0" t="n">
        <f aca="false">1*MIN((AT52-BL52-BR52-BX52),MIN(CA52,CB52))</f>
        <v>0</v>
      </c>
      <c r="CD52" s="0" t="n">
        <f aca="false">1*MIN((AU52-BM52-BS52-BY52),MIN(CA52,CB52)-CC52)</f>
        <v>0</v>
      </c>
      <c r="CE52" s="0" t="n">
        <f aca="false">1*MIN((AV52-BN52-BT52-BZ52),MIN(CA52,CB52)-CC52-CD52)</f>
        <v>0</v>
      </c>
      <c r="CF52" s="0" t="n">
        <f aca="false">CA52-CC52-CD52-CE52</f>
        <v>248034.513793404</v>
      </c>
      <c r="CG52" s="0" t="n">
        <f aca="false">IF(C52+D52+E52&gt;Inputs!$B$19,MIN(CF52,MAX(0,Inputs!$B$15-DO51)),0)</f>
        <v>0</v>
      </c>
      <c r="CH52" s="0" t="n">
        <f aca="false">CF52-CG52</f>
        <v>248034.513793404</v>
      </c>
      <c r="CI52" s="0" t="n">
        <f aca="false">DO51+CG52</f>
        <v>3000000</v>
      </c>
      <c r="CJ52" s="0" t="n">
        <f aca="false">MIN(MAX(N52-BH52,0),CI52)</f>
        <v>0</v>
      </c>
      <c r="CK52" s="0" t="n">
        <f aca="false">MIN(MAX(O52-BJ52,0),CI52-CJ52)</f>
        <v>0</v>
      </c>
      <c r="CL52" s="0" t="n">
        <f aca="false">MIN(MAX(P52-BP52,0),CI52-CJ52-CK52)</f>
        <v>0</v>
      </c>
      <c r="CM52" s="0" t="n">
        <f aca="false">CJ52+CK52+CL52</f>
        <v>0</v>
      </c>
      <c r="CN52" s="0" t="n">
        <f aca="false">CI52-CM52</f>
        <v>3000000</v>
      </c>
      <c r="CO52" s="0" t="n">
        <f aca="false">BH52+CJ52</f>
        <v>34653.0160388523</v>
      </c>
      <c r="CP52" s="0" t="n">
        <f aca="false">BJ52+CK52</f>
        <v>0</v>
      </c>
      <c r="CQ52" s="0" t="n">
        <f aca="false">BP52+CL52</f>
        <v>79115.5156821199</v>
      </c>
      <c r="CR52" s="0" t="n">
        <f aca="false">BV52</f>
        <v>187500</v>
      </c>
      <c r="CS52" s="0" t="n">
        <f aca="false">AT52-BL52-BR52-BX52-CC52</f>
        <v>0</v>
      </c>
      <c r="CT52" s="0" t="n">
        <f aca="false">AU52-BM52-BS52-BY52-CD52</f>
        <v>12299301.8797594</v>
      </c>
      <c r="CU52" s="0" t="n">
        <f aca="false">AV52-BN52-BT52-BZ52-CE52</f>
        <v>30000000</v>
      </c>
      <c r="CV52" s="0" t="n">
        <f aca="false">MAX(0,CS52+CT52+CU52-AW52)</f>
        <v>0</v>
      </c>
      <c r="CW52" s="0" t="n">
        <f aca="false">MIN(CU52,CV52)</f>
        <v>0</v>
      </c>
      <c r="CX52" s="0" t="n">
        <f aca="false">MIN(CT52,CV52-CW52)</f>
        <v>0</v>
      </c>
      <c r="CY52" s="0" t="n">
        <f aca="false">MIN(CS52,CV52-CW52-CX52)</f>
        <v>0</v>
      </c>
      <c r="CZ52" s="0" t="n">
        <f aca="false">IF(CS52-CY52&lt;Inputs!$B$19,0,CS52-CY52)</f>
        <v>0</v>
      </c>
      <c r="DA52" s="0" t="n">
        <f aca="false">IF(CT52-CX52&lt;Inputs!$B$19,0,CT52-CX52)</f>
        <v>12299301.8797594</v>
      </c>
      <c r="DB52" s="0" t="n">
        <f aca="false">IF(CU52-CW52&lt;Inputs!$B$19,0,CU52-CW52)</f>
        <v>30000000</v>
      </c>
      <c r="DC52" s="0" t="n">
        <f aca="false">N52-CO52</f>
        <v>0</v>
      </c>
      <c r="DD52" s="0" t="n">
        <f aca="false">O52-CP52</f>
        <v>0</v>
      </c>
      <c r="DE52" s="0" t="n">
        <f aca="false">P52-CQ52</f>
        <v>0</v>
      </c>
      <c r="DF52" s="0" t="n">
        <f aca="false">Q52-CR52</f>
        <v>0</v>
      </c>
      <c r="DG52" s="0" t="n">
        <f aca="false">IF(CZ52+DA52+DB52&lt;=Inputs!$B$19,1,0)</f>
        <v>0</v>
      </c>
      <c r="DH52" s="0" t="n">
        <f aca="false">DG52*CN52</f>
        <v>0</v>
      </c>
      <c r="DI52" s="0" t="n">
        <f aca="false">DG52*(AS52+DH52)</f>
        <v>0</v>
      </c>
      <c r="DJ52" s="0" t="n">
        <f aca="false">DG52*MIN(DC52,DI52)</f>
        <v>0</v>
      </c>
      <c r="DK52" s="0" t="n">
        <f aca="false">DG52*MIN(DD52,DI52-DJ52)</f>
        <v>0</v>
      </c>
      <c r="DL52" s="0" t="n">
        <f aca="false">DG52*MIN(DE52,DI52-DJ52-DK52)</f>
        <v>0</v>
      </c>
      <c r="DM52" s="0" t="n">
        <f aca="false">DG52*MIN(DF52,DI52-DJ52-DK52-DL52)</f>
        <v>0</v>
      </c>
      <c r="DN52" s="0" t="n">
        <f aca="false">DJ52+DK52+DL52+DM52</f>
        <v>0</v>
      </c>
      <c r="DO52" s="0" t="n">
        <f aca="false">CN52-DH52</f>
        <v>3000000</v>
      </c>
      <c r="DP52" s="0" t="n">
        <f aca="false">DC52-DJ52</f>
        <v>0</v>
      </c>
      <c r="DQ52" s="0" t="n">
        <f aca="false">DD52-DK52</f>
        <v>0</v>
      </c>
      <c r="DR52" s="0" t="n">
        <f aca="false">DE52-DL52</f>
        <v>0</v>
      </c>
      <c r="DS52" s="0" t="n">
        <f aca="false">DF52-DM52</f>
        <v>0</v>
      </c>
      <c r="DT52" s="0" t="n">
        <f aca="false">CO52+DJ52</f>
        <v>34653.0160388523</v>
      </c>
      <c r="DU52" s="0" t="n">
        <f aca="false">CP52+DK52</f>
        <v>0</v>
      </c>
      <c r="DV52" s="0" t="n">
        <f aca="false">AP52+BL52+BR52+BX52+CC52</f>
        <v>0</v>
      </c>
      <c r="DW52" s="0" t="n">
        <f aca="false">CQ52+DL52</f>
        <v>79115.5156821199</v>
      </c>
      <c r="DX52" s="0" t="n">
        <f aca="false">AQ52+BM52+BS52+BY52+CD52</f>
        <v>4509503.05639567</v>
      </c>
      <c r="DY52" s="0" t="n">
        <f aca="false">CR52+DM52</f>
        <v>187500</v>
      </c>
      <c r="DZ52" s="0" t="n">
        <f aca="false">AR52+BN52+BT52+BZ52+CE52</f>
        <v>0</v>
      </c>
      <c r="EA52" s="0" t="n">
        <f aca="false">DI52-DN52</f>
        <v>0</v>
      </c>
      <c r="EB52" s="0" t="n">
        <f aca="false">CH52+EA52</f>
        <v>248034.513793404</v>
      </c>
      <c r="EC52" s="0" t="n">
        <f aca="false">R52-I52-MAX(-M52,0)-J52-K52-L52</f>
        <v>248034.513793404</v>
      </c>
      <c r="ED52" s="0" t="n">
        <f aca="false">R52+S52+CM52+DH52-CG52-DT52-DU52-DW52-DY52-DV52-DX52-DZ52-EB52</f>
        <v>0</v>
      </c>
      <c r="EE52" s="0" t="n">
        <f aca="false">IF(AND(EB52&gt;0.000001,DP52+DQ52+DR52+DS52&gt;0.000001),1,0)</f>
        <v>0</v>
      </c>
    </row>
    <row r="53" customFormat="false" ht="15" hidden="false" customHeight="false" outlineLevel="0" collapsed="false">
      <c r="A53" s="0" t="n">
        <f aca="false">ROW()-5</f>
        <v>48</v>
      </c>
      <c r="B53" s="0" t="n">
        <f aca="false">Inputs!$B$11+(Inputs!$B$12-Inputs!$B$11)*(1-EXP(-A53/Inputs!$B$13))+Inputs!$B$8</f>
        <v>0.0339210204739844</v>
      </c>
      <c r="C53" s="0" t="n">
        <f aca="false">CZ52</f>
        <v>0</v>
      </c>
      <c r="D53" s="0" t="n">
        <f aca="false">DA52</f>
        <v>12299301.8797594</v>
      </c>
      <c r="E53" s="0" t="n">
        <f aca="false">DB52</f>
        <v>30000000</v>
      </c>
      <c r="F53" s="0" t="n">
        <f aca="false">IF(Inputs!$B$22=1,B53+Inputs!$B$23,Inputs!$B$23)/12</f>
        <v>0.00374341837283204</v>
      </c>
      <c r="G53" s="0" t="n">
        <f aca="false">IF(Inputs!$B$27=1,B53+Inputs!$B$28,Inputs!$B$28)/12</f>
        <v>0.00470175170616537</v>
      </c>
      <c r="H53" s="0" t="n">
        <f aca="false">IF(Inputs!$B$32=1,B53+Inputs!$B$33,Inputs!$B$33)/12</f>
        <v>0.00625</v>
      </c>
      <c r="I53" s="0" t="n">
        <f aca="false">Pool!BT53*Inputs!$B$14/12</f>
        <v>32273.2379264772</v>
      </c>
      <c r="J53" s="0" t="n">
        <f aca="false">C53*F53</f>
        <v>0</v>
      </c>
      <c r="K53" s="0" t="n">
        <f aca="false">D53*G53</f>
        <v>57828.2635978017</v>
      </c>
      <c r="L53" s="0" t="n">
        <f aca="false">E53*H53</f>
        <v>187500</v>
      </c>
      <c r="M53" s="0" t="n">
        <f aca="false">Inputs!$B$17*(C53*Inputs!$B$22+D53*Inputs!$B$27+E53*Inputs!$B$32)*(B53-Inputs!$B$18)/12</f>
        <v>-0</v>
      </c>
      <c r="N53" s="0" t="n">
        <f aca="false">DP52+I53+MAX(-M53,0)</f>
        <v>32273.2379264772</v>
      </c>
      <c r="O53" s="0" t="n">
        <f aca="false">DQ52+J53</f>
        <v>0</v>
      </c>
      <c r="P53" s="0" t="n">
        <f aca="false">DR52+K53</f>
        <v>57828.2635978017</v>
      </c>
      <c r="Q53" s="0" t="n">
        <f aca="false">DS52+L53</f>
        <v>187500</v>
      </c>
      <c r="R53" s="0" t="n">
        <f aca="false">Pool!BV53+MAX(M53,0)</f>
        <v>514509.28328031</v>
      </c>
      <c r="S53" s="0" t="n">
        <f aca="false">Pool!BW53+Pool!BX53+Pool!BZ53</f>
        <v>4448168.17033227</v>
      </c>
      <c r="T53" s="0" t="n">
        <f aca="false">MAX(T52,BG52)</f>
        <v>1</v>
      </c>
      <c r="U53" s="0" t="n">
        <f aca="false">MIN(C53,S53)</f>
        <v>0</v>
      </c>
      <c r="V53" s="0" t="n">
        <f aca="false">MIN(D53,S53-U53)</f>
        <v>4448168.17033227</v>
      </c>
      <c r="W53" s="0" t="n">
        <f aca="false">MIN(E53,S53-U53-V53)</f>
        <v>0</v>
      </c>
      <c r="X53" s="0" t="n">
        <f aca="false">IF(C53-(0)&gt;Inputs!$B$19,1,0)</f>
        <v>0</v>
      </c>
      <c r="Y53" s="0" t="n">
        <f aca="false">IF(D53-(0)&gt;Inputs!$B$19,1,0)</f>
        <v>1</v>
      </c>
      <c r="Z53" s="0" t="n">
        <f aca="false">IF(E53-(0)&gt;Inputs!$B$19,1,0)</f>
        <v>1</v>
      </c>
      <c r="AA53" s="0" t="n">
        <f aca="false">IF((X53*C53+Y53*D53+Z53*E53)&gt;0,MIN(C53-(0),S53*X53*C53/(X53*C53+Y53*D53+Z53*E53)),0)</f>
        <v>0</v>
      </c>
      <c r="AB53" s="0" t="n">
        <f aca="false">IF((X53*C53+Y53*D53+Z53*E53)&gt;0,MIN(D53-(0),S53*Y53*D53/(X53*C53+Y53*D53+Z53*E53)),0)</f>
        <v>1293386.90492744</v>
      </c>
      <c r="AC53" s="0" t="n">
        <f aca="false">IF((X53*C53+Y53*D53+Z53*E53)&gt;0,MIN(E53-(0),S53*Z53*E53/(X53*C53+Y53*D53+Z53*E53)),0)</f>
        <v>3154781.26540483</v>
      </c>
      <c r="AD53" s="0" t="n">
        <f aca="false">IF(C53-(AA53)&gt;Inputs!$B$19,1,0)</f>
        <v>0</v>
      </c>
      <c r="AE53" s="0" t="n">
        <f aca="false">IF(D53-(AB53)&gt;Inputs!$B$19,1,0)</f>
        <v>1</v>
      </c>
      <c r="AF53" s="0" t="n">
        <f aca="false">IF(E53-(AC53)&gt;Inputs!$B$19,1,0)</f>
        <v>1</v>
      </c>
      <c r="AG53" s="0" t="n">
        <f aca="false">IF((AD53*C53+AE53*D53+AF53*E53)&gt;0,MIN(C53-(AA53),(S53-(AA53+AB53+AC53))*AD53*C53/(AD53*C53+AE53*D53+AF53*E53)),0)</f>
        <v>0</v>
      </c>
      <c r="AH53" s="0" t="n">
        <f aca="false">IF((AD53*C53+AE53*D53+AF53*E53)&gt;0,MIN(D53-(AB53),(S53-(AA53+AB53+AC53))*AE53*D53/(AD53*C53+AE53*D53+AF53*E53)),0)</f>
        <v>0</v>
      </c>
      <c r="AI53" s="0" t="n">
        <f aca="false">IF((AD53*C53+AE53*D53+AF53*E53)&gt;0,MIN(E53-(AC53),(S53-(AA53+AB53+AC53))*AF53*E53/(AD53*C53+AE53*D53+AF53*E53)),0)</f>
        <v>0</v>
      </c>
      <c r="AJ53" s="0" t="n">
        <f aca="false">IF(C53-(AA53+AG53)&gt;Inputs!$B$19,1,0)</f>
        <v>0</v>
      </c>
      <c r="AK53" s="0" t="n">
        <f aca="false">IF(D53-(AB53+AH53)&gt;Inputs!$B$19,1,0)</f>
        <v>1</v>
      </c>
      <c r="AL53" s="0" t="n">
        <f aca="false">IF(E53-(AC53+AI53)&gt;Inputs!$B$19,1,0)</f>
        <v>1</v>
      </c>
      <c r="AM53" s="0" t="n">
        <f aca="false">IF((AJ53*C53+AK53*D53+AL53*E53)&gt;0,MIN(C53-(AA53+AG53),(S53-(AA53+AB53+AC53+AG53+AH53+AI53))*AJ53*C53/(AJ53*C53+AK53*D53+AL53*E53)),0)</f>
        <v>0</v>
      </c>
      <c r="AN53" s="0" t="n">
        <f aca="false">IF((AJ53*C53+AK53*D53+AL53*E53)&gt;0,MIN(D53-(AB53+AH53),(S53-(AA53+AB53+AC53+AG53+AH53+AI53))*AK53*D53/(AJ53*C53+AK53*D53+AL53*E53)),0)</f>
        <v>0</v>
      </c>
      <c r="AO53" s="0" t="n">
        <f aca="false">IF((AJ53*C53+AK53*D53+AL53*E53)&gt;0,MIN(E53-(AC53+AI53),(S53-(AA53+AB53+AC53+AG53+AH53+AI53))*AL53*E53/(AJ53*C53+AK53*D53+AL53*E53)),0)</f>
        <v>0</v>
      </c>
      <c r="AP53" s="0" t="n">
        <f aca="false">IF(T53=1,U53,AA53+AG53+AM53)</f>
        <v>0</v>
      </c>
      <c r="AQ53" s="0" t="n">
        <f aca="false">IF(T53=1,V53,AB53+AH53+AN53)</f>
        <v>4448168.17033227</v>
      </c>
      <c r="AR53" s="0" t="n">
        <f aca="false">IF(T53=1,W53,AC53+AI53+AO53)</f>
        <v>0</v>
      </c>
      <c r="AS53" s="0" t="n">
        <f aca="false">S53-AP53-AQ53-AR53</f>
        <v>0</v>
      </c>
      <c r="AT53" s="0" t="n">
        <f aca="false">C53-AP53</f>
        <v>0</v>
      </c>
      <c r="AU53" s="0" t="n">
        <f aca="false">D53-AQ53</f>
        <v>7851133.70942712</v>
      </c>
      <c r="AV53" s="0" t="n">
        <f aca="false">E53-AR53</f>
        <v>30000000</v>
      </c>
      <c r="AW53" s="0" t="n">
        <f aca="false">Pool!CB53</f>
        <v>57671694.5644591</v>
      </c>
      <c r="AX53" s="0" t="n">
        <f aca="false">IF((AT53)&gt;Inputs!$B$19,AW53/(AT53),1000000000)</f>
        <v>1000000000</v>
      </c>
      <c r="AY53" s="0" t="n">
        <f aca="false">IF((J53)&gt;0.000000001,(R53-I53-MAX(-M53,0))/(J53),1000000000)</f>
        <v>1000000000</v>
      </c>
      <c r="AZ53" s="0" t="n">
        <f aca="false">IF(OR(AX53&lt;Inputs!$B$24,AY53&lt;Inputs!$B$25),1,0)</f>
        <v>0</v>
      </c>
      <c r="BA53" s="0" t="n">
        <f aca="false">IF((AT53+AU53)&gt;Inputs!$B$19,AW53/(AT53+AU53),1000000000)</f>
        <v>7.34565181270709</v>
      </c>
      <c r="BB53" s="0" t="n">
        <f aca="false">IF((J53+K53)&gt;0.000000001,(R53-I53-MAX(-M53,0))/(J53+K53),1000000000)</f>
        <v>8.33910643950521</v>
      </c>
      <c r="BC53" s="0" t="n">
        <f aca="false">IF(OR(BA53&lt;Inputs!$B$29,BB53&lt;Inputs!$B$30),1,0)</f>
        <v>0</v>
      </c>
      <c r="BD53" s="0" t="n">
        <f aca="false">IF((AT53+AU53+AV53)&gt;Inputs!$B$19,AW53/(AT53+AU53+AV53),1000000000)</f>
        <v>1.5236451041913</v>
      </c>
      <c r="BE53" s="0" t="n">
        <f aca="false">IF((J53+K53+L53)&gt;0.000000001,(R53-I53-MAX(-M53,0))/(J53+K53+L53),1000000000)</f>
        <v>1.96567667451649</v>
      </c>
      <c r="BF53" s="0" t="n">
        <f aca="false">IF(OR(BD53&lt;Inputs!$B$34,BE53&lt;Inputs!$B$35),1,0)</f>
        <v>0</v>
      </c>
      <c r="BG53" s="0" t="n">
        <f aca="false">MAX(AZ53,BC53,BF53)</f>
        <v>0</v>
      </c>
      <c r="BH53" s="0" t="n">
        <f aca="false">MIN(R53,N53)</f>
        <v>32273.2379264772</v>
      </c>
      <c r="BI53" s="0" t="n">
        <f aca="false">R53-BH53</f>
        <v>482236.045353832</v>
      </c>
      <c r="BJ53" s="0" t="n">
        <f aca="false">MIN(BI53,O53)</f>
        <v>0</v>
      </c>
      <c r="BK53" s="0" t="n">
        <f aca="false">BI53-BJ53</f>
        <v>482236.045353832</v>
      </c>
      <c r="BL53" s="0" t="n">
        <f aca="false">AZ53*MIN(AT53,BK53)</f>
        <v>0</v>
      </c>
      <c r="BM53" s="0" t="n">
        <f aca="false">AZ53*MIN(AU53,BK53-BL53)</f>
        <v>0</v>
      </c>
      <c r="BN53" s="0" t="n">
        <f aca="false">AZ53*MIN(AV53,BK53-BL53-BM53)</f>
        <v>0</v>
      </c>
      <c r="BO53" s="0" t="n">
        <f aca="false">BK53-BL53-BM53-BN53</f>
        <v>482236.045353832</v>
      </c>
      <c r="BP53" s="0" t="n">
        <f aca="false">MIN(BO53,P53)</f>
        <v>57828.2635978017</v>
      </c>
      <c r="BQ53" s="0" t="n">
        <f aca="false">BO53-BP53</f>
        <v>424407.781756031</v>
      </c>
      <c r="BR53" s="0" t="n">
        <f aca="false">BC53*MIN((AT53-BL53),BQ53)</f>
        <v>0</v>
      </c>
      <c r="BS53" s="0" t="n">
        <f aca="false">BC53*MIN((AU53-BM53),BQ53-BR53)</f>
        <v>0</v>
      </c>
      <c r="BT53" s="0" t="n">
        <f aca="false">BC53*MIN((AV53-BN53),BQ53-BR53-BS53)</f>
        <v>0</v>
      </c>
      <c r="BU53" s="0" t="n">
        <f aca="false">BQ53-BR53-BS53-BT53</f>
        <v>424407.781756031</v>
      </c>
      <c r="BV53" s="0" t="n">
        <f aca="false">MIN(BU53,Q53)</f>
        <v>187500</v>
      </c>
      <c r="BW53" s="0" t="n">
        <f aca="false">BU53-BV53</f>
        <v>236907.781756031</v>
      </c>
      <c r="BX53" s="0" t="n">
        <f aca="false">BF53*MIN((AT53-BL53-BR53),BW53)</f>
        <v>0</v>
      </c>
      <c r="BY53" s="0" t="n">
        <f aca="false">BF53*MIN((AU53-BM53-BS53),BW53-BX53)</f>
        <v>0</v>
      </c>
      <c r="BZ53" s="0" t="n">
        <f aca="false">BF53*MIN((AV53-BN53-BT53),BW53-BX53-BY53)</f>
        <v>0</v>
      </c>
      <c r="CA53" s="0" t="n">
        <f aca="false">BW53-BX53-BY53-BZ53</f>
        <v>236907.781756031</v>
      </c>
      <c r="CB53" s="0" t="n">
        <f aca="false">MAX(0,AT53+AU53+AV53-BL53-BM53-BN53-BR53-BS53-BT53-BX53-BY53-BZ53-AW53)</f>
        <v>0</v>
      </c>
      <c r="CC53" s="0" t="n">
        <f aca="false">1*MIN((AT53-BL53-BR53-BX53),MIN(CA53,CB53))</f>
        <v>0</v>
      </c>
      <c r="CD53" s="0" t="n">
        <f aca="false">1*MIN((AU53-BM53-BS53-BY53),MIN(CA53,CB53)-CC53)</f>
        <v>0</v>
      </c>
      <c r="CE53" s="0" t="n">
        <f aca="false">1*MIN((AV53-BN53-BT53-BZ53),MIN(CA53,CB53)-CC53-CD53)</f>
        <v>0</v>
      </c>
      <c r="CF53" s="0" t="n">
        <f aca="false">CA53-CC53-CD53-CE53</f>
        <v>236907.781756031</v>
      </c>
      <c r="CG53" s="0" t="n">
        <f aca="false">IF(C53+D53+E53&gt;Inputs!$B$19,MIN(CF53,MAX(0,Inputs!$B$15-DO52)),0)</f>
        <v>0</v>
      </c>
      <c r="CH53" s="0" t="n">
        <f aca="false">CF53-CG53</f>
        <v>236907.781756031</v>
      </c>
      <c r="CI53" s="0" t="n">
        <f aca="false">DO52+CG53</f>
        <v>3000000</v>
      </c>
      <c r="CJ53" s="0" t="n">
        <f aca="false">MIN(MAX(N53-BH53,0),CI53)</f>
        <v>0</v>
      </c>
      <c r="CK53" s="0" t="n">
        <f aca="false">MIN(MAX(O53-BJ53,0),CI53-CJ53)</f>
        <v>0</v>
      </c>
      <c r="CL53" s="0" t="n">
        <f aca="false">MIN(MAX(P53-BP53,0),CI53-CJ53-CK53)</f>
        <v>0</v>
      </c>
      <c r="CM53" s="0" t="n">
        <f aca="false">CJ53+CK53+CL53</f>
        <v>0</v>
      </c>
      <c r="CN53" s="0" t="n">
        <f aca="false">CI53-CM53</f>
        <v>3000000</v>
      </c>
      <c r="CO53" s="0" t="n">
        <f aca="false">BH53+CJ53</f>
        <v>32273.2379264772</v>
      </c>
      <c r="CP53" s="0" t="n">
        <f aca="false">BJ53+CK53</f>
        <v>0</v>
      </c>
      <c r="CQ53" s="0" t="n">
        <f aca="false">BP53+CL53</f>
        <v>57828.2635978017</v>
      </c>
      <c r="CR53" s="0" t="n">
        <f aca="false">BV53</f>
        <v>187500</v>
      </c>
      <c r="CS53" s="0" t="n">
        <f aca="false">AT53-BL53-BR53-BX53-CC53</f>
        <v>0</v>
      </c>
      <c r="CT53" s="0" t="n">
        <f aca="false">AU53-BM53-BS53-BY53-CD53</f>
        <v>7851133.70942712</v>
      </c>
      <c r="CU53" s="0" t="n">
        <f aca="false">AV53-BN53-BT53-BZ53-CE53</f>
        <v>30000000</v>
      </c>
      <c r="CV53" s="0" t="n">
        <f aca="false">MAX(0,CS53+CT53+CU53-AW53)</f>
        <v>0</v>
      </c>
      <c r="CW53" s="0" t="n">
        <f aca="false">MIN(CU53,CV53)</f>
        <v>0</v>
      </c>
      <c r="CX53" s="0" t="n">
        <f aca="false">MIN(CT53,CV53-CW53)</f>
        <v>0</v>
      </c>
      <c r="CY53" s="0" t="n">
        <f aca="false">MIN(CS53,CV53-CW53-CX53)</f>
        <v>0</v>
      </c>
      <c r="CZ53" s="0" t="n">
        <f aca="false">IF(CS53-CY53&lt;Inputs!$B$19,0,CS53-CY53)</f>
        <v>0</v>
      </c>
      <c r="DA53" s="0" t="n">
        <f aca="false">IF(CT53-CX53&lt;Inputs!$B$19,0,CT53-CX53)</f>
        <v>7851133.70942712</v>
      </c>
      <c r="DB53" s="0" t="n">
        <f aca="false">IF(CU53-CW53&lt;Inputs!$B$19,0,CU53-CW53)</f>
        <v>30000000</v>
      </c>
      <c r="DC53" s="0" t="n">
        <f aca="false">N53-CO53</f>
        <v>0</v>
      </c>
      <c r="DD53" s="0" t="n">
        <f aca="false">O53-CP53</f>
        <v>0</v>
      </c>
      <c r="DE53" s="0" t="n">
        <f aca="false">P53-CQ53</f>
        <v>0</v>
      </c>
      <c r="DF53" s="0" t="n">
        <f aca="false">Q53-CR53</f>
        <v>0</v>
      </c>
      <c r="DG53" s="0" t="n">
        <f aca="false">IF(CZ53+DA53+DB53&lt;=Inputs!$B$19,1,0)</f>
        <v>0</v>
      </c>
      <c r="DH53" s="0" t="n">
        <f aca="false">DG53*CN53</f>
        <v>0</v>
      </c>
      <c r="DI53" s="0" t="n">
        <f aca="false">DG53*(AS53+DH53)</f>
        <v>0</v>
      </c>
      <c r="DJ53" s="0" t="n">
        <f aca="false">DG53*MIN(DC53,DI53)</f>
        <v>0</v>
      </c>
      <c r="DK53" s="0" t="n">
        <f aca="false">DG53*MIN(DD53,DI53-DJ53)</f>
        <v>0</v>
      </c>
      <c r="DL53" s="0" t="n">
        <f aca="false">DG53*MIN(DE53,DI53-DJ53-DK53)</f>
        <v>0</v>
      </c>
      <c r="DM53" s="0" t="n">
        <f aca="false">DG53*MIN(DF53,DI53-DJ53-DK53-DL53)</f>
        <v>0</v>
      </c>
      <c r="DN53" s="0" t="n">
        <f aca="false">DJ53+DK53+DL53+DM53</f>
        <v>0</v>
      </c>
      <c r="DO53" s="0" t="n">
        <f aca="false">CN53-DH53</f>
        <v>3000000</v>
      </c>
      <c r="DP53" s="0" t="n">
        <f aca="false">DC53-DJ53</f>
        <v>0</v>
      </c>
      <c r="DQ53" s="0" t="n">
        <f aca="false">DD53-DK53</f>
        <v>0</v>
      </c>
      <c r="DR53" s="0" t="n">
        <f aca="false">DE53-DL53</f>
        <v>0</v>
      </c>
      <c r="DS53" s="0" t="n">
        <f aca="false">DF53-DM53</f>
        <v>0</v>
      </c>
      <c r="DT53" s="0" t="n">
        <f aca="false">CO53+DJ53</f>
        <v>32273.2379264772</v>
      </c>
      <c r="DU53" s="0" t="n">
        <f aca="false">CP53+DK53</f>
        <v>0</v>
      </c>
      <c r="DV53" s="0" t="n">
        <f aca="false">AP53+BL53+BR53+BX53+CC53</f>
        <v>0</v>
      </c>
      <c r="DW53" s="0" t="n">
        <f aca="false">CQ53+DL53</f>
        <v>57828.2635978017</v>
      </c>
      <c r="DX53" s="0" t="n">
        <f aca="false">AQ53+BM53+BS53+BY53+CD53</f>
        <v>4448168.17033227</v>
      </c>
      <c r="DY53" s="0" t="n">
        <f aca="false">CR53+DM53</f>
        <v>187500</v>
      </c>
      <c r="DZ53" s="0" t="n">
        <f aca="false">AR53+BN53+BT53+BZ53+CE53</f>
        <v>0</v>
      </c>
      <c r="EA53" s="0" t="n">
        <f aca="false">DI53-DN53</f>
        <v>0</v>
      </c>
      <c r="EB53" s="0" t="n">
        <f aca="false">CH53+EA53</f>
        <v>236907.781756031</v>
      </c>
      <c r="EC53" s="0" t="n">
        <f aca="false">R53-I53-MAX(-M53,0)-J53-K53-L53</f>
        <v>236907.781756031</v>
      </c>
      <c r="ED53" s="0" t="n">
        <f aca="false">R53+S53+CM53+DH53-CG53-DT53-DU53-DW53-DY53-DV53-DX53-DZ53-EB53</f>
        <v>0</v>
      </c>
      <c r="EE53" s="0" t="n">
        <f aca="false">IF(AND(EB53&gt;0.000001,DP53+DQ53+DR53+DS53&gt;0.000001),1,0)</f>
        <v>0</v>
      </c>
    </row>
    <row r="54" customFormat="false" ht="15" hidden="false" customHeight="false" outlineLevel="0" collapsed="false">
      <c r="A54" s="0" t="n">
        <f aca="false">ROW()-5</f>
        <v>49</v>
      </c>
      <c r="B54" s="0" t="n">
        <f aca="false">Inputs!$B$11+(Inputs!$B$12-Inputs!$B$11)*(1-EXP(-A54/Inputs!$B$13))+Inputs!$B$8</f>
        <v>0.0338630278569821</v>
      </c>
      <c r="C54" s="0" t="n">
        <f aca="false">CZ53</f>
        <v>0</v>
      </c>
      <c r="D54" s="0" t="n">
        <f aca="false">DA53</f>
        <v>7851133.70942712</v>
      </c>
      <c r="E54" s="0" t="n">
        <f aca="false">DB53</f>
        <v>30000000</v>
      </c>
      <c r="F54" s="0" t="n">
        <f aca="false">IF(Inputs!$B$22=1,B54+Inputs!$B$23,Inputs!$B$23)/12</f>
        <v>0.00373858565474851</v>
      </c>
      <c r="G54" s="0" t="n">
        <f aca="false">IF(Inputs!$B$27=1,B54+Inputs!$B$28,Inputs!$B$28)/12</f>
        <v>0.00469691898808184</v>
      </c>
      <c r="H54" s="0" t="n">
        <f aca="false">IF(Inputs!$B$32=1,B54+Inputs!$B$33,Inputs!$B$33)/12</f>
        <v>0.00625</v>
      </c>
      <c r="I54" s="0" t="n">
        <f aca="false">Pool!BT54*Inputs!$B$14/12</f>
        <v>29927.7471567235</v>
      </c>
      <c r="J54" s="0" t="n">
        <f aca="false">C54*F54</f>
        <v>0</v>
      </c>
      <c r="K54" s="0" t="n">
        <f aca="false">D54*G54</f>
        <v>36876.1389977777</v>
      </c>
      <c r="L54" s="0" t="n">
        <f aca="false">E54*H54</f>
        <v>187500</v>
      </c>
      <c r="M54" s="0" t="n">
        <f aca="false">Inputs!$B$17*(C54*Inputs!$B$22+D54*Inputs!$B$27+E54*Inputs!$B$32)*(B54-Inputs!$B$18)/12</f>
        <v>-0</v>
      </c>
      <c r="N54" s="0" t="n">
        <f aca="false">DP53+I54+MAX(-M54,0)</f>
        <v>29927.7471567235</v>
      </c>
      <c r="O54" s="0" t="n">
        <f aca="false">DQ53+J54</f>
        <v>0</v>
      </c>
      <c r="P54" s="0" t="n">
        <f aca="false">DR53+K54</f>
        <v>36876.1389977777</v>
      </c>
      <c r="Q54" s="0" t="n">
        <f aca="false">DS53+L54</f>
        <v>187500</v>
      </c>
      <c r="R54" s="0" t="n">
        <f aca="false">Pool!BV54+MAX(M54,0)</f>
        <v>480211.894974474</v>
      </c>
      <c r="S54" s="0" t="n">
        <f aca="false">Pool!BW54+Pool!BX54+Pool!BZ54</f>
        <v>3028499.08593122</v>
      </c>
      <c r="T54" s="0" t="n">
        <f aca="false">MAX(T53,BG53)</f>
        <v>1</v>
      </c>
      <c r="U54" s="0" t="n">
        <f aca="false">MIN(C54,S54)</f>
        <v>0</v>
      </c>
      <c r="V54" s="0" t="n">
        <f aca="false">MIN(D54,S54-U54)</f>
        <v>3028499.08593122</v>
      </c>
      <c r="W54" s="0" t="n">
        <f aca="false">MIN(E54,S54-U54-V54)</f>
        <v>0</v>
      </c>
      <c r="X54" s="0" t="n">
        <f aca="false">IF(C54-(0)&gt;Inputs!$B$19,1,0)</f>
        <v>0</v>
      </c>
      <c r="Y54" s="0" t="n">
        <f aca="false">IF(D54-(0)&gt;Inputs!$B$19,1,0)</f>
        <v>1</v>
      </c>
      <c r="Z54" s="0" t="n">
        <f aca="false">IF(E54-(0)&gt;Inputs!$B$19,1,0)</f>
        <v>1</v>
      </c>
      <c r="AA54" s="0" t="n">
        <f aca="false">IF((X54*C54+Y54*D54+Z54*E54)&gt;0,MIN(C54-(0),S54*X54*C54/(X54*C54+Y54*D54+Z54*E54)),0)</f>
        <v>0</v>
      </c>
      <c r="AB54" s="0" t="n">
        <f aca="false">IF((X54*C54+Y54*D54+Z54*E54)&gt;0,MIN(D54-(0),S54*Y54*D54/(X54*C54+Y54*D54+Z54*E54)),0)</f>
        <v>628175.405393522</v>
      </c>
      <c r="AC54" s="0" t="n">
        <f aca="false">IF((X54*C54+Y54*D54+Z54*E54)&gt;0,MIN(E54-(0),S54*Z54*E54/(X54*C54+Y54*D54+Z54*E54)),0)</f>
        <v>2400323.68053769</v>
      </c>
      <c r="AD54" s="0" t="n">
        <f aca="false">IF(C54-(AA54)&gt;Inputs!$B$19,1,0)</f>
        <v>0</v>
      </c>
      <c r="AE54" s="0" t="n">
        <f aca="false">IF(D54-(AB54)&gt;Inputs!$B$19,1,0)</f>
        <v>1</v>
      </c>
      <c r="AF54" s="0" t="n">
        <f aca="false">IF(E54-(AC54)&gt;Inputs!$B$19,1,0)</f>
        <v>1</v>
      </c>
      <c r="AG54" s="0" t="n">
        <f aca="false">IF((AD54*C54+AE54*D54+AF54*E54)&gt;0,MIN(C54-(AA54),(S54-(AA54+AB54+AC54))*AD54*C54/(AD54*C54+AE54*D54+AF54*E54)),0)</f>
        <v>0</v>
      </c>
      <c r="AH54" s="0" t="n">
        <f aca="false">IF((AD54*C54+AE54*D54+AF54*E54)&gt;0,MIN(D54-(AB54),(S54-(AA54+AB54+AC54))*AE54*D54/(AD54*C54+AE54*D54+AF54*E54)),0)</f>
        <v>0</v>
      </c>
      <c r="AI54" s="0" t="n">
        <f aca="false">IF((AD54*C54+AE54*D54+AF54*E54)&gt;0,MIN(E54-(AC54),(S54-(AA54+AB54+AC54))*AF54*E54/(AD54*C54+AE54*D54+AF54*E54)),0)</f>
        <v>0</v>
      </c>
      <c r="AJ54" s="0" t="n">
        <f aca="false">IF(C54-(AA54+AG54)&gt;Inputs!$B$19,1,0)</f>
        <v>0</v>
      </c>
      <c r="AK54" s="0" t="n">
        <f aca="false">IF(D54-(AB54+AH54)&gt;Inputs!$B$19,1,0)</f>
        <v>1</v>
      </c>
      <c r="AL54" s="0" t="n">
        <f aca="false">IF(E54-(AC54+AI54)&gt;Inputs!$B$19,1,0)</f>
        <v>1</v>
      </c>
      <c r="AM54" s="0" t="n">
        <f aca="false">IF((AJ54*C54+AK54*D54+AL54*E54)&gt;0,MIN(C54-(AA54+AG54),(S54-(AA54+AB54+AC54+AG54+AH54+AI54))*AJ54*C54/(AJ54*C54+AK54*D54+AL54*E54)),0)</f>
        <v>0</v>
      </c>
      <c r="AN54" s="0" t="n">
        <f aca="false">IF((AJ54*C54+AK54*D54+AL54*E54)&gt;0,MIN(D54-(AB54+AH54),(S54-(AA54+AB54+AC54+AG54+AH54+AI54))*AK54*D54/(AJ54*C54+AK54*D54+AL54*E54)),0)</f>
        <v>0</v>
      </c>
      <c r="AO54" s="0" t="n">
        <f aca="false">IF((AJ54*C54+AK54*D54+AL54*E54)&gt;0,MIN(E54-(AC54+AI54),(S54-(AA54+AB54+AC54+AG54+AH54+AI54))*AL54*E54/(AJ54*C54+AK54*D54+AL54*E54)),0)</f>
        <v>0</v>
      </c>
      <c r="AP54" s="0" t="n">
        <f aca="false">IF(T54=1,U54,AA54+AG54+AM54)</f>
        <v>0</v>
      </c>
      <c r="AQ54" s="0" t="n">
        <f aca="false">IF(T54=1,V54,AB54+AH54+AN54)</f>
        <v>3028499.08593122</v>
      </c>
      <c r="AR54" s="0" t="n">
        <f aca="false">IF(T54=1,W54,AC54+AI54+AO54)</f>
        <v>0</v>
      </c>
      <c r="AS54" s="0" t="n">
        <f aca="false">S54-AP54-AQ54-AR54</f>
        <v>0</v>
      </c>
      <c r="AT54" s="0" t="n">
        <f aca="false">C54-AP54</f>
        <v>0</v>
      </c>
      <c r="AU54" s="0" t="n">
        <f aca="false">D54-AQ54</f>
        <v>4822634.62349591</v>
      </c>
      <c r="AV54" s="0" t="n">
        <f aca="false">E54-AR54</f>
        <v>30000000</v>
      </c>
      <c r="AW54" s="0" t="n">
        <f aca="false">Pool!CB54</f>
        <v>54585391.0640936</v>
      </c>
      <c r="AX54" s="0" t="n">
        <f aca="false">IF((AT54)&gt;Inputs!$B$19,AW54/(AT54),1000000000)</f>
        <v>1000000000</v>
      </c>
      <c r="AY54" s="0" t="n">
        <f aca="false">IF((J54)&gt;0.000000001,(R54-I54-MAX(-M54,0))/(J54),1000000000)</f>
        <v>1000000000</v>
      </c>
      <c r="AZ54" s="0" t="n">
        <f aca="false">IF(OR(AX54&lt;Inputs!$B$24,AY54&lt;Inputs!$B$25),1,0)</f>
        <v>0</v>
      </c>
      <c r="BA54" s="0" t="n">
        <f aca="false">IF((AT54+AU54)&gt;Inputs!$B$19,AW54/(AT54+AU54),1000000000)</f>
        <v>11.3185831657562</v>
      </c>
      <c r="BB54" s="0" t="n">
        <f aca="false">IF((J54+K54)&gt;0.000000001,(R54-I54-MAX(-M54,0))/(J54+K54),1000000000)</f>
        <v>12.2107183684519</v>
      </c>
      <c r="BC54" s="0" t="n">
        <f aca="false">IF(OR(BA54&lt;Inputs!$B$29,BB54&lt;Inputs!$B$30),1,0)</f>
        <v>0</v>
      </c>
      <c r="BD54" s="0" t="n">
        <f aca="false">IF((AT54+AU54+AV54)&gt;Inputs!$B$19,AW54/(AT54+AU54+AV54),1000000000)</f>
        <v>1.56752616952375</v>
      </c>
      <c r="BE54" s="0" t="n">
        <f aca="false">IF((J54+K54+L54)&gt;0.000000001,(R54-I54-MAX(-M54,0))/(J54+K54+L54),1000000000)</f>
        <v>2.00682724031636</v>
      </c>
      <c r="BF54" s="0" t="n">
        <f aca="false">IF(OR(BD54&lt;Inputs!$B$34,BE54&lt;Inputs!$B$35),1,0)</f>
        <v>0</v>
      </c>
      <c r="BG54" s="0" t="n">
        <f aca="false">MAX(AZ54,BC54,BF54)</f>
        <v>0</v>
      </c>
      <c r="BH54" s="0" t="n">
        <f aca="false">MIN(R54,N54)</f>
        <v>29927.7471567235</v>
      </c>
      <c r="BI54" s="0" t="n">
        <f aca="false">R54-BH54</f>
        <v>450284.14781775</v>
      </c>
      <c r="BJ54" s="0" t="n">
        <f aca="false">MIN(BI54,O54)</f>
        <v>0</v>
      </c>
      <c r="BK54" s="0" t="n">
        <f aca="false">BI54-BJ54</f>
        <v>450284.14781775</v>
      </c>
      <c r="BL54" s="0" t="n">
        <f aca="false">AZ54*MIN(AT54,BK54)</f>
        <v>0</v>
      </c>
      <c r="BM54" s="0" t="n">
        <f aca="false">AZ54*MIN(AU54,BK54-BL54)</f>
        <v>0</v>
      </c>
      <c r="BN54" s="0" t="n">
        <f aca="false">AZ54*MIN(AV54,BK54-BL54-BM54)</f>
        <v>0</v>
      </c>
      <c r="BO54" s="0" t="n">
        <f aca="false">BK54-BL54-BM54-BN54</f>
        <v>450284.14781775</v>
      </c>
      <c r="BP54" s="0" t="n">
        <f aca="false">MIN(BO54,P54)</f>
        <v>36876.1389977777</v>
      </c>
      <c r="BQ54" s="0" t="n">
        <f aca="false">BO54-BP54</f>
        <v>413408.008819973</v>
      </c>
      <c r="BR54" s="0" t="n">
        <f aca="false">BC54*MIN((AT54-BL54),BQ54)</f>
        <v>0</v>
      </c>
      <c r="BS54" s="0" t="n">
        <f aca="false">BC54*MIN((AU54-BM54),BQ54-BR54)</f>
        <v>0</v>
      </c>
      <c r="BT54" s="0" t="n">
        <f aca="false">BC54*MIN((AV54-BN54),BQ54-BR54-BS54)</f>
        <v>0</v>
      </c>
      <c r="BU54" s="0" t="n">
        <f aca="false">BQ54-BR54-BS54-BT54</f>
        <v>413408.008819973</v>
      </c>
      <c r="BV54" s="0" t="n">
        <f aca="false">MIN(BU54,Q54)</f>
        <v>187500</v>
      </c>
      <c r="BW54" s="0" t="n">
        <f aca="false">BU54-BV54</f>
        <v>225908.008819973</v>
      </c>
      <c r="BX54" s="0" t="n">
        <f aca="false">BF54*MIN((AT54-BL54-BR54),BW54)</f>
        <v>0</v>
      </c>
      <c r="BY54" s="0" t="n">
        <f aca="false">BF54*MIN((AU54-BM54-BS54),BW54-BX54)</f>
        <v>0</v>
      </c>
      <c r="BZ54" s="0" t="n">
        <f aca="false">BF54*MIN((AV54-BN54-BT54),BW54-BX54-BY54)</f>
        <v>0</v>
      </c>
      <c r="CA54" s="0" t="n">
        <f aca="false">BW54-BX54-BY54-BZ54</f>
        <v>225908.008819973</v>
      </c>
      <c r="CB54" s="0" t="n">
        <f aca="false">MAX(0,AT54+AU54+AV54-BL54-BM54-BN54-BR54-BS54-BT54-BX54-BY54-BZ54-AW54)</f>
        <v>0</v>
      </c>
      <c r="CC54" s="0" t="n">
        <f aca="false">1*MIN((AT54-BL54-BR54-BX54),MIN(CA54,CB54))</f>
        <v>0</v>
      </c>
      <c r="CD54" s="0" t="n">
        <f aca="false">1*MIN((AU54-BM54-BS54-BY54),MIN(CA54,CB54)-CC54)</f>
        <v>0</v>
      </c>
      <c r="CE54" s="0" t="n">
        <f aca="false">1*MIN((AV54-BN54-BT54-BZ54),MIN(CA54,CB54)-CC54-CD54)</f>
        <v>0</v>
      </c>
      <c r="CF54" s="0" t="n">
        <f aca="false">CA54-CC54-CD54-CE54</f>
        <v>225908.008819973</v>
      </c>
      <c r="CG54" s="0" t="n">
        <f aca="false">IF(C54+D54+E54&gt;Inputs!$B$19,MIN(CF54,MAX(0,Inputs!$B$15-DO53)),0)</f>
        <v>0</v>
      </c>
      <c r="CH54" s="0" t="n">
        <f aca="false">CF54-CG54</f>
        <v>225908.008819973</v>
      </c>
      <c r="CI54" s="0" t="n">
        <f aca="false">DO53+CG54</f>
        <v>3000000</v>
      </c>
      <c r="CJ54" s="0" t="n">
        <f aca="false">MIN(MAX(N54-BH54,0),CI54)</f>
        <v>0</v>
      </c>
      <c r="CK54" s="0" t="n">
        <f aca="false">MIN(MAX(O54-BJ54,0),CI54-CJ54)</f>
        <v>0</v>
      </c>
      <c r="CL54" s="0" t="n">
        <f aca="false">MIN(MAX(P54-BP54,0),CI54-CJ54-CK54)</f>
        <v>0</v>
      </c>
      <c r="CM54" s="0" t="n">
        <f aca="false">CJ54+CK54+CL54</f>
        <v>0</v>
      </c>
      <c r="CN54" s="0" t="n">
        <f aca="false">CI54-CM54</f>
        <v>3000000</v>
      </c>
      <c r="CO54" s="0" t="n">
        <f aca="false">BH54+CJ54</f>
        <v>29927.7471567235</v>
      </c>
      <c r="CP54" s="0" t="n">
        <f aca="false">BJ54+CK54</f>
        <v>0</v>
      </c>
      <c r="CQ54" s="0" t="n">
        <f aca="false">BP54+CL54</f>
        <v>36876.1389977777</v>
      </c>
      <c r="CR54" s="0" t="n">
        <f aca="false">BV54</f>
        <v>187500</v>
      </c>
      <c r="CS54" s="0" t="n">
        <f aca="false">AT54-BL54-BR54-BX54-CC54</f>
        <v>0</v>
      </c>
      <c r="CT54" s="0" t="n">
        <f aca="false">AU54-BM54-BS54-BY54-CD54</f>
        <v>4822634.62349591</v>
      </c>
      <c r="CU54" s="0" t="n">
        <f aca="false">AV54-BN54-BT54-BZ54-CE54</f>
        <v>30000000</v>
      </c>
      <c r="CV54" s="0" t="n">
        <f aca="false">MAX(0,CS54+CT54+CU54-AW54)</f>
        <v>0</v>
      </c>
      <c r="CW54" s="0" t="n">
        <f aca="false">MIN(CU54,CV54)</f>
        <v>0</v>
      </c>
      <c r="CX54" s="0" t="n">
        <f aca="false">MIN(CT54,CV54-CW54)</f>
        <v>0</v>
      </c>
      <c r="CY54" s="0" t="n">
        <f aca="false">MIN(CS54,CV54-CW54-CX54)</f>
        <v>0</v>
      </c>
      <c r="CZ54" s="0" t="n">
        <f aca="false">IF(CS54-CY54&lt;Inputs!$B$19,0,CS54-CY54)</f>
        <v>0</v>
      </c>
      <c r="DA54" s="0" t="n">
        <f aca="false">IF(CT54-CX54&lt;Inputs!$B$19,0,CT54-CX54)</f>
        <v>4822634.62349591</v>
      </c>
      <c r="DB54" s="0" t="n">
        <f aca="false">IF(CU54-CW54&lt;Inputs!$B$19,0,CU54-CW54)</f>
        <v>30000000</v>
      </c>
      <c r="DC54" s="0" t="n">
        <f aca="false">N54-CO54</f>
        <v>0</v>
      </c>
      <c r="DD54" s="0" t="n">
        <f aca="false">O54-CP54</f>
        <v>0</v>
      </c>
      <c r="DE54" s="0" t="n">
        <f aca="false">P54-CQ54</f>
        <v>0</v>
      </c>
      <c r="DF54" s="0" t="n">
        <f aca="false">Q54-CR54</f>
        <v>0</v>
      </c>
      <c r="DG54" s="0" t="n">
        <f aca="false">IF(CZ54+DA54+DB54&lt;=Inputs!$B$19,1,0)</f>
        <v>0</v>
      </c>
      <c r="DH54" s="0" t="n">
        <f aca="false">DG54*CN54</f>
        <v>0</v>
      </c>
      <c r="DI54" s="0" t="n">
        <f aca="false">DG54*(AS54+DH54)</f>
        <v>0</v>
      </c>
      <c r="DJ54" s="0" t="n">
        <f aca="false">DG54*MIN(DC54,DI54)</f>
        <v>0</v>
      </c>
      <c r="DK54" s="0" t="n">
        <f aca="false">DG54*MIN(DD54,DI54-DJ54)</f>
        <v>0</v>
      </c>
      <c r="DL54" s="0" t="n">
        <f aca="false">DG54*MIN(DE54,DI54-DJ54-DK54)</f>
        <v>0</v>
      </c>
      <c r="DM54" s="0" t="n">
        <f aca="false">DG54*MIN(DF54,DI54-DJ54-DK54-DL54)</f>
        <v>0</v>
      </c>
      <c r="DN54" s="0" t="n">
        <f aca="false">DJ54+DK54+DL54+DM54</f>
        <v>0</v>
      </c>
      <c r="DO54" s="0" t="n">
        <f aca="false">CN54-DH54</f>
        <v>3000000</v>
      </c>
      <c r="DP54" s="0" t="n">
        <f aca="false">DC54-DJ54</f>
        <v>0</v>
      </c>
      <c r="DQ54" s="0" t="n">
        <f aca="false">DD54-DK54</f>
        <v>0</v>
      </c>
      <c r="DR54" s="0" t="n">
        <f aca="false">DE54-DL54</f>
        <v>0</v>
      </c>
      <c r="DS54" s="0" t="n">
        <f aca="false">DF54-DM54</f>
        <v>0</v>
      </c>
      <c r="DT54" s="0" t="n">
        <f aca="false">CO54+DJ54</f>
        <v>29927.7471567235</v>
      </c>
      <c r="DU54" s="0" t="n">
        <f aca="false">CP54+DK54</f>
        <v>0</v>
      </c>
      <c r="DV54" s="0" t="n">
        <f aca="false">AP54+BL54+BR54+BX54+CC54</f>
        <v>0</v>
      </c>
      <c r="DW54" s="0" t="n">
        <f aca="false">CQ54+DL54</f>
        <v>36876.1389977777</v>
      </c>
      <c r="DX54" s="0" t="n">
        <f aca="false">AQ54+BM54+BS54+BY54+CD54</f>
        <v>3028499.08593122</v>
      </c>
      <c r="DY54" s="0" t="n">
        <f aca="false">CR54+DM54</f>
        <v>187500</v>
      </c>
      <c r="DZ54" s="0" t="n">
        <f aca="false">AR54+BN54+BT54+BZ54+CE54</f>
        <v>0</v>
      </c>
      <c r="EA54" s="0" t="n">
        <f aca="false">DI54-DN54</f>
        <v>0</v>
      </c>
      <c r="EB54" s="0" t="n">
        <f aca="false">CH54+EA54</f>
        <v>225908.008819973</v>
      </c>
      <c r="EC54" s="0" t="n">
        <f aca="false">R54-I54-MAX(-M54,0)-J54-K54-L54</f>
        <v>225908.008819973</v>
      </c>
      <c r="ED54" s="0" t="n">
        <f aca="false">R54+S54+CM54+DH54-CG54-DT54-DU54-DW54-DY54-DV54-DX54-DZ54-EB54</f>
        <v>0</v>
      </c>
      <c r="EE54" s="0" t="n">
        <f aca="false">IF(AND(EB54&gt;0.000001,DP54+DQ54+DR54+DS54&gt;0.000001),1,0)</f>
        <v>0</v>
      </c>
    </row>
    <row r="55" customFormat="false" ht="15" hidden="false" customHeight="false" outlineLevel="0" collapsed="false">
      <c r="A55" s="0" t="n">
        <f aca="false">ROW()-5</f>
        <v>50</v>
      </c>
      <c r="B55" s="0" t="n">
        <f aca="false">Inputs!$B$11+(Inputs!$B$12-Inputs!$B$11)*(1-EXP(-A55/Inputs!$B$13))+Inputs!$B$8</f>
        <v>0.0338074019501633</v>
      </c>
      <c r="C55" s="0" t="n">
        <f aca="false">CZ54</f>
        <v>0</v>
      </c>
      <c r="D55" s="0" t="n">
        <f aca="false">DA54</f>
        <v>4822634.62349591</v>
      </c>
      <c r="E55" s="0" t="n">
        <f aca="false">DB54</f>
        <v>30000000</v>
      </c>
      <c r="F55" s="0" t="n">
        <f aca="false">IF(Inputs!$B$22=1,B55+Inputs!$B$23,Inputs!$B$23)/12</f>
        <v>0.00373395016251361</v>
      </c>
      <c r="G55" s="0" t="n">
        <f aca="false">IF(Inputs!$B$27=1,B55+Inputs!$B$28,Inputs!$B$28)/12</f>
        <v>0.00469228349584694</v>
      </c>
      <c r="H55" s="0" t="n">
        <f aca="false">IF(Inputs!$B$32=1,B55+Inputs!$B$33,Inputs!$B$33)/12</f>
        <v>0.00625</v>
      </c>
      <c r="I55" s="0" t="n">
        <f aca="false">Pool!BT55*Inputs!$B$14/12</f>
        <v>28329.6383686669</v>
      </c>
      <c r="J55" s="0" t="n">
        <f aca="false">C55*F55</f>
        <v>0</v>
      </c>
      <c r="K55" s="0" t="n">
        <f aca="false">D55*G55</f>
        <v>22629.1688503299</v>
      </c>
      <c r="L55" s="0" t="n">
        <f aca="false">E55*H55</f>
        <v>187500</v>
      </c>
      <c r="M55" s="0" t="n">
        <f aca="false">Inputs!$B$17*(C55*Inputs!$B$22+D55*Inputs!$B$27+E55*Inputs!$B$32)*(B55-Inputs!$B$18)/12</f>
        <v>-0</v>
      </c>
      <c r="N55" s="0" t="n">
        <f aca="false">DP54+I55+MAX(-M55,0)</f>
        <v>28329.6383686669</v>
      </c>
      <c r="O55" s="0" t="n">
        <f aca="false">DQ54+J55</f>
        <v>0</v>
      </c>
      <c r="P55" s="0" t="n">
        <f aca="false">DR54+K55</f>
        <v>22629.1688503299</v>
      </c>
      <c r="Q55" s="0" t="n">
        <f aca="false">DS54+L55</f>
        <v>187500</v>
      </c>
      <c r="R55" s="0" t="n">
        <f aca="false">Pool!BV55+MAX(M55,0)</f>
        <v>455343.022117146</v>
      </c>
      <c r="S55" s="0" t="n">
        <f aca="false">Pool!BW55+Pool!BX55+Pool!BZ55</f>
        <v>2986908.3550347</v>
      </c>
      <c r="T55" s="0" t="n">
        <f aca="false">MAX(T54,BG54)</f>
        <v>1</v>
      </c>
      <c r="U55" s="0" t="n">
        <f aca="false">MIN(C55,S55)</f>
        <v>0</v>
      </c>
      <c r="V55" s="0" t="n">
        <f aca="false">MIN(D55,S55-U55)</f>
        <v>2986908.3550347</v>
      </c>
      <c r="W55" s="0" t="n">
        <f aca="false">MIN(E55,S55-U55-V55)</f>
        <v>0</v>
      </c>
      <c r="X55" s="0" t="n">
        <f aca="false">IF(C55-(0)&gt;Inputs!$B$19,1,0)</f>
        <v>0</v>
      </c>
      <c r="Y55" s="0" t="n">
        <f aca="false">IF(D55-(0)&gt;Inputs!$B$19,1,0)</f>
        <v>1</v>
      </c>
      <c r="Z55" s="0" t="n">
        <f aca="false">IF(E55-(0)&gt;Inputs!$B$19,1,0)</f>
        <v>1</v>
      </c>
      <c r="AA55" s="0" t="n">
        <f aca="false">IF((X55*C55+Y55*D55+Z55*E55)&gt;0,MIN(C55-(0),S55*X55*C55/(X55*C55+Y55*D55+Z55*E55)),0)</f>
        <v>0</v>
      </c>
      <c r="AB55" s="0" t="n">
        <f aca="false">IF((X55*C55+Y55*D55+Z55*E55)&gt;0,MIN(D55-(0),S55*Y55*D55/(X55*C55+Y55*D55+Z55*E55)),0)</f>
        <v>413661.05138065</v>
      </c>
      <c r="AC55" s="0" t="n">
        <f aca="false">IF((X55*C55+Y55*D55+Z55*E55)&gt;0,MIN(E55-(0),S55*Z55*E55/(X55*C55+Y55*D55+Z55*E55)),0)</f>
        <v>2573247.30365405</v>
      </c>
      <c r="AD55" s="0" t="n">
        <f aca="false">IF(C55-(AA55)&gt;Inputs!$B$19,1,0)</f>
        <v>0</v>
      </c>
      <c r="AE55" s="0" t="n">
        <f aca="false">IF(D55-(AB55)&gt;Inputs!$B$19,1,0)</f>
        <v>1</v>
      </c>
      <c r="AF55" s="0" t="n">
        <f aca="false">IF(E55-(AC55)&gt;Inputs!$B$19,1,0)</f>
        <v>1</v>
      </c>
      <c r="AG55" s="0" t="n">
        <f aca="false">IF((AD55*C55+AE55*D55+AF55*E55)&gt;0,MIN(C55-(AA55),(S55-(AA55+AB55+AC55))*AD55*C55/(AD55*C55+AE55*D55+AF55*E55)),0)</f>
        <v>0</v>
      </c>
      <c r="AH55" s="0" t="n">
        <f aca="false">IF((AD55*C55+AE55*D55+AF55*E55)&gt;0,MIN(D55-(AB55),(S55-(AA55+AB55+AC55))*AE55*D55/(AD55*C55+AE55*D55+AF55*E55)),0)</f>
        <v>0</v>
      </c>
      <c r="AI55" s="0" t="n">
        <f aca="false">IF((AD55*C55+AE55*D55+AF55*E55)&gt;0,MIN(E55-(AC55),(S55-(AA55+AB55+AC55))*AF55*E55/(AD55*C55+AE55*D55+AF55*E55)),0)</f>
        <v>0</v>
      </c>
      <c r="AJ55" s="0" t="n">
        <f aca="false">IF(C55-(AA55+AG55)&gt;Inputs!$B$19,1,0)</f>
        <v>0</v>
      </c>
      <c r="AK55" s="0" t="n">
        <f aca="false">IF(D55-(AB55+AH55)&gt;Inputs!$B$19,1,0)</f>
        <v>1</v>
      </c>
      <c r="AL55" s="0" t="n">
        <f aca="false">IF(E55-(AC55+AI55)&gt;Inputs!$B$19,1,0)</f>
        <v>1</v>
      </c>
      <c r="AM55" s="0" t="n">
        <f aca="false">IF((AJ55*C55+AK55*D55+AL55*E55)&gt;0,MIN(C55-(AA55+AG55),(S55-(AA55+AB55+AC55+AG55+AH55+AI55))*AJ55*C55/(AJ55*C55+AK55*D55+AL55*E55)),0)</f>
        <v>0</v>
      </c>
      <c r="AN55" s="0" t="n">
        <f aca="false">IF((AJ55*C55+AK55*D55+AL55*E55)&gt;0,MIN(D55-(AB55+AH55),(S55-(AA55+AB55+AC55+AG55+AH55+AI55))*AK55*D55/(AJ55*C55+AK55*D55+AL55*E55)),0)</f>
        <v>0</v>
      </c>
      <c r="AO55" s="0" t="n">
        <f aca="false">IF((AJ55*C55+AK55*D55+AL55*E55)&gt;0,MIN(E55-(AC55+AI55),(S55-(AA55+AB55+AC55+AG55+AH55+AI55))*AL55*E55/(AJ55*C55+AK55*D55+AL55*E55)),0)</f>
        <v>0</v>
      </c>
      <c r="AP55" s="0" t="n">
        <f aca="false">IF(T55=1,U55,AA55+AG55+AM55)</f>
        <v>0</v>
      </c>
      <c r="AQ55" s="0" t="n">
        <f aca="false">IF(T55=1,V55,AB55+AH55+AN55)</f>
        <v>2986908.3550347</v>
      </c>
      <c r="AR55" s="0" t="n">
        <f aca="false">IF(T55=1,W55,AC55+AI55+AO55)</f>
        <v>0</v>
      </c>
      <c r="AS55" s="0" t="n">
        <f aca="false">S55-AP55-AQ55-AR55</f>
        <v>0</v>
      </c>
      <c r="AT55" s="0" t="n">
        <f aca="false">C55-AP55</f>
        <v>0</v>
      </c>
      <c r="AU55" s="0" t="n">
        <f aca="false">D55-AQ55</f>
        <v>1835726.2684612</v>
      </c>
      <c r="AV55" s="0" t="n">
        <f aca="false">E55-AR55</f>
        <v>30000000</v>
      </c>
      <c r="AW55" s="0" t="n">
        <f aca="false">Pool!CB55</f>
        <v>51543764.9867908</v>
      </c>
      <c r="AX55" s="0" t="n">
        <f aca="false">IF((AT55)&gt;Inputs!$B$19,AW55/(AT55),1000000000)</f>
        <v>1000000000</v>
      </c>
      <c r="AY55" s="0" t="n">
        <f aca="false">IF((J55)&gt;0.000000001,(R55-I55-MAX(-M55,0))/(J55),1000000000)</f>
        <v>1000000000</v>
      </c>
      <c r="AZ55" s="0" t="n">
        <f aca="false">IF(OR(AX55&lt;Inputs!$B$24,AY55&lt;Inputs!$B$25),1,0)</f>
        <v>0</v>
      </c>
      <c r="BA55" s="0" t="n">
        <f aca="false">IF((AT55+AU55)&gt;Inputs!$B$19,AW55/(AT55+AU55),1000000000)</f>
        <v>28.0781322751334</v>
      </c>
      <c r="BB55" s="0" t="n">
        <f aca="false">IF((J55+K55)&gt;0.000000001,(R55-I55-MAX(-M55,0))/(J55+K55),1000000000)</f>
        <v>18.8700427564424</v>
      </c>
      <c r="BC55" s="0" t="n">
        <f aca="false">IF(OR(BA55&lt;Inputs!$B$29,BB55&lt;Inputs!$B$30),1,0)</f>
        <v>0</v>
      </c>
      <c r="BD55" s="0" t="n">
        <f aca="false">IF((AT55+AU55+AV55)&gt;Inputs!$B$19,AW55/(AT55+AU55+AV55),1000000000)</f>
        <v>1.6190541579651</v>
      </c>
      <c r="BE55" s="0" t="n">
        <f aca="false">IF((J55+K55+L55)&gt;0.000000001,(R55-I55-MAX(-M55,0))/(J55+K55+L55),1000000000)</f>
        <v>2.03214711258212</v>
      </c>
      <c r="BF55" s="0" t="n">
        <f aca="false">IF(OR(BD55&lt;Inputs!$B$34,BE55&lt;Inputs!$B$35),1,0)</f>
        <v>0</v>
      </c>
      <c r="BG55" s="0" t="n">
        <f aca="false">MAX(AZ55,BC55,BF55)</f>
        <v>0</v>
      </c>
      <c r="BH55" s="0" t="n">
        <f aca="false">MIN(R55,N55)</f>
        <v>28329.6383686669</v>
      </c>
      <c r="BI55" s="0" t="n">
        <f aca="false">R55-BH55</f>
        <v>427013.383748479</v>
      </c>
      <c r="BJ55" s="0" t="n">
        <f aca="false">MIN(BI55,O55)</f>
        <v>0</v>
      </c>
      <c r="BK55" s="0" t="n">
        <f aca="false">BI55-BJ55</f>
        <v>427013.383748479</v>
      </c>
      <c r="BL55" s="0" t="n">
        <f aca="false">AZ55*MIN(AT55,BK55)</f>
        <v>0</v>
      </c>
      <c r="BM55" s="0" t="n">
        <f aca="false">AZ55*MIN(AU55,BK55-BL55)</f>
        <v>0</v>
      </c>
      <c r="BN55" s="0" t="n">
        <f aca="false">AZ55*MIN(AV55,BK55-BL55-BM55)</f>
        <v>0</v>
      </c>
      <c r="BO55" s="0" t="n">
        <f aca="false">BK55-BL55-BM55-BN55</f>
        <v>427013.383748479</v>
      </c>
      <c r="BP55" s="0" t="n">
        <f aca="false">MIN(BO55,P55)</f>
        <v>22629.1688503299</v>
      </c>
      <c r="BQ55" s="0" t="n">
        <f aca="false">BO55-BP55</f>
        <v>404384.214898149</v>
      </c>
      <c r="BR55" s="0" t="n">
        <f aca="false">BC55*MIN((AT55-BL55),BQ55)</f>
        <v>0</v>
      </c>
      <c r="BS55" s="0" t="n">
        <f aca="false">BC55*MIN((AU55-BM55),BQ55-BR55)</f>
        <v>0</v>
      </c>
      <c r="BT55" s="0" t="n">
        <f aca="false">BC55*MIN((AV55-BN55),BQ55-BR55-BS55)</f>
        <v>0</v>
      </c>
      <c r="BU55" s="0" t="n">
        <f aca="false">BQ55-BR55-BS55-BT55</f>
        <v>404384.214898149</v>
      </c>
      <c r="BV55" s="0" t="n">
        <f aca="false">MIN(BU55,Q55)</f>
        <v>187500</v>
      </c>
      <c r="BW55" s="0" t="n">
        <f aca="false">BU55-BV55</f>
        <v>216884.214898149</v>
      </c>
      <c r="BX55" s="0" t="n">
        <f aca="false">BF55*MIN((AT55-BL55-BR55),BW55)</f>
        <v>0</v>
      </c>
      <c r="BY55" s="0" t="n">
        <f aca="false">BF55*MIN((AU55-BM55-BS55),BW55-BX55)</f>
        <v>0</v>
      </c>
      <c r="BZ55" s="0" t="n">
        <f aca="false">BF55*MIN((AV55-BN55-BT55),BW55-BX55-BY55)</f>
        <v>0</v>
      </c>
      <c r="CA55" s="0" t="n">
        <f aca="false">BW55-BX55-BY55-BZ55</f>
        <v>216884.214898149</v>
      </c>
      <c r="CB55" s="0" t="n">
        <f aca="false">MAX(0,AT55+AU55+AV55-BL55-BM55-BN55-BR55-BS55-BT55-BX55-BY55-BZ55-AW55)</f>
        <v>0</v>
      </c>
      <c r="CC55" s="0" t="n">
        <f aca="false">1*MIN((AT55-BL55-BR55-BX55),MIN(CA55,CB55))</f>
        <v>0</v>
      </c>
      <c r="CD55" s="0" t="n">
        <f aca="false">1*MIN((AU55-BM55-BS55-BY55),MIN(CA55,CB55)-CC55)</f>
        <v>0</v>
      </c>
      <c r="CE55" s="0" t="n">
        <f aca="false">1*MIN((AV55-BN55-BT55-BZ55),MIN(CA55,CB55)-CC55-CD55)</f>
        <v>0</v>
      </c>
      <c r="CF55" s="0" t="n">
        <f aca="false">CA55-CC55-CD55-CE55</f>
        <v>216884.214898149</v>
      </c>
      <c r="CG55" s="0" t="n">
        <f aca="false">IF(C55+D55+E55&gt;Inputs!$B$19,MIN(CF55,MAX(0,Inputs!$B$15-DO54)),0)</f>
        <v>0</v>
      </c>
      <c r="CH55" s="0" t="n">
        <f aca="false">CF55-CG55</f>
        <v>216884.214898149</v>
      </c>
      <c r="CI55" s="0" t="n">
        <f aca="false">DO54+CG55</f>
        <v>3000000</v>
      </c>
      <c r="CJ55" s="0" t="n">
        <f aca="false">MIN(MAX(N55-BH55,0),CI55)</f>
        <v>0</v>
      </c>
      <c r="CK55" s="0" t="n">
        <f aca="false">MIN(MAX(O55-BJ55,0),CI55-CJ55)</f>
        <v>0</v>
      </c>
      <c r="CL55" s="0" t="n">
        <f aca="false">MIN(MAX(P55-BP55,0),CI55-CJ55-CK55)</f>
        <v>0</v>
      </c>
      <c r="CM55" s="0" t="n">
        <f aca="false">CJ55+CK55+CL55</f>
        <v>0</v>
      </c>
      <c r="CN55" s="0" t="n">
        <f aca="false">CI55-CM55</f>
        <v>3000000</v>
      </c>
      <c r="CO55" s="0" t="n">
        <f aca="false">BH55+CJ55</f>
        <v>28329.6383686669</v>
      </c>
      <c r="CP55" s="0" t="n">
        <f aca="false">BJ55+CK55</f>
        <v>0</v>
      </c>
      <c r="CQ55" s="0" t="n">
        <f aca="false">BP55+CL55</f>
        <v>22629.1688503299</v>
      </c>
      <c r="CR55" s="0" t="n">
        <f aca="false">BV55</f>
        <v>187500</v>
      </c>
      <c r="CS55" s="0" t="n">
        <f aca="false">AT55-BL55-BR55-BX55-CC55</f>
        <v>0</v>
      </c>
      <c r="CT55" s="0" t="n">
        <f aca="false">AU55-BM55-BS55-BY55-CD55</f>
        <v>1835726.2684612</v>
      </c>
      <c r="CU55" s="0" t="n">
        <f aca="false">AV55-BN55-BT55-BZ55-CE55</f>
        <v>30000000</v>
      </c>
      <c r="CV55" s="0" t="n">
        <f aca="false">MAX(0,CS55+CT55+CU55-AW55)</f>
        <v>0</v>
      </c>
      <c r="CW55" s="0" t="n">
        <f aca="false">MIN(CU55,CV55)</f>
        <v>0</v>
      </c>
      <c r="CX55" s="0" t="n">
        <f aca="false">MIN(CT55,CV55-CW55)</f>
        <v>0</v>
      </c>
      <c r="CY55" s="0" t="n">
        <f aca="false">MIN(CS55,CV55-CW55-CX55)</f>
        <v>0</v>
      </c>
      <c r="CZ55" s="0" t="n">
        <f aca="false">IF(CS55-CY55&lt;Inputs!$B$19,0,CS55-CY55)</f>
        <v>0</v>
      </c>
      <c r="DA55" s="0" t="n">
        <f aca="false">IF(CT55-CX55&lt;Inputs!$B$19,0,CT55-CX55)</f>
        <v>1835726.2684612</v>
      </c>
      <c r="DB55" s="0" t="n">
        <f aca="false">IF(CU55-CW55&lt;Inputs!$B$19,0,CU55-CW55)</f>
        <v>30000000</v>
      </c>
      <c r="DC55" s="0" t="n">
        <f aca="false">N55-CO55</f>
        <v>0</v>
      </c>
      <c r="DD55" s="0" t="n">
        <f aca="false">O55-CP55</f>
        <v>0</v>
      </c>
      <c r="DE55" s="0" t="n">
        <f aca="false">P55-CQ55</f>
        <v>0</v>
      </c>
      <c r="DF55" s="0" t="n">
        <f aca="false">Q55-CR55</f>
        <v>0</v>
      </c>
      <c r="DG55" s="0" t="n">
        <f aca="false">IF(CZ55+DA55+DB55&lt;=Inputs!$B$19,1,0)</f>
        <v>0</v>
      </c>
      <c r="DH55" s="0" t="n">
        <f aca="false">DG55*CN55</f>
        <v>0</v>
      </c>
      <c r="DI55" s="0" t="n">
        <f aca="false">DG55*(AS55+DH55)</f>
        <v>0</v>
      </c>
      <c r="DJ55" s="0" t="n">
        <f aca="false">DG55*MIN(DC55,DI55)</f>
        <v>0</v>
      </c>
      <c r="DK55" s="0" t="n">
        <f aca="false">DG55*MIN(DD55,DI55-DJ55)</f>
        <v>0</v>
      </c>
      <c r="DL55" s="0" t="n">
        <f aca="false">DG55*MIN(DE55,DI55-DJ55-DK55)</f>
        <v>0</v>
      </c>
      <c r="DM55" s="0" t="n">
        <f aca="false">DG55*MIN(DF55,DI55-DJ55-DK55-DL55)</f>
        <v>0</v>
      </c>
      <c r="DN55" s="0" t="n">
        <f aca="false">DJ55+DK55+DL55+DM55</f>
        <v>0</v>
      </c>
      <c r="DO55" s="0" t="n">
        <f aca="false">CN55-DH55</f>
        <v>3000000</v>
      </c>
      <c r="DP55" s="0" t="n">
        <f aca="false">DC55-DJ55</f>
        <v>0</v>
      </c>
      <c r="DQ55" s="0" t="n">
        <f aca="false">DD55-DK55</f>
        <v>0</v>
      </c>
      <c r="DR55" s="0" t="n">
        <f aca="false">DE55-DL55</f>
        <v>0</v>
      </c>
      <c r="DS55" s="0" t="n">
        <f aca="false">DF55-DM55</f>
        <v>0</v>
      </c>
      <c r="DT55" s="0" t="n">
        <f aca="false">CO55+DJ55</f>
        <v>28329.6383686669</v>
      </c>
      <c r="DU55" s="0" t="n">
        <f aca="false">CP55+DK55</f>
        <v>0</v>
      </c>
      <c r="DV55" s="0" t="n">
        <f aca="false">AP55+BL55+BR55+BX55+CC55</f>
        <v>0</v>
      </c>
      <c r="DW55" s="0" t="n">
        <f aca="false">CQ55+DL55</f>
        <v>22629.1688503299</v>
      </c>
      <c r="DX55" s="0" t="n">
        <f aca="false">AQ55+BM55+BS55+BY55+CD55</f>
        <v>2986908.3550347</v>
      </c>
      <c r="DY55" s="0" t="n">
        <f aca="false">CR55+DM55</f>
        <v>187500</v>
      </c>
      <c r="DZ55" s="0" t="n">
        <f aca="false">AR55+BN55+BT55+BZ55+CE55</f>
        <v>0</v>
      </c>
      <c r="EA55" s="0" t="n">
        <f aca="false">DI55-DN55</f>
        <v>0</v>
      </c>
      <c r="EB55" s="0" t="n">
        <f aca="false">CH55+EA55</f>
        <v>216884.214898149</v>
      </c>
      <c r="EC55" s="0" t="n">
        <f aca="false">R55-I55-MAX(-M55,0)-J55-K55-L55</f>
        <v>216884.214898149</v>
      </c>
      <c r="ED55" s="0" t="n">
        <f aca="false">R55+S55+CM55+DH55-CG55-DT55-DU55-DW55-DY55-DV55-DX55-DZ55-EB55</f>
        <v>0</v>
      </c>
      <c r="EE55" s="0" t="n">
        <f aca="false">IF(AND(EB55&gt;0.000001,DP55+DQ55+DR55+DS55&gt;0.000001),1,0)</f>
        <v>0</v>
      </c>
    </row>
    <row r="56" customFormat="false" ht="15" hidden="false" customHeight="false" outlineLevel="0" collapsed="false">
      <c r="A56" s="0" t="n">
        <f aca="false">ROW()-5</f>
        <v>51</v>
      </c>
      <c r="B56" s="0" t="n">
        <f aca="false">Inputs!$B$11+(Inputs!$B$12-Inputs!$B$11)*(1-EXP(-A56/Inputs!$B$13))+Inputs!$B$8</f>
        <v>0.0337540461668006</v>
      </c>
      <c r="C56" s="0" t="n">
        <f aca="false">CZ55</f>
        <v>0</v>
      </c>
      <c r="D56" s="0" t="n">
        <f aca="false">DA55</f>
        <v>1835726.2684612</v>
      </c>
      <c r="E56" s="0" t="n">
        <f aca="false">DB55</f>
        <v>30000000</v>
      </c>
      <c r="F56" s="0" t="n">
        <f aca="false">IF(Inputs!$B$22=1,B56+Inputs!$B$23,Inputs!$B$23)/12</f>
        <v>0.00372950384723338</v>
      </c>
      <c r="G56" s="0" t="n">
        <f aca="false">IF(Inputs!$B$27=1,B56+Inputs!$B$28,Inputs!$B$28)/12</f>
        <v>0.00468783718056671</v>
      </c>
      <c r="H56" s="0" t="n">
        <f aca="false">IF(Inputs!$B$32=1,B56+Inputs!$B$33,Inputs!$B$33)/12</f>
        <v>0.00625</v>
      </c>
      <c r="I56" s="0" t="n">
        <f aca="false">Pool!BT56*Inputs!$B$14/12</f>
        <v>26753.5812039878</v>
      </c>
      <c r="J56" s="0" t="n">
        <f aca="false">C56*F56</f>
        <v>0</v>
      </c>
      <c r="K56" s="0" t="n">
        <f aca="false">D56*G56</f>
        <v>8605.58585463543</v>
      </c>
      <c r="L56" s="0" t="n">
        <f aca="false">E56*H56</f>
        <v>187500</v>
      </c>
      <c r="M56" s="0" t="n">
        <f aca="false">Inputs!$B$17*(C56*Inputs!$B$22+D56*Inputs!$B$27+E56*Inputs!$B$32)*(B56-Inputs!$B$18)/12</f>
        <v>-0</v>
      </c>
      <c r="N56" s="0" t="n">
        <f aca="false">DP55+I56+MAX(-M56,0)</f>
        <v>26753.5812039878</v>
      </c>
      <c r="O56" s="0" t="n">
        <f aca="false">DQ55+J56</f>
        <v>0</v>
      </c>
      <c r="P56" s="0" t="n">
        <f aca="false">DR55+K56</f>
        <v>8605.58585463543</v>
      </c>
      <c r="Q56" s="0" t="n">
        <f aca="false">DS55+L56</f>
        <v>187500</v>
      </c>
      <c r="R56" s="0" t="n">
        <f aca="false">Pool!BV56+MAX(M56,0)</f>
        <v>430815.725283103</v>
      </c>
      <c r="S56" s="0" t="n">
        <f aca="false">Pool!BW56+Pool!BX56+Pool!BZ56</f>
        <v>2945814.17354246</v>
      </c>
      <c r="T56" s="0" t="n">
        <f aca="false">MAX(T55,BG55)</f>
        <v>1</v>
      </c>
      <c r="U56" s="0" t="n">
        <f aca="false">MIN(C56,S56)</f>
        <v>0</v>
      </c>
      <c r="V56" s="0" t="n">
        <f aca="false">MIN(D56,S56-U56)</f>
        <v>1835726.2684612</v>
      </c>
      <c r="W56" s="0" t="n">
        <f aca="false">MIN(E56,S56-U56-V56)</f>
        <v>1110087.90508126</v>
      </c>
      <c r="X56" s="0" t="n">
        <f aca="false">IF(C56-(0)&gt;Inputs!$B$19,1,0)</f>
        <v>0</v>
      </c>
      <c r="Y56" s="0" t="n">
        <f aca="false">IF(D56-(0)&gt;Inputs!$B$19,1,0)</f>
        <v>1</v>
      </c>
      <c r="Z56" s="0" t="n">
        <f aca="false">IF(E56-(0)&gt;Inputs!$B$19,1,0)</f>
        <v>1</v>
      </c>
      <c r="AA56" s="0" t="n">
        <f aca="false">IF((X56*C56+Y56*D56+Z56*E56)&gt;0,MIN(C56-(0),S56*X56*C56/(X56*C56+Y56*D56+Z56*E56)),0)</f>
        <v>0</v>
      </c>
      <c r="AB56" s="0" t="n">
        <f aca="false">IF((X56*C56+Y56*D56+Z56*E56)&gt;0,MIN(D56-(0),S56*Y56*D56/(X56*C56+Y56*D56+Z56*E56)),0)</f>
        <v>169862.88972256</v>
      </c>
      <c r="AC56" s="0" t="n">
        <f aca="false">IF((X56*C56+Y56*D56+Z56*E56)&gt;0,MIN(E56-(0),S56*Z56*E56/(X56*C56+Y56*D56+Z56*E56)),0)</f>
        <v>2775951.2838199</v>
      </c>
      <c r="AD56" s="0" t="n">
        <f aca="false">IF(C56-(AA56)&gt;Inputs!$B$19,1,0)</f>
        <v>0</v>
      </c>
      <c r="AE56" s="0" t="n">
        <f aca="false">IF(D56-(AB56)&gt;Inputs!$B$19,1,0)</f>
        <v>1</v>
      </c>
      <c r="AF56" s="0" t="n">
        <f aca="false">IF(E56-(AC56)&gt;Inputs!$B$19,1,0)</f>
        <v>1</v>
      </c>
      <c r="AG56" s="0" t="n">
        <f aca="false">IF((AD56*C56+AE56*D56+AF56*E56)&gt;0,MIN(C56-(AA56),(S56-(AA56+AB56+AC56))*AD56*C56/(AD56*C56+AE56*D56+AF56*E56)),0)</f>
        <v>0</v>
      </c>
      <c r="AH56" s="0" t="n">
        <f aca="false">IF((AD56*C56+AE56*D56+AF56*E56)&gt;0,MIN(D56-(AB56),(S56-(AA56+AB56+AC56))*AE56*D56/(AD56*C56+AE56*D56+AF56*E56)),0)</f>
        <v>0</v>
      </c>
      <c r="AI56" s="0" t="n">
        <f aca="false">IF((AD56*C56+AE56*D56+AF56*E56)&gt;0,MIN(E56-(AC56),(S56-(AA56+AB56+AC56))*AF56*E56/(AD56*C56+AE56*D56+AF56*E56)),0)</f>
        <v>0</v>
      </c>
      <c r="AJ56" s="0" t="n">
        <f aca="false">IF(C56-(AA56+AG56)&gt;Inputs!$B$19,1,0)</f>
        <v>0</v>
      </c>
      <c r="AK56" s="0" t="n">
        <f aca="false">IF(D56-(AB56+AH56)&gt;Inputs!$B$19,1,0)</f>
        <v>1</v>
      </c>
      <c r="AL56" s="0" t="n">
        <f aca="false">IF(E56-(AC56+AI56)&gt;Inputs!$B$19,1,0)</f>
        <v>1</v>
      </c>
      <c r="AM56" s="0" t="n">
        <f aca="false">IF((AJ56*C56+AK56*D56+AL56*E56)&gt;0,MIN(C56-(AA56+AG56),(S56-(AA56+AB56+AC56+AG56+AH56+AI56))*AJ56*C56/(AJ56*C56+AK56*D56+AL56*E56)),0)</f>
        <v>0</v>
      </c>
      <c r="AN56" s="0" t="n">
        <f aca="false">IF((AJ56*C56+AK56*D56+AL56*E56)&gt;0,MIN(D56-(AB56+AH56),(S56-(AA56+AB56+AC56+AG56+AH56+AI56))*AK56*D56/(AJ56*C56+AK56*D56+AL56*E56)),0)</f>
        <v>0</v>
      </c>
      <c r="AO56" s="0" t="n">
        <f aca="false">IF((AJ56*C56+AK56*D56+AL56*E56)&gt;0,MIN(E56-(AC56+AI56),(S56-(AA56+AB56+AC56+AG56+AH56+AI56))*AL56*E56/(AJ56*C56+AK56*D56+AL56*E56)),0)</f>
        <v>0</v>
      </c>
      <c r="AP56" s="0" t="n">
        <f aca="false">IF(T56=1,U56,AA56+AG56+AM56)</f>
        <v>0</v>
      </c>
      <c r="AQ56" s="0" t="n">
        <f aca="false">IF(T56=1,V56,AB56+AH56+AN56)</f>
        <v>1835726.2684612</v>
      </c>
      <c r="AR56" s="0" t="n">
        <f aca="false">IF(T56=1,W56,AC56+AI56+AO56)</f>
        <v>1110087.90508126</v>
      </c>
      <c r="AS56" s="0" t="n">
        <f aca="false">S56-AP56-AQ56-AR56</f>
        <v>0</v>
      </c>
      <c r="AT56" s="0" t="n">
        <f aca="false">C56-AP56</f>
        <v>0</v>
      </c>
      <c r="AU56" s="0" t="n">
        <f aca="false">D56-AQ56</f>
        <v>0</v>
      </c>
      <c r="AV56" s="0" t="n">
        <f aca="false">E56-AR56</f>
        <v>28889912.0949187</v>
      </c>
      <c r="AW56" s="0" t="n">
        <f aca="false">Pool!CB56</f>
        <v>48546277.1911939</v>
      </c>
      <c r="AX56" s="0" t="n">
        <f aca="false">IF((AT56)&gt;Inputs!$B$19,AW56/(AT56),1000000000)</f>
        <v>1000000000</v>
      </c>
      <c r="AY56" s="0" t="n">
        <f aca="false">IF((J56)&gt;0.000000001,(R56-I56-MAX(-M56,0))/(J56),1000000000)</f>
        <v>1000000000</v>
      </c>
      <c r="AZ56" s="0" t="n">
        <f aca="false">IF(OR(AX56&lt;Inputs!$B$24,AY56&lt;Inputs!$B$25),1,0)</f>
        <v>0</v>
      </c>
      <c r="BA56" s="0" t="n">
        <f aca="false">IF((AT56+AU56)&gt;Inputs!$B$19,AW56/(AT56+AU56),1000000000)</f>
        <v>1000000000</v>
      </c>
      <c r="BB56" s="0" t="n">
        <f aca="false">IF((J56+K56)&gt;0.000000001,(R56-I56-MAX(-M56,0))/(J56+K56),1000000000)</f>
        <v>46.9534731167042</v>
      </c>
      <c r="BC56" s="0" t="n">
        <f aca="false">IF(OR(BA56&lt;Inputs!$B$29,BB56&lt;Inputs!$B$30),1,0)</f>
        <v>0</v>
      </c>
      <c r="BD56" s="0" t="n">
        <f aca="false">IF((AT56+AU56+AV56)&gt;Inputs!$B$19,AW56/(AT56+AU56+AV56),1000000000)</f>
        <v>1.68038853949066</v>
      </c>
      <c r="BE56" s="0" t="n">
        <f aca="false">IF((J56+K56+L56)&gt;0.000000001,(R56-I56-MAX(-M56,0))/(J56+K56+L56),1000000000)</f>
        <v>2.0604315900447</v>
      </c>
      <c r="BF56" s="0" t="n">
        <f aca="false">IF(OR(BD56&lt;Inputs!$B$34,BE56&lt;Inputs!$B$35),1,0)</f>
        <v>0</v>
      </c>
      <c r="BG56" s="0" t="n">
        <f aca="false">MAX(AZ56,BC56,BF56)</f>
        <v>0</v>
      </c>
      <c r="BH56" s="0" t="n">
        <f aca="false">MIN(R56,N56)</f>
        <v>26753.5812039878</v>
      </c>
      <c r="BI56" s="0" t="n">
        <f aca="false">R56-BH56</f>
        <v>404062.144079115</v>
      </c>
      <c r="BJ56" s="0" t="n">
        <f aca="false">MIN(BI56,O56)</f>
        <v>0</v>
      </c>
      <c r="BK56" s="0" t="n">
        <f aca="false">BI56-BJ56</f>
        <v>404062.144079115</v>
      </c>
      <c r="BL56" s="0" t="n">
        <f aca="false">AZ56*MIN(AT56,BK56)</f>
        <v>0</v>
      </c>
      <c r="BM56" s="0" t="n">
        <f aca="false">AZ56*MIN(AU56,BK56-BL56)</f>
        <v>0</v>
      </c>
      <c r="BN56" s="0" t="n">
        <f aca="false">AZ56*MIN(AV56,BK56-BL56-BM56)</f>
        <v>0</v>
      </c>
      <c r="BO56" s="0" t="n">
        <f aca="false">BK56-BL56-BM56-BN56</f>
        <v>404062.144079115</v>
      </c>
      <c r="BP56" s="0" t="n">
        <f aca="false">MIN(BO56,P56)</f>
        <v>8605.58585463543</v>
      </c>
      <c r="BQ56" s="0" t="n">
        <f aca="false">BO56-BP56</f>
        <v>395456.558224479</v>
      </c>
      <c r="BR56" s="0" t="n">
        <f aca="false">BC56*MIN((AT56-BL56),BQ56)</f>
        <v>0</v>
      </c>
      <c r="BS56" s="0" t="n">
        <f aca="false">BC56*MIN((AU56-BM56),BQ56-BR56)</f>
        <v>0</v>
      </c>
      <c r="BT56" s="0" t="n">
        <f aca="false">BC56*MIN((AV56-BN56),BQ56-BR56-BS56)</f>
        <v>0</v>
      </c>
      <c r="BU56" s="0" t="n">
        <f aca="false">BQ56-BR56-BS56-BT56</f>
        <v>395456.558224479</v>
      </c>
      <c r="BV56" s="0" t="n">
        <f aca="false">MIN(BU56,Q56)</f>
        <v>187500</v>
      </c>
      <c r="BW56" s="0" t="n">
        <f aca="false">BU56-BV56</f>
        <v>207956.558224479</v>
      </c>
      <c r="BX56" s="0" t="n">
        <f aca="false">BF56*MIN((AT56-BL56-BR56),BW56)</f>
        <v>0</v>
      </c>
      <c r="BY56" s="0" t="n">
        <f aca="false">BF56*MIN((AU56-BM56-BS56),BW56-BX56)</f>
        <v>0</v>
      </c>
      <c r="BZ56" s="0" t="n">
        <f aca="false">BF56*MIN((AV56-BN56-BT56),BW56-BX56-BY56)</f>
        <v>0</v>
      </c>
      <c r="CA56" s="0" t="n">
        <f aca="false">BW56-BX56-BY56-BZ56</f>
        <v>207956.558224479</v>
      </c>
      <c r="CB56" s="0" t="n">
        <f aca="false">MAX(0,AT56+AU56+AV56-BL56-BM56-BN56-BR56-BS56-BT56-BX56-BY56-BZ56-AW56)</f>
        <v>0</v>
      </c>
      <c r="CC56" s="0" t="n">
        <f aca="false">1*MIN((AT56-BL56-BR56-BX56),MIN(CA56,CB56))</f>
        <v>0</v>
      </c>
      <c r="CD56" s="0" t="n">
        <f aca="false">1*MIN((AU56-BM56-BS56-BY56),MIN(CA56,CB56)-CC56)</f>
        <v>0</v>
      </c>
      <c r="CE56" s="0" t="n">
        <f aca="false">1*MIN((AV56-BN56-BT56-BZ56),MIN(CA56,CB56)-CC56-CD56)</f>
        <v>0</v>
      </c>
      <c r="CF56" s="0" t="n">
        <f aca="false">CA56-CC56-CD56-CE56</f>
        <v>207956.558224479</v>
      </c>
      <c r="CG56" s="0" t="n">
        <f aca="false">IF(C56+D56+E56&gt;Inputs!$B$19,MIN(CF56,MAX(0,Inputs!$B$15-DO55)),0)</f>
        <v>0</v>
      </c>
      <c r="CH56" s="0" t="n">
        <f aca="false">CF56-CG56</f>
        <v>207956.558224479</v>
      </c>
      <c r="CI56" s="0" t="n">
        <f aca="false">DO55+CG56</f>
        <v>3000000</v>
      </c>
      <c r="CJ56" s="0" t="n">
        <f aca="false">MIN(MAX(N56-BH56,0),CI56)</f>
        <v>0</v>
      </c>
      <c r="CK56" s="0" t="n">
        <f aca="false">MIN(MAX(O56-BJ56,0),CI56-CJ56)</f>
        <v>0</v>
      </c>
      <c r="CL56" s="0" t="n">
        <f aca="false">MIN(MAX(P56-BP56,0),CI56-CJ56-CK56)</f>
        <v>0</v>
      </c>
      <c r="CM56" s="0" t="n">
        <f aca="false">CJ56+CK56+CL56</f>
        <v>0</v>
      </c>
      <c r="CN56" s="0" t="n">
        <f aca="false">CI56-CM56</f>
        <v>3000000</v>
      </c>
      <c r="CO56" s="0" t="n">
        <f aca="false">BH56+CJ56</f>
        <v>26753.5812039878</v>
      </c>
      <c r="CP56" s="0" t="n">
        <f aca="false">BJ56+CK56</f>
        <v>0</v>
      </c>
      <c r="CQ56" s="0" t="n">
        <f aca="false">BP56+CL56</f>
        <v>8605.58585463543</v>
      </c>
      <c r="CR56" s="0" t="n">
        <f aca="false">BV56</f>
        <v>187500</v>
      </c>
      <c r="CS56" s="0" t="n">
        <f aca="false">AT56-BL56-BR56-BX56-CC56</f>
        <v>0</v>
      </c>
      <c r="CT56" s="0" t="n">
        <f aca="false">AU56-BM56-BS56-BY56-CD56</f>
        <v>0</v>
      </c>
      <c r="CU56" s="0" t="n">
        <f aca="false">AV56-BN56-BT56-BZ56-CE56</f>
        <v>28889912.0949187</v>
      </c>
      <c r="CV56" s="0" t="n">
        <f aca="false">MAX(0,CS56+CT56+CU56-AW56)</f>
        <v>0</v>
      </c>
      <c r="CW56" s="0" t="n">
        <f aca="false">MIN(CU56,CV56)</f>
        <v>0</v>
      </c>
      <c r="CX56" s="0" t="n">
        <f aca="false">MIN(CT56,CV56-CW56)</f>
        <v>0</v>
      </c>
      <c r="CY56" s="0" t="n">
        <f aca="false">MIN(CS56,CV56-CW56-CX56)</f>
        <v>0</v>
      </c>
      <c r="CZ56" s="0" t="n">
        <f aca="false">IF(CS56-CY56&lt;Inputs!$B$19,0,CS56-CY56)</f>
        <v>0</v>
      </c>
      <c r="DA56" s="0" t="n">
        <f aca="false">IF(CT56-CX56&lt;Inputs!$B$19,0,CT56-CX56)</f>
        <v>0</v>
      </c>
      <c r="DB56" s="0" t="n">
        <f aca="false">IF(CU56-CW56&lt;Inputs!$B$19,0,CU56-CW56)</f>
        <v>28889912.0949187</v>
      </c>
      <c r="DC56" s="0" t="n">
        <f aca="false">N56-CO56</f>
        <v>0</v>
      </c>
      <c r="DD56" s="0" t="n">
        <f aca="false">O56-CP56</f>
        <v>0</v>
      </c>
      <c r="DE56" s="0" t="n">
        <f aca="false">P56-CQ56</f>
        <v>0</v>
      </c>
      <c r="DF56" s="0" t="n">
        <f aca="false">Q56-CR56</f>
        <v>0</v>
      </c>
      <c r="DG56" s="0" t="n">
        <f aca="false">IF(CZ56+DA56+DB56&lt;=Inputs!$B$19,1,0)</f>
        <v>0</v>
      </c>
      <c r="DH56" s="0" t="n">
        <f aca="false">DG56*CN56</f>
        <v>0</v>
      </c>
      <c r="DI56" s="0" t="n">
        <f aca="false">DG56*(AS56+DH56)</f>
        <v>0</v>
      </c>
      <c r="DJ56" s="0" t="n">
        <f aca="false">DG56*MIN(DC56,DI56)</f>
        <v>0</v>
      </c>
      <c r="DK56" s="0" t="n">
        <f aca="false">DG56*MIN(DD56,DI56-DJ56)</f>
        <v>0</v>
      </c>
      <c r="DL56" s="0" t="n">
        <f aca="false">DG56*MIN(DE56,DI56-DJ56-DK56)</f>
        <v>0</v>
      </c>
      <c r="DM56" s="0" t="n">
        <f aca="false">DG56*MIN(DF56,DI56-DJ56-DK56-DL56)</f>
        <v>0</v>
      </c>
      <c r="DN56" s="0" t="n">
        <f aca="false">DJ56+DK56+DL56+DM56</f>
        <v>0</v>
      </c>
      <c r="DO56" s="0" t="n">
        <f aca="false">CN56-DH56</f>
        <v>3000000</v>
      </c>
      <c r="DP56" s="0" t="n">
        <f aca="false">DC56-DJ56</f>
        <v>0</v>
      </c>
      <c r="DQ56" s="0" t="n">
        <f aca="false">DD56-DK56</f>
        <v>0</v>
      </c>
      <c r="DR56" s="0" t="n">
        <f aca="false">DE56-DL56</f>
        <v>0</v>
      </c>
      <c r="DS56" s="0" t="n">
        <f aca="false">DF56-DM56</f>
        <v>0</v>
      </c>
      <c r="DT56" s="0" t="n">
        <f aca="false">CO56+DJ56</f>
        <v>26753.5812039878</v>
      </c>
      <c r="DU56" s="0" t="n">
        <f aca="false">CP56+DK56</f>
        <v>0</v>
      </c>
      <c r="DV56" s="0" t="n">
        <f aca="false">AP56+BL56+BR56+BX56+CC56</f>
        <v>0</v>
      </c>
      <c r="DW56" s="0" t="n">
        <f aca="false">CQ56+DL56</f>
        <v>8605.58585463543</v>
      </c>
      <c r="DX56" s="0" t="n">
        <f aca="false">AQ56+BM56+BS56+BY56+CD56</f>
        <v>1835726.2684612</v>
      </c>
      <c r="DY56" s="0" t="n">
        <f aca="false">CR56+DM56</f>
        <v>187500</v>
      </c>
      <c r="DZ56" s="0" t="n">
        <f aca="false">AR56+BN56+BT56+BZ56+CE56</f>
        <v>1110087.90508126</v>
      </c>
      <c r="EA56" s="0" t="n">
        <f aca="false">DI56-DN56</f>
        <v>0</v>
      </c>
      <c r="EB56" s="0" t="n">
        <f aca="false">CH56+EA56</f>
        <v>207956.558224479</v>
      </c>
      <c r="EC56" s="0" t="n">
        <f aca="false">R56-I56-MAX(-M56,0)-J56-K56-L56</f>
        <v>207956.558224479</v>
      </c>
      <c r="ED56" s="0" t="n">
        <f aca="false">R56+S56+CM56+DH56-CG56-DT56-DU56-DW56-DY56-DV56-DX56-DZ56-EB56</f>
        <v>0</v>
      </c>
      <c r="EE56" s="0" t="n">
        <f aca="false">IF(AND(EB56&gt;0.000001,DP56+DQ56+DR56+DS56&gt;0.000001),1,0)</f>
        <v>0</v>
      </c>
    </row>
    <row r="57" customFormat="false" ht="15" hidden="false" customHeight="false" outlineLevel="0" collapsed="false">
      <c r="A57" s="0" t="n">
        <f aca="false">ROW()-5</f>
        <v>52</v>
      </c>
      <c r="B57" s="0" t="n">
        <f aca="false">Inputs!$B$11+(Inputs!$B$12-Inputs!$B$11)*(1-EXP(-A57/Inputs!$B$13))+Inputs!$B$8</f>
        <v>0.0337028678619232</v>
      </c>
      <c r="C57" s="0" t="n">
        <f aca="false">CZ56</f>
        <v>0</v>
      </c>
      <c r="D57" s="0" t="n">
        <f aca="false">DA56</f>
        <v>0</v>
      </c>
      <c r="E57" s="0" t="n">
        <f aca="false">DB56</f>
        <v>28889912.0949187</v>
      </c>
      <c r="F57" s="0" t="n">
        <f aca="false">IF(Inputs!$B$22=1,B57+Inputs!$B$23,Inputs!$B$23)/12</f>
        <v>0.0037252389884936</v>
      </c>
      <c r="G57" s="0" t="n">
        <f aca="false">IF(Inputs!$B$27=1,B57+Inputs!$B$28,Inputs!$B$28)/12</f>
        <v>0.00468357232182694</v>
      </c>
      <c r="H57" s="0" t="n">
        <f aca="false">IF(Inputs!$B$32=1,B57+Inputs!$B$33,Inputs!$B$33)/12</f>
        <v>0.00625</v>
      </c>
      <c r="I57" s="0" t="n">
        <f aca="false">Pool!BT57*Inputs!$B$14/12</f>
        <v>25199.3138289635</v>
      </c>
      <c r="J57" s="0" t="n">
        <f aca="false">C57*F57</f>
        <v>0</v>
      </c>
      <c r="K57" s="0" t="n">
        <f aca="false">D57*G57</f>
        <v>0</v>
      </c>
      <c r="L57" s="0" t="n">
        <f aca="false">E57*H57</f>
        <v>180561.950593242</v>
      </c>
      <c r="M57" s="0" t="n">
        <f aca="false">Inputs!$B$17*(C57*Inputs!$B$22+D57*Inputs!$B$27+E57*Inputs!$B$32)*(B57-Inputs!$B$18)/12</f>
        <v>-0</v>
      </c>
      <c r="N57" s="0" t="n">
        <f aca="false">DP56+I57+MAX(-M57,0)</f>
        <v>25199.3138289635</v>
      </c>
      <c r="O57" s="0" t="n">
        <f aca="false">DQ56+J57</f>
        <v>0</v>
      </c>
      <c r="P57" s="0" t="n">
        <f aca="false">DR56+K57</f>
        <v>0</v>
      </c>
      <c r="Q57" s="0" t="n">
        <f aca="false">DS56+L57</f>
        <v>180561.950593242</v>
      </c>
      <c r="R57" s="0" t="n">
        <f aca="false">Pool!BV57+MAX(M57,0)</f>
        <v>406625.956127254</v>
      </c>
      <c r="S57" s="0" t="n">
        <f aca="false">Pool!BW57+Pool!BX57+Pool!BZ57</f>
        <v>2905210.84041434</v>
      </c>
      <c r="T57" s="0" t="n">
        <f aca="false">MAX(T56,BG56)</f>
        <v>1</v>
      </c>
      <c r="U57" s="0" t="n">
        <f aca="false">MIN(C57,S57)</f>
        <v>0</v>
      </c>
      <c r="V57" s="0" t="n">
        <f aca="false">MIN(D57,S57-U57)</f>
        <v>0</v>
      </c>
      <c r="W57" s="0" t="n">
        <f aca="false">MIN(E57,S57-U57-V57)</f>
        <v>2905210.84041434</v>
      </c>
      <c r="X57" s="0" t="n">
        <f aca="false">IF(C57-(0)&gt;Inputs!$B$19,1,0)</f>
        <v>0</v>
      </c>
      <c r="Y57" s="0" t="n">
        <f aca="false">IF(D57-(0)&gt;Inputs!$B$19,1,0)</f>
        <v>0</v>
      </c>
      <c r="Z57" s="0" t="n">
        <f aca="false">IF(E57-(0)&gt;Inputs!$B$19,1,0)</f>
        <v>1</v>
      </c>
      <c r="AA57" s="0" t="n">
        <f aca="false">IF((X57*C57+Y57*D57+Z57*E57)&gt;0,MIN(C57-(0),S57*X57*C57/(X57*C57+Y57*D57+Z57*E57)),0)</f>
        <v>0</v>
      </c>
      <c r="AB57" s="0" t="n">
        <f aca="false">IF((X57*C57+Y57*D57+Z57*E57)&gt;0,MIN(D57-(0),S57*Y57*D57/(X57*C57+Y57*D57+Z57*E57)),0)</f>
        <v>0</v>
      </c>
      <c r="AC57" s="0" t="n">
        <f aca="false">IF((X57*C57+Y57*D57+Z57*E57)&gt;0,MIN(E57-(0),S57*Z57*E57/(X57*C57+Y57*D57+Z57*E57)),0)</f>
        <v>2905210.84041434</v>
      </c>
      <c r="AD57" s="0" t="n">
        <f aca="false">IF(C57-(AA57)&gt;Inputs!$B$19,1,0)</f>
        <v>0</v>
      </c>
      <c r="AE57" s="0" t="n">
        <f aca="false">IF(D57-(AB57)&gt;Inputs!$B$19,1,0)</f>
        <v>0</v>
      </c>
      <c r="AF57" s="0" t="n">
        <f aca="false">IF(E57-(AC57)&gt;Inputs!$B$19,1,0)</f>
        <v>1</v>
      </c>
      <c r="AG57" s="0" t="n">
        <f aca="false">IF((AD57*C57+AE57*D57+AF57*E57)&gt;0,MIN(C57-(AA57),(S57-(AA57+AB57+AC57))*AD57*C57/(AD57*C57+AE57*D57+AF57*E57)),0)</f>
        <v>0</v>
      </c>
      <c r="AH57" s="0" t="n">
        <f aca="false">IF((AD57*C57+AE57*D57+AF57*E57)&gt;0,MIN(D57-(AB57),(S57-(AA57+AB57+AC57))*AE57*D57/(AD57*C57+AE57*D57+AF57*E57)),0)</f>
        <v>0</v>
      </c>
      <c r="AI57" s="0" t="n">
        <f aca="false">IF((AD57*C57+AE57*D57+AF57*E57)&gt;0,MIN(E57-(AC57),(S57-(AA57+AB57+AC57))*AF57*E57/(AD57*C57+AE57*D57+AF57*E57)),0)</f>
        <v>0</v>
      </c>
      <c r="AJ57" s="0" t="n">
        <f aca="false">IF(C57-(AA57+AG57)&gt;Inputs!$B$19,1,0)</f>
        <v>0</v>
      </c>
      <c r="AK57" s="0" t="n">
        <f aca="false">IF(D57-(AB57+AH57)&gt;Inputs!$B$19,1,0)</f>
        <v>0</v>
      </c>
      <c r="AL57" s="0" t="n">
        <f aca="false">IF(E57-(AC57+AI57)&gt;Inputs!$B$19,1,0)</f>
        <v>1</v>
      </c>
      <c r="AM57" s="0" t="n">
        <f aca="false">IF((AJ57*C57+AK57*D57+AL57*E57)&gt;0,MIN(C57-(AA57+AG57),(S57-(AA57+AB57+AC57+AG57+AH57+AI57))*AJ57*C57/(AJ57*C57+AK57*D57+AL57*E57)),0)</f>
        <v>0</v>
      </c>
      <c r="AN57" s="0" t="n">
        <f aca="false">IF((AJ57*C57+AK57*D57+AL57*E57)&gt;0,MIN(D57-(AB57+AH57),(S57-(AA57+AB57+AC57+AG57+AH57+AI57))*AK57*D57/(AJ57*C57+AK57*D57+AL57*E57)),0)</f>
        <v>0</v>
      </c>
      <c r="AO57" s="0" t="n">
        <f aca="false">IF((AJ57*C57+AK57*D57+AL57*E57)&gt;0,MIN(E57-(AC57+AI57),(S57-(AA57+AB57+AC57+AG57+AH57+AI57))*AL57*E57/(AJ57*C57+AK57*D57+AL57*E57)),0)</f>
        <v>0</v>
      </c>
      <c r="AP57" s="0" t="n">
        <f aca="false">IF(T57=1,U57,AA57+AG57+AM57)</f>
        <v>0</v>
      </c>
      <c r="AQ57" s="0" t="n">
        <f aca="false">IF(T57=1,V57,AB57+AH57+AN57)</f>
        <v>0</v>
      </c>
      <c r="AR57" s="0" t="n">
        <f aca="false">IF(T57=1,W57,AC57+AI57+AO57)</f>
        <v>2905210.84041434</v>
      </c>
      <c r="AS57" s="0" t="n">
        <f aca="false">S57-AP57-AQ57-AR57</f>
        <v>0</v>
      </c>
      <c r="AT57" s="0" t="n">
        <f aca="false">C57-AP57</f>
        <v>0</v>
      </c>
      <c r="AU57" s="0" t="n">
        <f aca="false">D57-AQ57</f>
        <v>0</v>
      </c>
      <c r="AV57" s="0" t="n">
        <f aca="false">E57-AR57</f>
        <v>25984701.2545044</v>
      </c>
      <c r="AW57" s="0" t="n">
        <f aca="false">Pool!CB57</f>
        <v>45592394.7427097</v>
      </c>
      <c r="AX57" s="0" t="n">
        <f aca="false">IF((AT57)&gt;Inputs!$B$19,AW57/(AT57),1000000000)</f>
        <v>1000000000</v>
      </c>
      <c r="AY57" s="0" t="n">
        <f aca="false">IF((J57)&gt;0.000000001,(R57-I57-MAX(-M57,0))/(J57),1000000000)</f>
        <v>1000000000</v>
      </c>
      <c r="AZ57" s="0" t="n">
        <f aca="false">IF(OR(AX57&lt;Inputs!$B$24,AY57&lt;Inputs!$B$25),1,0)</f>
        <v>0</v>
      </c>
      <c r="BA57" s="0" t="n">
        <f aca="false">IF((AT57+AU57)&gt;Inputs!$B$19,AW57/(AT57+AU57),1000000000)</f>
        <v>1000000000</v>
      </c>
      <c r="BB57" s="0" t="n">
        <f aca="false">IF((J57+K57)&gt;0.000000001,(R57-I57-MAX(-M57,0))/(J57+K57),1000000000)</f>
        <v>1000000000</v>
      </c>
      <c r="BC57" s="0" t="n">
        <f aca="false">IF(OR(BA57&lt;Inputs!$B$29,BB57&lt;Inputs!$B$30),1,0)</f>
        <v>0</v>
      </c>
      <c r="BD57" s="0" t="n">
        <f aca="false">IF((AT57+AU57+AV57)&gt;Inputs!$B$19,AW57/(AT57+AU57+AV57),1000000000)</f>
        <v>1.75458606570689</v>
      </c>
      <c r="BE57" s="0" t="n">
        <f aca="false">IF((J57+K57+L57)&gt;0.000000001,(R57-I57-MAX(-M57,0))/(J57+K57+L57),1000000000)</f>
        <v>2.11244196822808</v>
      </c>
      <c r="BF57" s="0" t="n">
        <f aca="false">IF(OR(BD57&lt;Inputs!$B$34,BE57&lt;Inputs!$B$35),1,0)</f>
        <v>0</v>
      </c>
      <c r="BG57" s="0" t="n">
        <f aca="false">MAX(AZ57,BC57,BF57)</f>
        <v>0</v>
      </c>
      <c r="BH57" s="0" t="n">
        <f aca="false">MIN(R57,N57)</f>
        <v>25199.3138289635</v>
      </c>
      <c r="BI57" s="0" t="n">
        <f aca="false">R57-BH57</f>
        <v>381426.64229829</v>
      </c>
      <c r="BJ57" s="0" t="n">
        <f aca="false">MIN(BI57,O57)</f>
        <v>0</v>
      </c>
      <c r="BK57" s="0" t="n">
        <f aca="false">BI57-BJ57</f>
        <v>381426.64229829</v>
      </c>
      <c r="BL57" s="0" t="n">
        <f aca="false">AZ57*MIN(AT57,BK57)</f>
        <v>0</v>
      </c>
      <c r="BM57" s="0" t="n">
        <f aca="false">AZ57*MIN(AU57,BK57-BL57)</f>
        <v>0</v>
      </c>
      <c r="BN57" s="0" t="n">
        <f aca="false">AZ57*MIN(AV57,BK57-BL57-BM57)</f>
        <v>0</v>
      </c>
      <c r="BO57" s="0" t="n">
        <f aca="false">BK57-BL57-BM57-BN57</f>
        <v>381426.64229829</v>
      </c>
      <c r="BP57" s="0" t="n">
        <f aca="false">MIN(BO57,P57)</f>
        <v>0</v>
      </c>
      <c r="BQ57" s="0" t="n">
        <f aca="false">BO57-BP57</f>
        <v>381426.64229829</v>
      </c>
      <c r="BR57" s="0" t="n">
        <f aca="false">BC57*MIN((AT57-BL57),BQ57)</f>
        <v>0</v>
      </c>
      <c r="BS57" s="0" t="n">
        <f aca="false">BC57*MIN((AU57-BM57),BQ57-BR57)</f>
        <v>0</v>
      </c>
      <c r="BT57" s="0" t="n">
        <f aca="false">BC57*MIN((AV57-BN57),BQ57-BR57-BS57)</f>
        <v>0</v>
      </c>
      <c r="BU57" s="0" t="n">
        <f aca="false">BQ57-BR57-BS57-BT57</f>
        <v>381426.64229829</v>
      </c>
      <c r="BV57" s="0" t="n">
        <f aca="false">MIN(BU57,Q57)</f>
        <v>180561.950593242</v>
      </c>
      <c r="BW57" s="0" t="n">
        <f aca="false">BU57-BV57</f>
        <v>200864.691705048</v>
      </c>
      <c r="BX57" s="0" t="n">
        <f aca="false">BF57*MIN((AT57-BL57-BR57),BW57)</f>
        <v>0</v>
      </c>
      <c r="BY57" s="0" t="n">
        <f aca="false">BF57*MIN((AU57-BM57-BS57),BW57-BX57)</f>
        <v>0</v>
      </c>
      <c r="BZ57" s="0" t="n">
        <f aca="false">BF57*MIN((AV57-BN57-BT57),BW57-BX57-BY57)</f>
        <v>0</v>
      </c>
      <c r="CA57" s="0" t="n">
        <f aca="false">BW57-BX57-BY57-BZ57</f>
        <v>200864.691705048</v>
      </c>
      <c r="CB57" s="0" t="n">
        <f aca="false">MAX(0,AT57+AU57+AV57-BL57-BM57-BN57-BR57-BS57-BT57-BX57-BY57-BZ57-AW57)</f>
        <v>0</v>
      </c>
      <c r="CC57" s="0" t="n">
        <f aca="false">1*MIN((AT57-BL57-BR57-BX57),MIN(CA57,CB57))</f>
        <v>0</v>
      </c>
      <c r="CD57" s="0" t="n">
        <f aca="false">1*MIN((AU57-BM57-BS57-BY57),MIN(CA57,CB57)-CC57)</f>
        <v>0</v>
      </c>
      <c r="CE57" s="0" t="n">
        <f aca="false">1*MIN((AV57-BN57-BT57-BZ57),MIN(CA57,CB57)-CC57-CD57)</f>
        <v>0</v>
      </c>
      <c r="CF57" s="0" t="n">
        <f aca="false">CA57-CC57-CD57-CE57</f>
        <v>200864.691705048</v>
      </c>
      <c r="CG57" s="0" t="n">
        <f aca="false">IF(C57+D57+E57&gt;Inputs!$B$19,MIN(CF57,MAX(0,Inputs!$B$15-DO56)),0)</f>
        <v>0</v>
      </c>
      <c r="CH57" s="0" t="n">
        <f aca="false">CF57-CG57</f>
        <v>200864.691705048</v>
      </c>
      <c r="CI57" s="0" t="n">
        <f aca="false">DO56+CG57</f>
        <v>3000000</v>
      </c>
      <c r="CJ57" s="0" t="n">
        <f aca="false">MIN(MAX(N57-BH57,0),CI57)</f>
        <v>0</v>
      </c>
      <c r="CK57" s="0" t="n">
        <f aca="false">MIN(MAX(O57-BJ57,0),CI57-CJ57)</f>
        <v>0</v>
      </c>
      <c r="CL57" s="0" t="n">
        <f aca="false">MIN(MAX(P57-BP57,0),CI57-CJ57-CK57)</f>
        <v>0</v>
      </c>
      <c r="CM57" s="0" t="n">
        <f aca="false">CJ57+CK57+CL57</f>
        <v>0</v>
      </c>
      <c r="CN57" s="0" t="n">
        <f aca="false">CI57-CM57</f>
        <v>3000000</v>
      </c>
      <c r="CO57" s="0" t="n">
        <f aca="false">BH57+CJ57</f>
        <v>25199.3138289635</v>
      </c>
      <c r="CP57" s="0" t="n">
        <f aca="false">BJ57+CK57</f>
        <v>0</v>
      </c>
      <c r="CQ57" s="0" t="n">
        <f aca="false">BP57+CL57</f>
        <v>0</v>
      </c>
      <c r="CR57" s="0" t="n">
        <f aca="false">BV57</f>
        <v>180561.950593242</v>
      </c>
      <c r="CS57" s="0" t="n">
        <f aca="false">AT57-BL57-BR57-BX57-CC57</f>
        <v>0</v>
      </c>
      <c r="CT57" s="0" t="n">
        <f aca="false">AU57-BM57-BS57-BY57-CD57</f>
        <v>0</v>
      </c>
      <c r="CU57" s="0" t="n">
        <f aca="false">AV57-BN57-BT57-BZ57-CE57</f>
        <v>25984701.2545044</v>
      </c>
      <c r="CV57" s="0" t="n">
        <f aca="false">MAX(0,CS57+CT57+CU57-AW57)</f>
        <v>0</v>
      </c>
      <c r="CW57" s="0" t="n">
        <f aca="false">MIN(CU57,CV57)</f>
        <v>0</v>
      </c>
      <c r="CX57" s="0" t="n">
        <f aca="false">MIN(CT57,CV57-CW57)</f>
        <v>0</v>
      </c>
      <c r="CY57" s="0" t="n">
        <f aca="false">MIN(CS57,CV57-CW57-CX57)</f>
        <v>0</v>
      </c>
      <c r="CZ57" s="0" t="n">
        <f aca="false">IF(CS57-CY57&lt;Inputs!$B$19,0,CS57-CY57)</f>
        <v>0</v>
      </c>
      <c r="DA57" s="0" t="n">
        <f aca="false">IF(CT57-CX57&lt;Inputs!$B$19,0,CT57-CX57)</f>
        <v>0</v>
      </c>
      <c r="DB57" s="0" t="n">
        <f aca="false">IF(CU57-CW57&lt;Inputs!$B$19,0,CU57-CW57)</f>
        <v>25984701.2545044</v>
      </c>
      <c r="DC57" s="0" t="n">
        <f aca="false">N57-CO57</f>
        <v>0</v>
      </c>
      <c r="DD57" s="0" t="n">
        <f aca="false">O57-CP57</f>
        <v>0</v>
      </c>
      <c r="DE57" s="0" t="n">
        <f aca="false">P57-CQ57</f>
        <v>0</v>
      </c>
      <c r="DF57" s="0" t="n">
        <f aca="false">Q57-CR57</f>
        <v>0</v>
      </c>
      <c r="DG57" s="0" t="n">
        <f aca="false">IF(CZ57+DA57+DB57&lt;=Inputs!$B$19,1,0)</f>
        <v>0</v>
      </c>
      <c r="DH57" s="0" t="n">
        <f aca="false">DG57*CN57</f>
        <v>0</v>
      </c>
      <c r="DI57" s="0" t="n">
        <f aca="false">DG57*(AS57+DH57)</f>
        <v>0</v>
      </c>
      <c r="DJ57" s="0" t="n">
        <f aca="false">DG57*MIN(DC57,DI57)</f>
        <v>0</v>
      </c>
      <c r="DK57" s="0" t="n">
        <f aca="false">DG57*MIN(DD57,DI57-DJ57)</f>
        <v>0</v>
      </c>
      <c r="DL57" s="0" t="n">
        <f aca="false">DG57*MIN(DE57,DI57-DJ57-DK57)</f>
        <v>0</v>
      </c>
      <c r="DM57" s="0" t="n">
        <f aca="false">DG57*MIN(DF57,DI57-DJ57-DK57-DL57)</f>
        <v>0</v>
      </c>
      <c r="DN57" s="0" t="n">
        <f aca="false">DJ57+DK57+DL57+DM57</f>
        <v>0</v>
      </c>
      <c r="DO57" s="0" t="n">
        <f aca="false">CN57-DH57</f>
        <v>3000000</v>
      </c>
      <c r="DP57" s="0" t="n">
        <f aca="false">DC57-DJ57</f>
        <v>0</v>
      </c>
      <c r="DQ57" s="0" t="n">
        <f aca="false">DD57-DK57</f>
        <v>0</v>
      </c>
      <c r="DR57" s="0" t="n">
        <f aca="false">DE57-DL57</f>
        <v>0</v>
      </c>
      <c r="DS57" s="0" t="n">
        <f aca="false">DF57-DM57</f>
        <v>0</v>
      </c>
      <c r="DT57" s="0" t="n">
        <f aca="false">CO57+DJ57</f>
        <v>25199.3138289635</v>
      </c>
      <c r="DU57" s="0" t="n">
        <f aca="false">CP57+DK57</f>
        <v>0</v>
      </c>
      <c r="DV57" s="0" t="n">
        <f aca="false">AP57+BL57+BR57+BX57+CC57</f>
        <v>0</v>
      </c>
      <c r="DW57" s="0" t="n">
        <f aca="false">CQ57+DL57</f>
        <v>0</v>
      </c>
      <c r="DX57" s="0" t="n">
        <f aca="false">AQ57+BM57+BS57+BY57+CD57</f>
        <v>0</v>
      </c>
      <c r="DY57" s="0" t="n">
        <f aca="false">CR57+DM57</f>
        <v>180561.950593242</v>
      </c>
      <c r="DZ57" s="0" t="n">
        <f aca="false">AR57+BN57+BT57+BZ57+CE57</f>
        <v>2905210.84041434</v>
      </c>
      <c r="EA57" s="0" t="n">
        <f aca="false">DI57-DN57</f>
        <v>0</v>
      </c>
      <c r="EB57" s="0" t="n">
        <f aca="false">CH57+EA57</f>
        <v>200864.691705048</v>
      </c>
      <c r="EC57" s="0" t="n">
        <f aca="false">R57-I57-MAX(-M57,0)-J57-K57-L57</f>
        <v>200864.691705048</v>
      </c>
      <c r="ED57" s="0" t="n">
        <f aca="false">R57+S57+CM57+DH57-CG57-DT57-DU57-DW57-DY57-DV57-DX57-DZ57-EB57</f>
        <v>0</v>
      </c>
      <c r="EE57" s="0" t="n">
        <f aca="false">IF(AND(EB57&gt;0.000001,DP57+DQ57+DR57+DS57&gt;0.000001),1,0)</f>
        <v>0</v>
      </c>
    </row>
    <row r="58" customFormat="false" ht="15" hidden="false" customHeight="false" outlineLevel="0" collapsed="false">
      <c r="A58" s="0" t="n">
        <f aca="false">ROW()-5</f>
        <v>53</v>
      </c>
      <c r="B58" s="0" t="n">
        <f aca="false">Inputs!$B$11+(Inputs!$B$12-Inputs!$B$11)*(1-EXP(-A58/Inputs!$B$13))+Inputs!$B$8</f>
        <v>0.0336537781714522</v>
      </c>
      <c r="C58" s="0" t="n">
        <f aca="false">CZ57</f>
        <v>0</v>
      </c>
      <c r="D58" s="0" t="n">
        <f aca="false">DA57</f>
        <v>0</v>
      </c>
      <c r="E58" s="0" t="n">
        <f aca="false">DB57</f>
        <v>25984701.2545044</v>
      </c>
      <c r="F58" s="0" t="n">
        <f aca="false">IF(Inputs!$B$22=1,B58+Inputs!$B$23,Inputs!$B$23)/12</f>
        <v>0.00372114818095435</v>
      </c>
      <c r="G58" s="0" t="n">
        <f aca="false">IF(Inputs!$B$27=1,B58+Inputs!$B$28,Inputs!$B$28)/12</f>
        <v>0.00467948151428768</v>
      </c>
      <c r="H58" s="0" t="n">
        <f aca="false">IF(Inputs!$B$32=1,B58+Inputs!$B$33,Inputs!$B$33)/12</f>
        <v>0.00625</v>
      </c>
      <c r="I58" s="0" t="n">
        <f aca="false">Pool!BT58*Inputs!$B$14/12</f>
        <v>23666.5774041402</v>
      </c>
      <c r="J58" s="0" t="n">
        <f aca="false">C58*F58</f>
        <v>0</v>
      </c>
      <c r="K58" s="0" t="n">
        <f aca="false">D58*G58</f>
        <v>0</v>
      </c>
      <c r="L58" s="0" t="n">
        <f aca="false">E58*H58</f>
        <v>162404.382840653</v>
      </c>
      <c r="M58" s="0" t="n">
        <f aca="false">Inputs!$B$17*(C58*Inputs!$B$22+D58*Inputs!$B$27+E58*Inputs!$B$32)*(B58-Inputs!$B$18)/12</f>
        <v>-0</v>
      </c>
      <c r="N58" s="0" t="n">
        <f aca="false">DP57+I58+MAX(-M58,0)</f>
        <v>23666.5774041402</v>
      </c>
      <c r="O58" s="0" t="n">
        <f aca="false">DQ57+J58</f>
        <v>0</v>
      </c>
      <c r="P58" s="0" t="n">
        <f aca="false">DR57+K58</f>
        <v>0</v>
      </c>
      <c r="Q58" s="0" t="n">
        <f aca="false">DS57+L58</f>
        <v>162404.382840653</v>
      </c>
      <c r="R58" s="0" t="n">
        <f aca="false">Pool!BV58+MAX(M58,0)</f>
        <v>382769.712566982</v>
      </c>
      <c r="S58" s="0" t="n">
        <f aca="false">Pool!BW58+Pool!BX58+Pool!BZ58</f>
        <v>2865092.71923376</v>
      </c>
      <c r="T58" s="0" t="n">
        <f aca="false">MAX(T57,BG57)</f>
        <v>1</v>
      </c>
      <c r="U58" s="0" t="n">
        <f aca="false">MIN(C58,S58)</f>
        <v>0</v>
      </c>
      <c r="V58" s="0" t="n">
        <f aca="false">MIN(D58,S58-U58)</f>
        <v>0</v>
      </c>
      <c r="W58" s="0" t="n">
        <f aca="false">MIN(E58,S58-U58-V58)</f>
        <v>2865092.71923376</v>
      </c>
      <c r="X58" s="0" t="n">
        <f aca="false">IF(C58-(0)&gt;Inputs!$B$19,1,0)</f>
        <v>0</v>
      </c>
      <c r="Y58" s="0" t="n">
        <f aca="false">IF(D58-(0)&gt;Inputs!$B$19,1,0)</f>
        <v>0</v>
      </c>
      <c r="Z58" s="0" t="n">
        <f aca="false">IF(E58-(0)&gt;Inputs!$B$19,1,0)</f>
        <v>1</v>
      </c>
      <c r="AA58" s="0" t="n">
        <f aca="false">IF((X58*C58+Y58*D58+Z58*E58)&gt;0,MIN(C58-(0),S58*X58*C58/(X58*C58+Y58*D58+Z58*E58)),0)</f>
        <v>0</v>
      </c>
      <c r="AB58" s="0" t="n">
        <f aca="false">IF((X58*C58+Y58*D58+Z58*E58)&gt;0,MIN(D58-(0),S58*Y58*D58/(X58*C58+Y58*D58+Z58*E58)),0)</f>
        <v>0</v>
      </c>
      <c r="AC58" s="0" t="n">
        <f aca="false">IF((X58*C58+Y58*D58+Z58*E58)&gt;0,MIN(E58-(0),S58*Z58*E58/(X58*C58+Y58*D58+Z58*E58)),0)</f>
        <v>2865092.71923376</v>
      </c>
      <c r="AD58" s="0" t="n">
        <f aca="false">IF(C58-(AA58)&gt;Inputs!$B$19,1,0)</f>
        <v>0</v>
      </c>
      <c r="AE58" s="0" t="n">
        <f aca="false">IF(D58-(AB58)&gt;Inputs!$B$19,1,0)</f>
        <v>0</v>
      </c>
      <c r="AF58" s="0" t="n">
        <f aca="false">IF(E58-(AC58)&gt;Inputs!$B$19,1,0)</f>
        <v>1</v>
      </c>
      <c r="AG58" s="0" t="n">
        <f aca="false">IF((AD58*C58+AE58*D58+AF58*E58)&gt;0,MIN(C58-(AA58),(S58-(AA58+AB58+AC58))*AD58*C58/(AD58*C58+AE58*D58+AF58*E58)),0)</f>
        <v>0</v>
      </c>
      <c r="AH58" s="0" t="n">
        <f aca="false">IF((AD58*C58+AE58*D58+AF58*E58)&gt;0,MIN(D58-(AB58),(S58-(AA58+AB58+AC58))*AE58*D58/(AD58*C58+AE58*D58+AF58*E58)),0)</f>
        <v>0</v>
      </c>
      <c r="AI58" s="0" t="n">
        <f aca="false">IF((AD58*C58+AE58*D58+AF58*E58)&gt;0,MIN(E58-(AC58),(S58-(AA58+AB58+AC58))*AF58*E58/(AD58*C58+AE58*D58+AF58*E58)),0)</f>
        <v>0</v>
      </c>
      <c r="AJ58" s="0" t="n">
        <f aca="false">IF(C58-(AA58+AG58)&gt;Inputs!$B$19,1,0)</f>
        <v>0</v>
      </c>
      <c r="AK58" s="0" t="n">
        <f aca="false">IF(D58-(AB58+AH58)&gt;Inputs!$B$19,1,0)</f>
        <v>0</v>
      </c>
      <c r="AL58" s="0" t="n">
        <f aca="false">IF(E58-(AC58+AI58)&gt;Inputs!$B$19,1,0)</f>
        <v>1</v>
      </c>
      <c r="AM58" s="0" t="n">
        <f aca="false">IF((AJ58*C58+AK58*D58+AL58*E58)&gt;0,MIN(C58-(AA58+AG58),(S58-(AA58+AB58+AC58+AG58+AH58+AI58))*AJ58*C58/(AJ58*C58+AK58*D58+AL58*E58)),0)</f>
        <v>0</v>
      </c>
      <c r="AN58" s="0" t="n">
        <f aca="false">IF((AJ58*C58+AK58*D58+AL58*E58)&gt;0,MIN(D58-(AB58+AH58),(S58-(AA58+AB58+AC58+AG58+AH58+AI58))*AK58*D58/(AJ58*C58+AK58*D58+AL58*E58)),0)</f>
        <v>0</v>
      </c>
      <c r="AO58" s="0" t="n">
        <f aca="false">IF((AJ58*C58+AK58*D58+AL58*E58)&gt;0,MIN(E58-(AC58+AI58),(S58-(AA58+AB58+AC58+AG58+AH58+AI58))*AL58*E58/(AJ58*C58+AK58*D58+AL58*E58)),0)</f>
        <v>0</v>
      </c>
      <c r="AP58" s="0" t="n">
        <f aca="false">IF(T58=1,U58,AA58+AG58+AM58)</f>
        <v>0</v>
      </c>
      <c r="AQ58" s="0" t="n">
        <f aca="false">IF(T58=1,V58,AB58+AH58+AN58)</f>
        <v>0</v>
      </c>
      <c r="AR58" s="0" t="n">
        <f aca="false">IF(T58=1,W58,AC58+AI58+AO58)</f>
        <v>2865092.71923376</v>
      </c>
      <c r="AS58" s="0" t="n">
        <f aca="false">S58-AP58-AQ58-AR58</f>
        <v>0</v>
      </c>
      <c r="AT58" s="0" t="n">
        <f aca="false">C58-AP58</f>
        <v>0</v>
      </c>
      <c r="AU58" s="0" t="n">
        <f aca="false">D58-AQ58</f>
        <v>0</v>
      </c>
      <c r="AV58" s="0" t="n">
        <f aca="false">E58-AR58</f>
        <v>23119608.5352706</v>
      </c>
      <c r="AW58" s="0" t="n">
        <f aca="false">Pool!CB58</f>
        <v>42681590.8431006</v>
      </c>
      <c r="AX58" s="0" t="n">
        <f aca="false">IF((AT58)&gt;Inputs!$B$19,AW58/(AT58),1000000000)</f>
        <v>1000000000</v>
      </c>
      <c r="AY58" s="0" t="n">
        <f aca="false">IF((J58)&gt;0.000000001,(R58-I58-MAX(-M58,0))/(J58),1000000000)</f>
        <v>1000000000</v>
      </c>
      <c r="AZ58" s="0" t="n">
        <f aca="false">IF(OR(AX58&lt;Inputs!$B$24,AY58&lt;Inputs!$B$25),1,0)</f>
        <v>0</v>
      </c>
      <c r="BA58" s="0" t="n">
        <f aca="false">IF((AT58+AU58)&gt;Inputs!$B$19,AW58/(AT58+AU58),1000000000)</f>
        <v>1000000000</v>
      </c>
      <c r="BB58" s="0" t="n">
        <f aca="false">IF((J58+K58)&gt;0.000000001,(R58-I58-MAX(-M58,0))/(J58+K58),1000000000)</f>
        <v>1000000000</v>
      </c>
      <c r="BC58" s="0" t="n">
        <f aca="false">IF(OR(BA58&lt;Inputs!$B$29,BB58&lt;Inputs!$B$30),1,0)</f>
        <v>0</v>
      </c>
      <c r="BD58" s="0" t="n">
        <f aca="false">IF((AT58+AU58+AV58)&gt;Inputs!$B$19,AW58/(AT58+AU58+AV58),1000000000)</f>
        <v>1.84612082760773</v>
      </c>
      <c r="BE58" s="0" t="n">
        <f aca="false">IF((J58+K58+L58)&gt;0.000000001,(R58-I58-MAX(-M58,0))/(J58+K58+L58),1000000000)</f>
        <v>2.21116652692302</v>
      </c>
      <c r="BF58" s="0" t="n">
        <f aca="false">IF(OR(BD58&lt;Inputs!$B$34,BE58&lt;Inputs!$B$35),1,0)</f>
        <v>0</v>
      </c>
      <c r="BG58" s="0" t="n">
        <f aca="false">MAX(AZ58,BC58,BF58)</f>
        <v>0</v>
      </c>
      <c r="BH58" s="0" t="n">
        <f aca="false">MIN(R58,N58)</f>
        <v>23666.5774041402</v>
      </c>
      <c r="BI58" s="0" t="n">
        <f aca="false">R58-BH58</f>
        <v>359103.135162842</v>
      </c>
      <c r="BJ58" s="0" t="n">
        <f aca="false">MIN(BI58,O58)</f>
        <v>0</v>
      </c>
      <c r="BK58" s="0" t="n">
        <f aca="false">BI58-BJ58</f>
        <v>359103.135162842</v>
      </c>
      <c r="BL58" s="0" t="n">
        <f aca="false">AZ58*MIN(AT58,BK58)</f>
        <v>0</v>
      </c>
      <c r="BM58" s="0" t="n">
        <f aca="false">AZ58*MIN(AU58,BK58-BL58)</f>
        <v>0</v>
      </c>
      <c r="BN58" s="0" t="n">
        <f aca="false">AZ58*MIN(AV58,BK58-BL58-BM58)</f>
        <v>0</v>
      </c>
      <c r="BO58" s="0" t="n">
        <f aca="false">BK58-BL58-BM58-BN58</f>
        <v>359103.135162842</v>
      </c>
      <c r="BP58" s="0" t="n">
        <f aca="false">MIN(BO58,P58)</f>
        <v>0</v>
      </c>
      <c r="BQ58" s="0" t="n">
        <f aca="false">BO58-BP58</f>
        <v>359103.135162842</v>
      </c>
      <c r="BR58" s="0" t="n">
        <f aca="false">BC58*MIN((AT58-BL58),BQ58)</f>
        <v>0</v>
      </c>
      <c r="BS58" s="0" t="n">
        <f aca="false">BC58*MIN((AU58-BM58),BQ58-BR58)</f>
        <v>0</v>
      </c>
      <c r="BT58" s="0" t="n">
        <f aca="false">BC58*MIN((AV58-BN58),BQ58-BR58-BS58)</f>
        <v>0</v>
      </c>
      <c r="BU58" s="0" t="n">
        <f aca="false">BQ58-BR58-BS58-BT58</f>
        <v>359103.135162842</v>
      </c>
      <c r="BV58" s="0" t="n">
        <f aca="false">MIN(BU58,Q58)</f>
        <v>162404.382840653</v>
      </c>
      <c r="BW58" s="0" t="n">
        <f aca="false">BU58-BV58</f>
        <v>196698.752322189</v>
      </c>
      <c r="BX58" s="0" t="n">
        <f aca="false">BF58*MIN((AT58-BL58-BR58),BW58)</f>
        <v>0</v>
      </c>
      <c r="BY58" s="0" t="n">
        <f aca="false">BF58*MIN((AU58-BM58-BS58),BW58-BX58)</f>
        <v>0</v>
      </c>
      <c r="BZ58" s="0" t="n">
        <f aca="false">BF58*MIN((AV58-BN58-BT58),BW58-BX58-BY58)</f>
        <v>0</v>
      </c>
      <c r="CA58" s="0" t="n">
        <f aca="false">BW58-BX58-BY58-BZ58</f>
        <v>196698.752322189</v>
      </c>
      <c r="CB58" s="0" t="n">
        <f aca="false">MAX(0,AT58+AU58+AV58-BL58-BM58-BN58-BR58-BS58-BT58-BX58-BY58-BZ58-AW58)</f>
        <v>0</v>
      </c>
      <c r="CC58" s="0" t="n">
        <f aca="false">1*MIN((AT58-BL58-BR58-BX58),MIN(CA58,CB58))</f>
        <v>0</v>
      </c>
      <c r="CD58" s="0" t="n">
        <f aca="false">1*MIN((AU58-BM58-BS58-BY58),MIN(CA58,CB58)-CC58)</f>
        <v>0</v>
      </c>
      <c r="CE58" s="0" t="n">
        <f aca="false">1*MIN((AV58-BN58-BT58-BZ58),MIN(CA58,CB58)-CC58-CD58)</f>
        <v>0</v>
      </c>
      <c r="CF58" s="0" t="n">
        <f aca="false">CA58-CC58-CD58-CE58</f>
        <v>196698.752322189</v>
      </c>
      <c r="CG58" s="0" t="n">
        <f aca="false">IF(C58+D58+E58&gt;Inputs!$B$19,MIN(CF58,MAX(0,Inputs!$B$15-DO57)),0)</f>
        <v>0</v>
      </c>
      <c r="CH58" s="0" t="n">
        <f aca="false">CF58-CG58</f>
        <v>196698.752322189</v>
      </c>
      <c r="CI58" s="0" t="n">
        <f aca="false">DO57+CG58</f>
        <v>3000000</v>
      </c>
      <c r="CJ58" s="0" t="n">
        <f aca="false">MIN(MAX(N58-BH58,0),CI58)</f>
        <v>0</v>
      </c>
      <c r="CK58" s="0" t="n">
        <f aca="false">MIN(MAX(O58-BJ58,0),CI58-CJ58)</f>
        <v>0</v>
      </c>
      <c r="CL58" s="0" t="n">
        <f aca="false">MIN(MAX(P58-BP58,0),CI58-CJ58-CK58)</f>
        <v>0</v>
      </c>
      <c r="CM58" s="0" t="n">
        <f aca="false">CJ58+CK58+CL58</f>
        <v>0</v>
      </c>
      <c r="CN58" s="0" t="n">
        <f aca="false">CI58-CM58</f>
        <v>3000000</v>
      </c>
      <c r="CO58" s="0" t="n">
        <f aca="false">BH58+CJ58</f>
        <v>23666.5774041402</v>
      </c>
      <c r="CP58" s="0" t="n">
        <f aca="false">BJ58+CK58</f>
        <v>0</v>
      </c>
      <c r="CQ58" s="0" t="n">
        <f aca="false">BP58+CL58</f>
        <v>0</v>
      </c>
      <c r="CR58" s="0" t="n">
        <f aca="false">BV58</f>
        <v>162404.382840653</v>
      </c>
      <c r="CS58" s="0" t="n">
        <f aca="false">AT58-BL58-BR58-BX58-CC58</f>
        <v>0</v>
      </c>
      <c r="CT58" s="0" t="n">
        <f aca="false">AU58-BM58-BS58-BY58-CD58</f>
        <v>0</v>
      </c>
      <c r="CU58" s="0" t="n">
        <f aca="false">AV58-BN58-BT58-BZ58-CE58</f>
        <v>23119608.5352706</v>
      </c>
      <c r="CV58" s="0" t="n">
        <f aca="false">MAX(0,CS58+CT58+CU58-AW58)</f>
        <v>0</v>
      </c>
      <c r="CW58" s="0" t="n">
        <f aca="false">MIN(CU58,CV58)</f>
        <v>0</v>
      </c>
      <c r="CX58" s="0" t="n">
        <f aca="false">MIN(CT58,CV58-CW58)</f>
        <v>0</v>
      </c>
      <c r="CY58" s="0" t="n">
        <f aca="false">MIN(CS58,CV58-CW58-CX58)</f>
        <v>0</v>
      </c>
      <c r="CZ58" s="0" t="n">
        <f aca="false">IF(CS58-CY58&lt;Inputs!$B$19,0,CS58-CY58)</f>
        <v>0</v>
      </c>
      <c r="DA58" s="0" t="n">
        <f aca="false">IF(CT58-CX58&lt;Inputs!$B$19,0,CT58-CX58)</f>
        <v>0</v>
      </c>
      <c r="DB58" s="0" t="n">
        <f aca="false">IF(CU58-CW58&lt;Inputs!$B$19,0,CU58-CW58)</f>
        <v>23119608.5352706</v>
      </c>
      <c r="DC58" s="0" t="n">
        <f aca="false">N58-CO58</f>
        <v>0</v>
      </c>
      <c r="DD58" s="0" t="n">
        <f aca="false">O58-CP58</f>
        <v>0</v>
      </c>
      <c r="DE58" s="0" t="n">
        <f aca="false">P58-CQ58</f>
        <v>0</v>
      </c>
      <c r="DF58" s="0" t="n">
        <f aca="false">Q58-CR58</f>
        <v>0</v>
      </c>
      <c r="DG58" s="0" t="n">
        <f aca="false">IF(CZ58+DA58+DB58&lt;=Inputs!$B$19,1,0)</f>
        <v>0</v>
      </c>
      <c r="DH58" s="0" t="n">
        <f aca="false">DG58*CN58</f>
        <v>0</v>
      </c>
      <c r="DI58" s="0" t="n">
        <f aca="false">DG58*(AS58+DH58)</f>
        <v>0</v>
      </c>
      <c r="DJ58" s="0" t="n">
        <f aca="false">DG58*MIN(DC58,DI58)</f>
        <v>0</v>
      </c>
      <c r="DK58" s="0" t="n">
        <f aca="false">DG58*MIN(DD58,DI58-DJ58)</f>
        <v>0</v>
      </c>
      <c r="DL58" s="0" t="n">
        <f aca="false">DG58*MIN(DE58,DI58-DJ58-DK58)</f>
        <v>0</v>
      </c>
      <c r="DM58" s="0" t="n">
        <f aca="false">DG58*MIN(DF58,DI58-DJ58-DK58-DL58)</f>
        <v>0</v>
      </c>
      <c r="DN58" s="0" t="n">
        <f aca="false">DJ58+DK58+DL58+DM58</f>
        <v>0</v>
      </c>
      <c r="DO58" s="0" t="n">
        <f aca="false">CN58-DH58</f>
        <v>3000000</v>
      </c>
      <c r="DP58" s="0" t="n">
        <f aca="false">DC58-DJ58</f>
        <v>0</v>
      </c>
      <c r="DQ58" s="0" t="n">
        <f aca="false">DD58-DK58</f>
        <v>0</v>
      </c>
      <c r="DR58" s="0" t="n">
        <f aca="false">DE58-DL58</f>
        <v>0</v>
      </c>
      <c r="DS58" s="0" t="n">
        <f aca="false">DF58-DM58</f>
        <v>0</v>
      </c>
      <c r="DT58" s="0" t="n">
        <f aca="false">CO58+DJ58</f>
        <v>23666.5774041402</v>
      </c>
      <c r="DU58" s="0" t="n">
        <f aca="false">CP58+DK58</f>
        <v>0</v>
      </c>
      <c r="DV58" s="0" t="n">
        <f aca="false">AP58+BL58+BR58+BX58+CC58</f>
        <v>0</v>
      </c>
      <c r="DW58" s="0" t="n">
        <f aca="false">CQ58+DL58</f>
        <v>0</v>
      </c>
      <c r="DX58" s="0" t="n">
        <f aca="false">AQ58+BM58+BS58+BY58+CD58</f>
        <v>0</v>
      </c>
      <c r="DY58" s="0" t="n">
        <f aca="false">CR58+DM58</f>
        <v>162404.382840653</v>
      </c>
      <c r="DZ58" s="0" t="n">
        <f aca="false">AR58+BN58+BT58+BZ58+CE58</f>
        <v>2865092.71923376</v>
      </c>
      <c r="EA58" s="0" t="n">
        <f aca="false">DI58-DN58</f>
        <v>0</v>
      </c>
      <c r="EB58" s="0" t="n">
        <f aca="false">CH58+EA58</f>
        <v>196698.752322189</v>
      </c>
      <c r="EC58" s="0" t="n">
        <f aca="false">R58-I58-MAX(-M58,0)-J58-K58-L58</f>
        <v>196698.752322189</v>
      </c>
      <c r="ED58" s="0" t="n">
        <f aca="false">R58+S58+CM58+DH58-CG58-DT58-DU58-DW58-DY58-DV58-DX58-DZ58-EB58</f>
        <v>0</v>
      </c>
      <c r="EE58" s="0" t="n">
        <f aca="false">IF(AND(EB58&gt;0.000001,DP58+DQ58+DR58+DS58&gt;0.000001),1,0)</f>
        <v>0</v>
      </c>
    </row>
    <row r="59" customFormat="false" ht="15" hidden="false" customHeight="false" outlineLevel="0" collapsed="false">
      <c r="A59" s="0" t="n">
        <f aca="false">ROW()-5</f>
        <v>54</v>
      </c>
      <c r="B59" s="0" t="n">
        <f aca="false">Inputs!$B$11+(Inputs!$B$12-Inputs!$B$11)*(1-EXP(-A59/Inputs!$B$13))+Inputs!$B$8</f>
        <v>0.0336066918578996</v>
      </c>
      <c r="C59" s="0" t="n">
        <f aca="false">CZ58</f>
        <v>0</v>
      </c>
      <c r="D59" s="0" t="n">
        <f aca="false">DA58</f>
        <v>0</v>
      </c>
      <c r="E59" s="0" t="n">
        <f aca="false">DB58</f>
        <v>23119608.5352706</v>
      </c>
      <c r="F59" s="0" t="n">
        <f aca="false">IF(Inputs!$B$22=1,B59+Inputs!$B$23,Inputs!$B$23)/12</f>
        <v>0.00371722432149163</v>
      </c>
      <c r="G59" s="0" t="n">
        <f aca="false">IF(Inputs!$B$27=1,B59+Inputs!$B$28,Inputs!$B$28)/12</f>
        <v>0.00467555765482496</v>
      </c>
      <c r="H59" s="0" t="n">
        <f aca="false">IF(Inputs!$B$32=1,B59+Inputs!$B$33,Inputs!$B$33)/12</f>
        <v>0.00625</v>
      </c>
      <c r="I59" s="0" t="n">
        <f aca="false">Pool!BT59*Inputs!$B$14/12</f>
        <v>22155.1160504645</v>
      </c>
      <c r="J59" s="0" t="n">
        <f aca="false">C59*F59</f>
        <v>0</v>
      </c>
      <c r="K59" s="0" t="n">
        <f aca="false">D59*G59</f>
        <v>0</v>
      </c>
      <c r="L59" s="0" t="n">
        <f aca="false">E59*H59</f>
        <v>144497.553345442</v>
      </c>
      <c r="M59" s="0" t="n">
        <f aca="false">Inputs!$B$17*(C59*Inputs!$B$22+D59*Inputs!$B$27+E59*Inputs!$B$32)*(B59-Inputs!$B$18)/12</f>
        <v>-0</v>
      </c>
      <c r="N59" s="0" t="n">
        <f aca="false">DP58+I59+MAX(-M59,0)</f>
        <v>22155.1160504645</v>
      </c>
      <c r="O59" s="0" t="n">
        <f aca="false">DQ58+J59</f>
        <v>0</v>
      </c>
      <c r="P59" s="0" t="n">
        <f aca="false">DR58+K59</f>
        <v>0</v>
      </c>
      <c r="Q59" s="0" t="n">
        <f aca="false">DS58+L59</f>
        <v>144497.553345442</v>
      </c>
      <c r="R59" s="0" t="n">
        <f aca="false">Pool!BV59+MAX(M59,0)</f>
        <v>359243.038259007</v>
      </c>
      <c r="S59" s="0" t="n">
        <f aca="false">Pool!BW59+Pool!BX59+Pool!BZ59</f>
        <v>2825454.23747854</v>
      </c>
      <c r="T59" s="0" t="n">
        <f aca="false">MAX(T58,BG58)</f>
        <v>1</v>
      </c>
      <c r="U59" s="0" t="n">
        <f aca="false">MIN(C59,S59)</f>
        <v>0</v>
      </c>
      <c r="V59" s="0" t="n">
        <f aca="false">MIN(D59,S59-U59)</f>
        <v>0</v>
      </c>
      <c r="W59" s="0" t="n">
        <f aca="false">MIN(E59,S59-U59-V59)</f>
        <v>2825454.23747854</v>
      </c>
      <c r="X59" s="0" t="n">
        <f aca="false">IF(C59-(0)&gt;Inputs!$B$19,1,0)</f>
        <v>0</v>
      </c>
      <c r="Y59" s="0" t="n">
        <f aca="false">IF(D59-(0)&gt;Inputs!$B$19,1,0)</f>
        <v>0</v>
      </c>
      <c r="Z59" s="0" t="n">
        <f aca="false">IF(E59-(0)&gt;Inputs!$B$19,1,0)</f>
        <v>1</v>
      </c>
      <c r="AA59" s="0" t="n">
        <f aca="false">IF((X59*C59+Y59*D59+Z59*E59)&gt;0,MIN(C59-(0),S59*X59*C59/(X59*C59+Y59*D59+Z59*E59)),0)</f>
        <v>0</v>
      </c>
      <c r="AB59" s="0" t="n">
        <f aca="false">IF((X59*C59+Y59*D59+Z59*E59)&gt;0,MIN(D59-(0),S59*Y59*D59/(X59*C59+Y59*D59+Z59*E59)),0)</f>
        <v>0</v>
      </c>
      <c r="AC59" s="0" t="n">
        <f aca="false">IF((X59*C59+Y59*D59+Z59*E59)&gt;0,MIN(E59-(0),S59*Z59*E59/(X59*C59+Y59*D59+Z59*E59)),0)</f>
        <v>2825454.23747854</v>
      </c>
      <c r="AD59" s="0" t="n">
        <f aca="false">IF(C59-(AA59)&gt;Inputs!$B$19,1,0)</f>
        <v>0</v>
      </c>
      <c r="AE59" s="0" t="n">
        <f aca="false">IF(D59-(AB59)&gt;Inputs!$B$19,1,0)</f>
        <v>0</v>
      </c>
      <c r="AF59" s="0" t="n">
        <f aca="false">IF(E59-(AC59)&gt;Inputs!$B$19,1,0)</f>
        <v>1</v>
      </c>
      <c r="AG59" s="0" t="n">
        <f aca="false">IF((AD59*C59+AE59*D59+AF59*E59)&gt;0,MIN(C59-(AA59),(S59-(AA59+AB59+AC59))*AD59*C59/(AD59*C59+AE59*D59+AF59*E59)),0)</f>
        <v>0</v>
      </c>
      <c r="AH59" s="0" t="n">
        <f aca="false">IF((AD59*C59+AE59*D59+AF59*E59)&gt;0,MIN(D59-(AB59),(S59-(AA59+AB59+AC59))*AE59*D59/(AD59*C59+AE59*D59+AF59*E59)),0)</f>
        <v>0</v>
      </c>
      <c r="AI59" s="0" t="n">
        <f aca="false">IF((AD59*C59+AE59*D59+AF59*E59)&gt;0,MIN(E59-(AC59),(S59-(AA59+AB59+AC59))*AF59*E59/(AD59*C59+AE59*D59+AF59*E59)),0)</f>
        <v>0</v>
      </c>
      <c r="AJ59" s="0" t="n">
        <f aca="false">IF(C59-(AA59+AG59)&gt;Inputs!$B$19,1,0)</f>
        <v>0</v>
      </c>
      <c r="AK59" s="0" t="n">
        <f aca="false">IF(D59-(AB59+AH59)&gt;Inputs!$B$19,1,0)</f>
        <v>0</v>
      </c>
      <c r="AL59" s="0" t="n">
        <f aca="false">IF(E59-(AC59+AI59)&gt;Inputs!$B$19,1,0)</f>
        <v>1</v>
      </c>
      <c r="AM59" s="0" t="n">
        <f aca="false">IF((AJ59*C59+AK59*D59+AL59*E59)&gt;0,MIN(C59-(AA59+AG59),(S59-(AA59+AB59+AC59+AG59+AH59+AI59))*AJ59*C59/(AJ59*C59+AK59*D59+AL59*E59)),0)</f>
        <v>0</v>
      </c>
      <c r="AN59" s="0" t="n">
        <f aca="false">IF((AJ59*C59+AK59*D59+AL59*E59)&gt;0,MIN(D59-(AB59+AH59),(S59-(AA59+AB59+AC59+AG59+AH59+AI59))*AK59*D59/(AJ59*C59+AK59*D59+AL59*E59)),0)</f>
        <v>0</v>
      </c>
      <c r="AO59" s="0" t="n">
        <f aca="false">IF((AJ59*C59+AK59*D59+AL59*E59)&gt;0,MIN(E59-(AC59+AI59),(S59-(AA59+AB59+AC59+AG59+AH59+AI59))*AL59*E59/(AJ59*C59+AK59*D59+AL59*E59)),0)</f>
        <v>0</v>
      </c>
      <c r="AP59" s="0" t="n">
        <f aca="false">IF(T59=1,U59,AA59+AG59+AM59)</f>
        <v>0</v>
      </c>
      <c r="AQ59" s="0" t="n">
        <f aca="false">IF(T59=1,V59,AB59+AH59+AN59)</f>
        <v>0</v>
      </c>
      <c r="AR59" s="0" t="n">
        <f aca="false">IF(T59=1,W59,AC59+AI59+AO59)</f>
        <v>2825454.23747854</v>
      </c>
      <c r="AS59" s="0" t="n">
        <f aca="false">S59-AP59-AQ59-AR59</f>
        <v>0</v>
      </c>
      <c r="AT59" s="0" t="n">
        <f aca="false">C59-AP59</f>
        <v>0</v>
      </c>
      <c r="AU59" s="0" t="n">
        <f aca="false">D59-AQ59</f>
        <v>0</v>
      </c>
      <c r="AV59" s="0" t="n">
        <f aca="false">E59-AR59</f>
        <v>20294154.2977921</v>
      </c>
      <c r="AW59" s="0" t="n">
        <f aca="false">Pool!CB59</f>
        <v>39813344.760873</v>
      </c>
      <c r="AX59" s="0" t="n">
        <f aca="false">IF((AT59)&gt;Inputs!$B$19,AW59/(AT59),1000000000)</f>
        <v>1000000000</v>
      </c>
      <c r="AY59" s="0" t="n">
        <f aca="false">IF((J59)&gt;0.000000001,(R59-I59-MAX(-M59,0))/(J59),1000000000)</f>
        <v>1000000000</v>
      </c>
      <c r="AZ59" s="0" t="n">
        <f aca="false">IF(OR(AX59&lt;Inputs!$B$24,AY59&lt;Inputs!$B$25),1,0)</f>
        <v>0</v>
      </c>
      <c r="BA59" s="0" t="n">
        <f aca="false">IF((AT59+AU59)&gt;Inputs!$B$19,AW59/(AT59+AU59),1000000000)</f>
        <v>1000000000</v>
      </c>
      <c r="BB59" s="0" t="n">
        <f aca="false">IF((J59+K59)&gt;0.000000001,(R59-I59-MAX(-M59,0))/(J59+K59),1000000000)</f>
        <v>1000000000</v>
      </c>
      <c r="BC59" s="0" t="n">
        <f aca="false">IF(OR(BA59&lt;Inputs!$B$29,BB59&lt;Inputs!$B$30),1,0)</f>
        <v>0</v>
      </c>
      <c r="BD59" s="0" t="n">
        <f aca="false">IF((AT59+AU59+AV59)&gt;Inputs!$B$19,AW59/(AT59+AU59+AV59),1000000000)</f>
        <v>1.96181344522469</v>
      </c>
      <c r="BE59" s="0" t="n">
        <f aca="false">IF((J59+K59+L59)&gt;0.000000001,(R59-I59-MAX(-M59,0))/(J59+K59+L59),1000000000)</f>
        <v>2.33282788811439</v>
      </c>
      <c r="BF59" s="0" t="n">
        <f aca="false">IF(OR(BD59&lt;Inputs!$B$34,BE59&lt;Inputs!$B$35),1,0)</f>
        <v>0</v>
      </c>
      <c r="BG59" s="0" t="n">
        <f aca="false">MAX(AZ59,BC59,BF59)</f>
        <v>0</v>
      </c>
      <c r="BH59" s="0" t="n">
        <f aca="false">MIN(R59,N59)</f>
        <v>22155.1160504645</v>
      </c>
      <c r="BI59" s="0" t="n">
        <f aca="false">R59-BH59</f>
        <v>337087.922208543</v>
      </c>
      <c r="BJ59" s="0" t="n">
        <f aca="false">MIN(BI59,O59)</f>
        <v>0</v>
      </c>
      <c r="BK59" s="0" t="n">
        <f aca="false">BI59-BJ59</f>
        <v>337087.922208543</v>
      </c>
      <c r="BL59" s="0" t="n">
        <f aca="false">AZ59*MIN(AT59,BK59)</f>
        <v>0</v>
      </c>
      <c r="BM59" s="0" t="n">
        <f aca="false">AZ59*MIN(AU59,BK59-BL59)</f>
        <v>0</v>
      </c>
      <c r="BN59" s="0" t="n">
        <f aca="false">AZ59*MIN(AV59,BK59-BL59-BM59)</f>
        <v>0</v>
      </c>
      <c r="BO59" s="0" t="n">
        <f aca="false">BK59-BL59-BM59-BN59</f>
        <v>337087.922208543</v>
      </c>
      <c r="BP59" s="0" t="n">
        <f aca="false">MIN(BO59,P59)</f>
        <v>0</v>
      </c>
      <c r="BQ59" s="0" t="n">
        <f aca="false">BO59-BP59</f>
        <v>337087.922208543</v>
      </c>
      <c r="BR59" s="0" t="n">
        <f aca="false">BC59*MIN((AT59-BL59),BQ59)</f>
        <v>0</v>
      </c>
      <c r="BS59" s="0" t="n">
        <f aca="false">BC59*MIN((AU59-BM59),BQ59-BR59)</f>
        <v>0</v>
      </c>
      <c r="BT59" s="0" t="n">
        <f aca="false">BC59*MIN((AV59-BN59),BQ59-BR59-BS59)</f>
        <v>0</v>
      </c>
      <c r="BU59" s="0" t="n">
        <f aca="false">BQ59-BR59-BS59-BT59</f>
        <v>337087.922208543</v>
      </c>
      <c r="BV59" s="0" t="n">
        <f aca="false">MIN(BU59,Q59)</f>
        <v>144497.553345442</v>
      </c>
      <c r="BW59" s="0" t="n">
        <f aca="false">BU59-BV59</f>
        <v>192590.368863101</v>
      </c>
      <c r="BX59" s="0" t="n">
        <f aca="false">BF59*MIN((AT59-BL59-BR59),BW59)</f>
        <v>0</v>
      </c>
      <c r="BY59" s="0" t="n">
        <f aca="false">BF59*MIN((AU59-BM59-BS59),BW59-BX59)</f>
        <v>0</v>
      </c>
      <c r="BZ59" s="0" t="n">
        <f aca="false">BF59*MIN((AV59-BN59-BT59),BW59-BX59-BY59)</f>
        <v>0</v>
      </c>
      <c r="CA59" s="0" t="n">
        <f aca="false">BW59-BX59-BY59-BZ59</f>
        <v>192590.368863101</v>
      </c>
      <c r="CB59" s="0" t="n">
        <f aca="false">MAX(0,AT59+AU59+AV59-BL59-BM59-BN59-BR59-BS59-BT59-BX59-BY59-BZ59-AW59)</f>
        <v>0</v>
      </c>
      <c r="CC59" s="0" t="n">
        <f aca="false">1*MIN((AT59-BL59-BR59-BX59),MIN(CA59,CB59))</f>
        <v>0</v>
      </c>
      <c r="CD59" s="0" t="n">
        <f aca="false">1*MIN((AU59-BM59-BS59-BY59),MIN(CA59,CB59)-CC59)</f>
        <v>0</v>
      </c>
      <c r="CE59" s="0" t="n">
        <f aca="false">1*MIN((AV59-BN59-BT59-BZ59),MIN(CA59,CB59)-CC59-CD59)</f>
        <v>0</v>
      </c>
      <c r="CF59" s="0" t="n">
        <f aca="false">CA59-CC59-CD59-CE59</f>
        <v>192590.368863101</v>
      </c>
      <c r="CG59" s="0" t="n">
        <f aca="false">IF(C59+D59+E59&gt;Inputs!$B$19,MIN(CF59,MAX(0,Inputs!$B$15-DO58)),0)</f>
        <v>0</v>
      </c>
      <c r="CH59" s="0" t="n">
        <f aca="false">CF59-CG59</f>
        <v>192590.368863101</v>
      </c>
      <c r="CI59" s="0" t="n">
        <f aca="false">DO58+CG59</f>
        <v>3000000</v>
      </c>
      <c r="CJ59" s="0" t="n">
        <f aca="false">MIN(MAX(N59-BH59,0),CI59)</f>
        <v>0</v>
      </c>
      <c r="CK59" s="0" t="n">
        <f aca="false">MIN(MAX(O59-BJ59,0),CI59-CJ59)</f>
        <v>0</v>
      </c>
      <c r="CL59" s="0" t="n">
        <f aca="false">MIN(MAX(P59-BP59,0),CI59-CJ59-CK59)</f>
        <v>0</v>
      </c>
      <c r="CM59" s="0" t="n">
        <f aca="false">CJ59+CK59+CL59</f>
        <v>0</v>
      </c>
      <c r="CN59" s="0" t="n">
        <f aca="false">CI59-CM59</f>
        <v>3000000</v>
      </c>
      <c r="CO59" s="0" t="n">
        <f aca="false">BH59+CJ59</f>
        <v>22155.1160504645</v>
      </c>
      <c r="CP59" s="0" t="n">
        <f aca="false">BJ59+CK59</f>
        <v>0</v>
      </c>
      <c r="CQ59" s="0" t="n">
        <f aca="false">BP59+CL59</f>
        <v>0</v>
      </c>
      <c r="CR59" s="0" t="n">
        <f aca="false">BV59</f>
        <v>144497.553345442</v>
      </c>
      <c r="CS59" s="0" t="n">
        <f aca="false">AT59-BL59-BR59-BX59-CC59</f>
        <v>0</v>
      </c>
      <c r="CT59" s="0" t="n">
        <f aca="false">AU59-BM59-BS59-BY59-CD59</f>
        <v>0</v>
      </c>
      <c r="CU59" s="0" t="n">
        <f aca="false">AV59-BN59-BT59-BZ59-CE59</f>
        <v>20294154.2977921</v>
      </c>
      <c r="CV59" s="0" t="n">
        <f aca="false">MAX(0,CS59+CT59+CU59-AW59)</f>
        <v>0</v>
      </c>
      <c r="CW59" s="0" t="n">
        <f aca="false">MIN(CU59,CV59)</f>
        <v>0</v>
      </c>
      <c r="CX59" s="0" t="n">
        <f aca="false">MIN(CT59,CV59-CW59)</f>
        <v>0</v>
      </c>
      <c r="CY59" s="0" t="n">
        <f aca="false">MIN(CS59,CV59-CW59-CX59)</f>
        <v>0</v>
      </c>
      <c r="CZ59" s="0" t="n">
        <f aca="false">IF(CS59-CY59&lt;Inputs!$B$19,0,CS59-CY59)</f>
        <v>0</v>
      </c>
      <c r="DA59" s="0" t="n">
        <f aca="false">IF(CT59-CX59&lt;Inputs!$B$19,0,CT59-CX59)</f>
        <v>0</v>
      </c>
      <c r="DB59" s="0" t="n">
        <f aca="false">IF(CU59-CW59&lt;Inputs!$B$19,0,CU59-CW59)</f>
        <v>20294154.2977921</v>
      </c>
      <c r="DC59" s="0" t="n">
        <f aca="false">N59-CO59</f>
        <v>0</v>
      </c>
      <c r="DD59" s="0" t="n">
        <f aca="false">O59-CP59</f>
        <v>0</v>
      </c>
      <c r="DE59" s="0" t="n">
        <f aca="false">P59-CQ59</f>
        <v>0</v>
      </c>
      <c r="DF59" s="0" t="n">
        <f aca="false">Q59-CR59</f>
        <v>0</v>
      </c>
      <c r="DG59" s="0" t="n">
        <f aca="false">IF(CZ59+DA59+DB59&lt;=Inputs!$B$19,1,0)</f>
        <v>0</v>
      </c>
      <c r="DH59" s="0" t="n">
        <f aca="false">DG59*CN59</f>
        <v>0</v>
      </c>
      <c r="DI59" s="0" t="n">
        <f aca="false">DG59*(AS59+DH59)</f>
        <v>0</v>
      </c>
      <c r="DJ59" s="0" t="n">
        <f aca="false">DG59*MIN(DC59,DI59)</f>
        <v>0</v>
      </c>
      <c r="DK59" s="0" t="n">
        <f aca="false">DG59*MIN(DD59,DI59-DJ59)</f>
        <v>0</v>
      </c>
      <c r="DL59" s="0" t="n">
        <f aca="false">DG59*MIN(DE59,DI59-DJ59-DK59)</f>
        <v>0</v>
      </c>
      <c r="DM59" s="0" t="n">
        <f aca="false">DG59*MIN(DF59,DI59-DJ59-DK59-DL59)</f>
        <v>0</v>
      </c>
      <c r="DN59" s="0" t="n">
        <f aca="false">DJ59+DK59+DL59+DM59</f>
        <v>0</v>
      </c>
      <c r="DO59" s="0" t="n">
        <f aca="false">CN59-DH59</f>
        <v>3000000</v>
      </c>
      <c r="DP59" s="0" t="n">
        <f aca="false">DC59-DJ59</f>
        <v>0</v>
      </c>
      <c r="DQ59" s="0" t="n">
        <f aca="false">DD59-DK59</f>
        <v>0</v>
      </c>
      <c r="DR59" s="0" t="n">
        <f aca="false">DE59-DL59</f>
        <v>0</v>
      </c>
      <c r="DS59" s="0" t="n">
        <f aca="false">DF59-DM59</f>
        <v>0</v>
      </c>
      <c r="DT59" s="0" t="n">
        <f aca="false">CO59+DJ59</f>
        <v>22155.1160504645</v>
      </c>
      <c r="DU59" s="0" t="n">
        <f aca="false">CP59+DK59</f>
        <v>0</v>
      </c>
      <c r="DV59" s="0" t="n">
        <f aca="false">AP59+BL59+BR59+BX59+CC59</f>
        <v>0</v>
      </c>
      <c r="DW59" s="0" t="n">
        <f aca="false">CQ59+DL59</f>
        <v>0</v>
      </c>
      <c r="DX59" s="0" t="n">
        <f aca="false">AQ59+BM59+BS59+BY59+CD59</f>
        <v>0</v>
      </c>
      <c r="DY59" s="0" t="n">
        <f aca="false">CR59+DM59</f>
        <v>144497.553345442</v>
      </c>
      <c r="DZ59" s="0" t="n">
        <f aca="false">AR59+BN59+BT59+BZ59+CE59</f>
        <v>2825454.23747854</v>
      </c>
      <c r="EA59" s="0" t="n">
        <f aca="false">DI59-DN59</f>
        <v>0</v>
      </c>
      <c r="EB59" s="0" t="n">
        <f aca="false">CH59+EA59</f>
        <v>192590.368863101</v>
      </c>
      <c r="EC59" s="0" t="n">
        <f aca="false">R59-I59-MAX(-M59,0)-J59-K59-L59</f>
        <v>192590.368863101</v>
      </c>
      <c r="ED59" s="0" t="n">
        <f aca="false">R59+S59+CM59+DH59-CG59-DT59-DU59-DW59-DY59-DV59-DX59-DZ59-EB59</f>
        <v>0</v>
      </c>
      <c r="EE59" s="0" t="n">
        <f aca="false">IF(AND(EB59&gt;0.000001,DP59+DQ59+DR59+DS59&gt;0.000001),1,0)</f>
        <v>0</v>
      </c>
    </row>
    <row r="60" customFormat="false" ht="15" hidden="false" customHeight="false" outlineLevel="0" collapsed="false">
      <c r="A60" s="0" t="n">
        <f aca="false">ROW()-5</f>
        <v>55</v>
      </c>
      <c r="B60" s="0" t="n">
        <f aca="false">Inputs!$B$11+(Inputs!$B$12-Inputs!$B$11)*(1-EXP(-A60/Inputs!$B$13))+Inputs!$B$8</f>
        <v>0.0335615271623658</v>
      </c>
      <c r="C60" s="0" t="n">
        <f aca="false">CZ59</f>
        <v>0</v>
      </c>
      <c r="D60" s="0" t="n">
        <f aca="false">DA59</f>
        <v>0</v>
      </c>
      <c r="E60" s="0" t="n">
        <f aca="false">DB59</f>
        <v>20294154.2977921</v>
      </c>
      <c r="F60" s="0" t="n">
        <f aca="false">IF(Inputs!$B$22=1,B60+Inputs!$B$23,Inputs!$B$23)/12</f>
        <v>0.00371346059686382</v>
      </c>
      <c r="G60" s="0" t="n">
        <f aca="false">IF(Inputs!$B$27=1,B60+Inputs!$B$28,Inputs!$B$28)/12</f>
        <v>0.00467179393019715</v>
      </c>
      <c r="H60" s="0" t="n">
        <f aca="false">IF(Inputs!$B$32=1,B60+Inputs!$B$33,Inputs!$B$33)/12</f>
        <v>0.00625</v>
      </c>
      <c r="I60" s="0" t="n">
        <f aca="false">Pool!BT60*Inputs!$B$14/12</f>
        <v>20664.6768157969</v>
      </c>
      <c r="J60" s="0" t="n">
        <f aca="false">C60*F60</f>
        <v>0</v>
      </c>
      <c r="K60" s="0" t="n">
        <f aca="false">D60*G60</f>
        <v>0</v>
      </c>
      <c r="L60" s="0" t="n">
        <f aca="false">E60*H60</f>
        <v>126838.464361201</v>
      </c>
      <c r="M60" s="0" t="n">
        <f aca="false">Inputs!$B$17*(C60*Inputs!$B$22+D60*Inputs!$B$27+E60*Inputs!$B$32)*(B60-Inputs!$B$18)/12</f>
        <v>-0</v>
      </c>
      <c r="N60" s="0" t="n">
        <f aca="false">DP59+I60+MAX(-M60,0)</f>
        <v>20664.6768157969</v>
      </c>
      <c r="O60" s="0" t="n">
        <f aca="false">DQ59+J60</f>
        <v>0</v>
      </c>
      <c r="P60" s="0" t="n">
        <f aca="false">DR59+K60</f>
        <v>0</v>
      </c>
      <c r="Q60" s="0" t="n">
        <f aca="false">DS59+L60</f>
        <v>126838.464361201</v>
      </c>
      <c r="R60" s="0" t="n">
        <f aca="false">Pool!BV60+MAX(M60,0)</f>
        <v>336042.022082143</v>
      </c>
      <c r="S60" s="0" t="n">
        <f aca="false">Pool!BW60+Pool!BX60+Pool!BZ60</f>
        <v>2786289.88579974</v>
      </c>
      <c r="T60" s="0" t="n">
        <f aca="false">MAX(T59,BG59)</f>
        <v>1</v>
      </c>
      <c r="U60" s="0" t="n">
        <f aca="false">MIN(C60,S60)</f>
        <v>0</v>
      </c>
      <c r="V60" s="0" t="n">
        <f aca="false">MIN(D60,S60-U60)</f>
        <v>0</v>
      </c>
      <c r="W60" s="0" t="n">
        <f aca="false">MIN(E60,S60-U60-V60)</f>
        <v>2786289.88579974</v>
      </c>
      <c r="X60" s="0" t="n">
        <f aca="false">IF(C60-(0)&gt;Inputs!$B$19,1,0)</f>
        <v>0</v>
      </c>
      <c r="Y60" s="0" t="n">
        <f aca="false">IF(D60-(0)&gt;Inputs!$B$19,1,0)</f>
        <v>0</v>
      </c>
      <c r="Z60" s="0" t="n">
        <f aca="false">IF(E60-(0)&gt;Inputs!$B$19,1,0)</f>
        <v>1</v>
      </c>
      <c r="AA60" s="0" t="n">
        <f aca="false">IF((X60*C60+Y60*D60+Z60*E60)&gt;0,MIN(C60-(0),S60*X60*C60/(X60*C60+Y60*D60+Z60*E60)),0)</f>
        <v>0</v>
      </c>
      <c r="AB60" s="0" t="n">
        <f aca="false">IF((X60*C60+Y60*D60+Z60*E60)&gt;0,MIN(D60-(0),S60*Y60*D60/(X60*C60+Y60*D60+Z60*E60)),0)</f>
        <v>0</v>
      </c>
      <c r="AC60" s="0" t="n">
        <f aca="false">IF((X60*C60+Y60*D60+Z60*E60)&gt;0,MIN(E60-(0),S60*Z60*E60/(X60*C60+Y60*D60+Z60*E60)),0)</f>
        <v>2786289.88579974</v>
      </c>
      <c r="AD60" s="0" t="n">
        <f aca="false">IF(C60-(AA60)&gt;Inputs!$B$19,1,0)</f>
        <v>0</v>
      </c>
      <c r="AE60" s="0" t="n">
        <f aca="false">IF(D60-(AB60)&gt;Inputs!$B$19,1,0)</f>
        <v>0</v>
      </c>
      <c r="AF60" s="0" t="n">
        <f aca="false">IF(E60-(AC60)&gt;Inputs!$B$19,1,0)</f>
        <v>1</v>
      </c>
      <c r="AG60" s="0" t="n">
        <f aca="false">IF((AD60*C60+AE60*D60+AF60*E60)&gt;0,MIN(C60-(AA60),(S60-(AA60+AB60+AC60))*AD60*C60/(AD60*C60+AE60*D60+AF60*E60)),0)</f>
        <v>0</v>
      </c>
      <c r="AH60" s="0" t="n">
        <f aca="false">IF((AD60*C60+AE60*D60+AF60*E60)&gt;0,MIN(D60-(AB60),(S60-(AA60+AB60+AC60))*AE60*D60/(AD60*C60+AE60*D60+AF60*E60)),0)</f>
        <v>0</v>
      </c>
      <c r="AI60" s="0" t="n">
        <f aca="false">IF((AD60*C60+AE60*D60+AF60*E60)&gt;0,MIN(E60-(AC60),(S60-(AA60+AB60+AC60))*AF60*E60/(AD60*C60+AE60*D60+AF60*E60)),0)</f>
        <v>0</v>
      </c>
      <c r="AJ60" s="0" t="n">
        <f aca="false">IF(C60-(AA60+AG60)&gt;Inputs!$B$19,1,0)</f>
        <v>0</v>
      </c>
      <c r="AK60" s="0" t="n">
        <f aca="false">IF(D60-(AB60+AH60)&gt;Inputs!$B$19,1,0)</f>
        <v>0</v>
      </c>
      <c r="AL60" s="0" t="n">
        <f aca="false">IF(E60-(AC60+AI60)&gt;Inputs!$B$19,1,0)</f>
        <v>1</v>
      </c>
      <c r="AM60" s="0" t="n">
        <f aca="false">IF((AJ60*C60+AK60*D60+AL60*E60)&gt;0,MIN(C60-(AA60+AG60),(S60-(AA60+AB60+AC60+AG60+AH60+AI60))*AJ60*C60/(AJ60*C60+AK60*D60+AL60*E60)),0)</f>
        <v>0</v>
      </c>
      <c r="AN60" s="0" t="n">
        <f aca="false">IF((AJ60*C60+AK60*D60+AL60*E60)&gt;0,MIN(D60-(AB60+AH60),(S60-(AA60+AB60+AC60+AG60+AH60+AI60))*AK60*D60/(AJ60*C60+AK60*D60+AL60*E60)),0)</f>
        <v>0</v>
      </c>
      <c r="AO60" s="0" t="n">
        <f aca="false">IF((AJ60*C60+AK60*D60+AL60*E60)&gt;0,MIN(E60-(AC60+AI60),(S60-(AA60+AB60+AC60+AG60+AH60+AI60))*AL60*E60/(AJ60*C60+AK60*D60+AL60*E60)),0)</f>
        <v>0</v>
      </c>
      <c r="AP60" s="0" t="n">
        <f aca="false">IF(T60=1,U60,AA60+AG60+AM60)</f>
        <v>0</v>
      </c>
      <c r="AQ60" s="0" t="n">
        <f aca="false">IF(T60=1,V60,AB60+AH60+AN60)</f>
        <v>0</v>
      </c>
      <c r="AR60" s="0" t="n">
        <f aca="false">IF(T60=1,W60,AC60+AI60+AO60)</f>
        <v>2786289.88579974</v>
      </c>
      <c r="AS60" s="0" t="n">
        <f aca="false">S60-AP60-AQ60-AR60</f>
        <v>0</v>
      </c>
      <c r="AT60" s="0" t="n">
        <f aca="false">C60-AP60</f>
        <v>0</v>
      </c>
      <c r="AU60" s="0" t="n">
        <f aca="false">D60-AQ60</f>
        <v>0</v>
      </c>
      <c r="AV60" s="0" t="n">
        <f aca="false">E60-AR60</f>
        <v>17507864.4119924</v>
      </c>
      <c r="AW60" s="0" t="n">
        <f aca="false">Pool!CB60</f>
        <v>36987141.7624506</v>
      </c>
      <c r="AX60" s="0" t="n">
        <f aca="false">IF((AT60)&gt;Inputs!$B$19,AW60/(AT60),1000000000)</f>
        <v>1000000000</v>
      </c>
      <c r="AY60" s="0" t="n">
        <f aca="false">IF((J60)&gt;0.000000001,(R60-I60-MAX(-M60,0))/(J60),1000000000)</f>
        <v>1000000000</v>
      </c>
      <c r="AZ60" s="0" t="n">
        <f aca="false">IF(OR(AX60&lt;Inputs!$B$24,AY60&lt;Inputs!$B$25),1,0)</f>
        <v>0</v>
      </c>
      <c r="BA60" s="0" t="n">
        <f aca="false">IF((AT60+AU60)&gt;Inputs!$B$19,AW60/(AT60+AU60),1000000000)</f>
        <v>1000000000</v>
      </c>
      <c r="BB60" s="0" t="n">
        <f aca="false">IF((J60+K60)&gt;0.000000001,(R60-I60-MAX(-M60,0))/(J60+K60),1000000000)</f>
        <v>1000000000</v>
      </c>
      <c r="BC60" s="0" t="n">
        <f aca="false">IF(OR(BA60&lt;Inputs!$B$29,BB60&lt;Inputs!$B$30),1,0)</f>
        <v>0</v>
      </c>
      <c r="BD60" s="0" t="n">
        <f aca="false">IF((AT60+AU60+AV60)&gt;Inputs!$B$19,AW60/(AT60+AU60+AV60),1000000000)</f>
        <v>2.11260156533515</v>
      </c>
      <c r="BE60" s="0" t="n">
        <f aca="false">IF((J60+K60+L60)&gt;0.000000001,(R60-I60-MAX(-M60,0))/(J60+K60+L60),1000000000)</f>
        <v>2.48644878235233</v>
      </c>
      <c r="BF60" s="0" t="n">
        <f aca="false">IF(OR(BD60&lt;Inputs!$B$34,BE60&lt;Inputs!$B$35),1,0)</f>
        <v>0</v>
      </c>
      <c r="BG60" s="0" t="n">
        <f aca="false">MAX(AZ60,BC60,BF60)</f>
        <v>0</v>
      </c>
      <c r="BH60" s="0" t="n">
        <f aca="false">MIN(R60,N60)</f>
        <v>20664.6768157969</v>
      </c>
      <c r="BI60" s="0" t="n">
        <f aca="false">R60-BH60</f>
        <v>315377.345266346</v>
      </c>
      <c r="BJ60" s="0" t="n">
        <f aca="false">MIN(BI60,O60)</f>
        <v>0</v>
      </c>
      <c r="BK60" s="0" t="n">
        <f aca="false">BI60-BJ60</f>
        <v>315377.345266346</v>
      </c>
      <c r="BL60" s="0" t="n">
        <f aca="false">AZ60*MIN(AT60,BK60)</f>
        <v>0</v>
      </c>
      <c r="BM60" s="0" t="n">
        <f aca="false">AZ60*MIN(AU60,BK60-BL60)</f>
        <v>0</v>
      </c>
      <c r="BN60" s="0" t="n">
        <f aca="false">AZ60*MIN(AV60,BK60-BL60-BM60)</f>
        <v>0</v>
      </c>
      <c r="BO60" s="0" t="n">
        <f aca="false">BK60-BL60-BM60-BN60</f>
        <v>315377.345266346</v>
      </c>
      <c r="BP60" s="0" t="n">
        <f aca="false">MIN(BO60,P60)</f>
        <v>0</v>
      </c>
      <c r="BQ60" s="0" t="n">
        <f aca="false">BO60-BP60</f>
        <v>315377.345266346</v>
      </c>
      <c r="BR60" s="0" t="n">
        <f aca="false">BC60*MIN((AT60-BL60),BQ60)</f>
        <v>0</v>
      </c>
      <c r="BS60" s="0" t="n">
        <f aca="false">BC60*MIN((AU60-BM60),BQ60-BR60)</f>
        <v>0</v>
      </c>
      <c r="BT60" s="0" t="n">
        <f aca="false">BC60*MIN((AV60-BN60),BQ60-BR60-BS60)</f>
        <v>0</v>
      </c>
      <c r="BU60" s="0" t="n">
        <f aca="false">BQ60-BR60-BS60-BT60</f>
        <v>315377.345266346</v>
      </c>
      <c r="BV60" s="0" t="n">
        <f aca="false">MIN(BU60,Q60)</f>
        <v>126838.464361201</v>
      </c>
      <c r="BW60" s="0" t="n">
        <f aca="false">BU60-BV60</f>
        <v>188538.880905146</v>
      </c>
      <c r="BX60" s="0" t="n">
        <f aca="false">BF60*MIN((AT60-BL60-BR60),BW60)</f>
        <v>0</v>
      </c>
      <c r="BY60" s="0" t="n">
        <f aca="false">BF60*MIN((AU60-BM60-BS60),BW60-BX60)</f>
        <v>0</v>
      </c>
      <c r="BZ60" s="0" t="n">
        <f aca="false">BF60*MIN((AV60-BN60-BT60),BW60-BX60-BY60)</f>
        <v>0</v>
      </c>
      <c r="CA60" s="0" t="n">
        <f aca="false">BW60-BX60-BY60-BZ60</f>
        <v>188538.880905146</v>
      </c>
      <c r="CB60" s="0" t="n">
        <f aca="false">MAX(0,AT60+AU60+AV60-BL60-BM60-BN60-BR60-BS60-BT60-BX60-BY60-BZ60-AW60)</f>
        <v>0</v>
      </c>
      <c r="CC60" s="0" t="n">
        <f aca="false">1*MIN((AT60-BL60-BR60-BX60),MIN(CA60,CB60))</f>
        <v>0</v>
      </c>
      <c r="CD60" s="0" t="n">
        <f aca="false">1*MIN((AU60-BM60-BS60-BY60),MIN(CA60,CB60)-CC60)</f>
        <v>0</v>
      </c>
      <c r="CE60" s="0" t="n">
        <f aca="false">1*MIN((AV60-BN60-BT60-BZ60),MIN(CA60,CB60)-CC60-CD60)</f>
        <v>0</v>
      </c>
      <c r="CF60" s="0" t="n">
        <f aca="false">CA60-CC60-CD60-CE60</f>
        <v>188538.880905146</v>
      </c>
      <c r="CG60" s="0" t="n">
        <f aca="false">IF(C60+D60+E60&gt;Inputs!$B$19,MIN(CF60,MAX(0,Inputs!$B$15-DO59)),0)</f>
        <v>0</v>
      </c>
      <c r="CH60" s="0" t="n">
        <f aca="false">CF60-CG60</f>
        <v>188538.880905146</v>
      </c>
      <c r="CI60" s="0" t="n">
        <f aca="false">DO59+CG60</f>
        <v>3000000</v>
      </c>
      <c r="CJ60" s="0" t="n">
        <f aca="false">MIN(MAX(N60-BH60,0),CI60)</f>
        <v>0</v>
      </c>
      <c r="CK60" s="0" t="n">
        <f aca="false">MIN(MAX(O60-BJ60,0),CI60-CJ60)</f>
        <v>0</v>
      </c>
      <c r="CL60" s="0" t="n">
        <f aca="false">MIN(MAX(P60-BP60,0),CI60-CJ60-CK60)</f>
        <v>0</v>
      </c>
      <c r="CM60" s="0" t="n">
        <f aca="false">CJ60+CK60+CL60</f>
        <v>0</v>
      </c>
      <c r="CN60" s="0" t="n">
        <f aca="false">CI60-CM60</f>
        <v>3000000</v>
      </c>
      <c r="CO60" s="0" t="n">
        <f aca="false">BH60+CJ60</f>
        <v>20664.6768157969</v>
      </c>
      <c r="CP60" s="0" t="n">
        <f aca="false">BJ60+CK60</f>
        <v>0</v>
      </c>
      <c r="CQ60" s="0" t="n">
        <f aca="false">BP60+CL60</f>
        <v>0</v>
      </c>
      <c r="CR60" s="0" t="n">
        <f aca="false">BV60</f>
        <v>126838.464361201</v>
      </c>
      <c r="CS60" s="0" t="n">
        <f aca="false">AT60-BL60-BR60-BX60-CC60</f>
        <v>0</v>
      </c>
      <c r="CT60" s="0" t="n">
        <f aca="false">AU60-BM60-BS60-BY60-CD60</f>
        <v>0</v>
      </c>
      <c r="CU60" s="0" t="n">
        <f aca="false">AV60-BN60-BT60-BZ60-CE60</f>
        <v>17507864.4119924</v>
      </c>
      <c r="CV60" s="0" t="n">
        <f aca="false">MAX(0,CS60+CT60+CU60-AW60)</f>
        <v>0</v>
      </c>
      <c r="CW60" s="0" t="n">
        <f aca="false">MIN(CU60,CV60)</f>
        <v>0</v>
      </c>
      <c r="CX60" s="0" t="n">
        <f aca="false">MIN(CT60,CV60-CW60)</f>
        <v>0</v>
      </c>
      <c r="CY60" s="0" t="n">
        <f aca="false">MIN(CS60,CV60-CW60-CX60)</f>
        <v>0</v>
      </c>
      <c r="CZ60" s="0" t="n">
        <f aca="false">IF(CS60-CY60&lt;Inputs!$B$19,0,CS60-CY60)</f>
        <v>0</v>
      </c>
      <c r="DA60" s="0" t="n">
        <f aca="false">IF(CT60-CX60&lt;Inputs!$B$19,0,CT60-CX60)</f>
        <v>0</v>
      </c>
      <c r="DB60" s="0" t="n">
        <f aca="false">IF(CU60-CW60&lt;Inputs!$B$19,0,CU60-CW60)</f>
        <v>17507864.4119924</v>
      </c>
      <c r="DC60" s="0" t="n">
        <f aca="false">N60-CO60</f>
        <v>0</v>
      </c>
      <c r="DD60" s="0" t="n">
        <f aca="false">O60-CP60</f>
        <v>0</v>
      </c>
      <c r="DE60" s="0" t="n">
        <f aca="false">P60-CQ60</f>
        <v>0</v>
      </c>
      <c r="DF60" s="0" t="n">
        <f aca="false">Q60-CR60</f>
        <v>0</v>
      </c>
      <c r="DG60" s="0" t="n">
        <f aca="false">IF(CZ60+DA60+DB60&lt;=Inputs!$B$19,1,0)</f>
        <v>0</v>
      </c>
      <c r="DH60" s="0" t="n">
        <f aca="false">DG60*CN60</f>
        <v>0</v>
      </c>
      <c r="DI60" s="0" t="n">
        <f aca="false">DG60*(AS60+DH60)</f>
        <v>0</v>
      </c>
      <c r="DJ60" s="0" t="n">
        <f aca="false">DG60*MIN(DC60,DI60)</f>
        <v>0</v>
      </c>
      <c r="DK60" s="0" t="n">
        <f aca="false">DG60*MIN(DD60,DI60-DJ60)</f>
        <v>0</v>
      </c>
      <c r="DL60" s="0" t="n">
        <f aca="false">DG60*MIN(DE60,DI60-DJ60-DK60)</f>
        <v>0</v>
      </c>
      <c r="DM60" s="0" t="n">
        <f aca="false">DG60*MIN(DF60,DI60-DJ60-DK60-DL60)</f>
        <v>0</v>
      </c>
      <c r="DN60" s="0" t="n">
        <f aca="false">DJ60+DK60+DL60+DM60</f>
        <v>0</v>
      </c>
      <c r="DO60" s="0" t="n">
        <f aca="false">CN60-DH60</f>
        <v>3000000</v>
      </c>
      <c r="DP60" s="0" t="n">
        <f aca="false">DC60-DJ60</f>
        <v>0</v>
      </c>
      <c r="DQ60" s="0" t="n">
        <f aca="false">DD60-DK60</f>
        <v>0</v>
      </c>
      <c r="DR60" s="0" t="n">
        <f aca="false">DE60-DL60</f>
        <v>0</v>
      </c>
      <c r="DS60" s="0" t="n">
        <f aca="false">DF60-DM60</f>
        <v>0</v>
      </c>
      <c r="DT60" s="0" t="n">
        <f aca="false">CO60+DJ60</f>
        <v>20664.6768157969</v>
      </c>
      <c r="DU60" s="0" t="n">
        <f aca="false">CP60+DK60</f>
        <v>0</v>
      </c>
      <c r="DV60" s="0" t="n">
        <f aca="false">AP60+BL60+BR60+BX60+CC60</f>
        <v>0</v>
      </c>
      <c r="DW60" s="0" t="n">
        <f aca="false">CQ60+DL60</f>
        <v>0</v>
      </c>
      <c r="DX60" s="0" t="n">
        <f aca="false">AQ60+BM60+BS60+BY60+CD60</f>
        <v>0</v>
      </c>
      <c r="DY60" s="0" t="n">
        <f aca="false">CR60+DM60</f>
        <v>126838.464361201</v>
      </c>
      <c r="DZ60" s="0" t="n">
        <f aca="false">AR60+BN60+BT60+BZ60+CE60</f>
        <v>2786289.88579974</v>
      </c>
      <c r="EA60" s="0" t="n">
        <f aca="false">DI60-DN60</f>
        <v>0</v>
      </c>
      <c r="EB60" s="0" t="n">
        <f aca="false">CH60+EA60</f>
        <v>188538.880905146</v>
      </c>
      <c r="EC60" s="0" t="n">
        <f aca="false">R60-I60-MAX(-M60,0)-J60-K60-L60</f>
        <v>188538.880905146</v>
      </c>
      <c r="ED60" s="0" t="n">
        <f aca="false">R60+S60+CM60+DH60-CG60-DT60-DU60-DW60-DY60-DV60-DX60-DZ60-EB60</f>
        <v>0</v>
      </c>
      <c r="EE60" s="0" t="n">
        <f aca="false">IF(AND(EB60&gt;0.000001,DP60+DQ60+DR60+DS60&gt;0.000001),1,0)</f>
        <v>0</v>
      </c>
    </row>
    <row r="61" customFormat="false" ht="15" hidden="false" customHeight="false" outlineLevel="0" collapsed="false">
      <c r="A61" s="0" t="n">
        <f aca="false">ROW()-5</f>
        <v>56</v>
      </c>
      <c r="B61" s="0" t="n">
        <f aca="false">Inputs!$B$11+(Inputs!$B$12-Inputs!$B$11)*(1-EXP(-A61/Inputs!$B$13))+Inputs!$B$8</f>
        <v>0.0335182056625763</v>
      </c>
      <c r="C61" s="0" t="n">
        <f aca="false">CZ60</f>
        <v>0</v>
      </c>
      <c r="D61" s="0" t="n">
        <f aca="false">DA60</f>
        <v>0</v>
      </c>
      <c r="E61" s="0" t="n">
        <f aca="false">DB60</f>
        <v>17507864.4119924</v>
      </c>
      <c r="F61" s="0" t="n">
        <f aca="false">IF(Inputs!$B$22=1,B61+Inputs!$B$23,Inputs!$B$23)/12</f>
        <v>0.00370985047188135</v>
      </c>
      <c r="G61" s="0" t="n">
        <f aca="false">IF(Inputs!$B$27=1,B61+Inputs!$B$28,Inputs!$B$28)/12</f>
        <v>0.00466818380521469</v>
      </c>
      <c r="H61" s="0" t="n">
        <f aca="false">IF(Inputs!$B$32=1,B61+Inputs!$B$33,Inputs!$B$33)/12</f>
        <v>0.00625</v>
      </c>
      <c r="I61" s="0" t="n">
        <f aca="false">Pool!BT61*Inputs!$B$14/12</f>
        <v>19195.0096418017</v>
      </c>
      <c r="J61" s="0" t="n">
        <f aca="false">C61*F61</f>
        <v>0</v>
      </c>
      <c r="K61" s="0" t="n">
        <f aca="false">D61*G61</f>
        <v>0</v>
      </c>
      <c r="L61" s="0" t="n">
        <f aca="false">E61*H61</f>
        <v>109424.152574952</v>
      </c>
      <c r="M61" s="0" t="n">
        <f aca="false">Inputs!$B$17*(C61*Inputs!$B$22+D61*Inputs!$B$27+E61*Inputs!$B$32)*(B61-Inputs!$B$18)/12</f>
        <v>-0</v>
      </c>
      <c r="N61" s="0" t="n">
        <f aca="false">DP60+I61+MAX(-M61,0)</f>
        <v>19195.0096418017</v>
      </c>
      <c r="O61" s="0" t="n">
        <f aca="false">DQ60+J61</f>
        <v>0</v>
      </c>
      <c r="P61" s="0" t="n">
        <f aca="false">DR60+K61</f>
        <v>0</v>
      </c>
      <c r="Q61" s="0" t="n">
        <f aca="false">DS60+L61</f>
        <v>109424.152574952</v>
      </c>
      <c r="R61" s="0" t="n">
        <f aca="false">Pool!BV61+MAX(M61,0)</f>
        <v>313162.797625886</v>
      </c>
      <c r="S61" s="0" t="n">
        <f aca="false">Pool!BW61+Pool!BX61+Pool!BZ61</f>
        <v>2749661.39865032</v>
      </c>
      <c r="T61" s="0" t="n">
        <f aca="false">MAX(T60,BG60)</f>
        <v>1</v>
      </c>
      <c r="U61" s="0" t="n">
        <f aca="false">MIN(C61,S61)</f>
        <v>0</v>
      </c>
      <c r="V61" s="0" t="n">
        <f aca="false">MIN(D61,S61-U61)</f>
        <v>0</v>
      </c>
      <c r="W61" s="0" t="n">
        <f aca="false">MIN(E61,S61-U61-V61)</f>
        <v>2749661.39865032</v>
      </c>
      <c r="X61" s="0" t="n">
        <f aca="false">IF(C61-(0)&gt;Inputs!$B$19,1,0)</f>
        <v>0</v>
      </c>
      <c r="Y61" s="0" t="n">
        <f aca="false">IF(D61-(0)&gt;Inputs!$B$19,1,0)</f>
        <v>0</v>
      </c>
      <c r="Z61" s="0" t="n">
        <f aca="false">IF(E61-(0)&gt;Inputs!$B$19,1,0)</f>
        <v>1</v>
      </c>
      <c r="AA61" s="0" t="n">
        <f aca="false">IF((X61*C61+Y61*D61+Z61*E61)&gt;0,MIN(C61-(0),S61*X61*C61/(X61*C61+Y61*D61+Z61*E61)),0)</f>
        <v>0</v>
      </c>
      <c r="AB61" s="0" t="n">
        <f aca="false">IF((X61*C61+Y61*D61+Z61*E61)&gt;0,MIN(D61-(0),S61*Y61*D61/(X61*C61+Y61*D61+Z61*E61)),0)</f>
        <v>0</v>
      </c>
      <c r="AC61" s="0" t="n">
        <f aca="false">IF((X61*C61+Y61*D61+Z61*E61)&gt;0,MIN(E61-(0),S61*Z61*E61/(X61*C61+Y61*D61+Z61*E61)),0)</f>
        <v>2749661.39865032</v>
      </c>
      <c r="AD61" s="0" t="n">
        <f aca="false">IF(C61-(AA61)&gt;Inputs!$B$19,1,0)</f>
        <v>0</v>
      </c>
      <c r="AE61" s="0" t="n">
        <f aca="false">IF(D61-(AB61)&gt;Inputs!$B$19,1,0)</f>
        <v>0</v>
      </c>
      <c r="AF61" s="0" t="n">
        <f aca="false">IF(E61-(AC61)&gt;Inputs!$B$19,1,0)</f>
        <v>1</v>
      </c>
      <c r="AG61" s="0" t="n">
        <f aca="false">IF((AD61*C61+AE61*D61+AF61*E61)&gt;0,MIN(C61-(AA61),(S61-(AA61+AB61+AC61))*AD61*C61/(AD61*C61+AE61*D61+AF61*E61)),0)</f>
        <v>0</v>
      </c>
      <c r="AH61" s="0" t="n">
        <f aca="false">IF((AD61*C61+AE61*D61+AF61*E61)&gt;0,MIN(D61-(AB61),(S61-(AA61+AB61+AC61))*AE61*D61/(AD61*C61+AE61*D61+AF61*E61)),0)</f>
        <v>0</v>
      </c>
      <c r="AI61" s="0" t="n">
        <f aca="false">IF((AD61*C61+AE61*D61+AF61*E61)&gt;0,MIN(E61-(AC61),(S61-(AA61+AB61+AC61))*AF61*E61/(AD61*C61+AE61*D61+AF61*E61)),0)</f>
        <v>0</v>
      </c>
      <c r="AJ61" s="0" t="n">
        <f aca="false">IF(C61-(AA61+AG61)&gt;Inputs!$B$19,1,0)</f>
        <v>0</v>
      </c>
      <c r="AK61" s="0" t="n">
        <f aca="false">IF(D61-(AB61+AH61)&gt;Inputs!$B$19,1,0)</f>
        <v>0</v>
      </c>
      <c r="AL61" s="0" t="n">
        <f aca="false">IF(E61-(AC61+AI61)&gt;Inputs!$B$19,1,0)</f>
        <v>1</v>
      </c>
      <c r="AM61" s="0" t="n">
        <f aca="false">IF((AJ61*C61+AK61*D61+AL61*E61)&gt;0,MIN(C61-(AA61+AG61),(S61-(AA61+AB61+AC61+AG61+AH61+AI61))*AJ61*C61/(AJ61*C61+AK61*D61+AL61*E61)),0)</f>
        <v>0</v>
      </c>
      <c r="AN61" s="0" t="n">
        <f aca="false">IF((AJ61*C61+AK61*D61+AL61*E61)&gt;0,MIN(D61-(AB61+AH61),(S61-(AA61+AB61+AC61+AG61+AH61+AI61))*AK61*D61/(AJ61*C61+AK61*D61+AL61*E61)),0)</f>
        <v>0</v>
      </c>
      <c r="AO61" s="0" t="n">
        <f aca="false">IF((AJ61*C61+AK61*D61+AL61*E61)&gt;0,MIN(E61-(AC61+AI61),(S61-(AA61+AB61+AC61+AG61+AH61+AI61))*AL61*E61/(AJ61*C61+AK61*D61+AL61*E61)),0)</f>
        <v>0</v>
      </c>
      <c r="AP61" s="0" t="n">
        <f aca="false">IF(T61=1,U61,AA61+AG61+AM61)</f>
        <v>0</v>
      </c>
      <c r="AQ61" s="0" t="n">
        <f aca="false">IF(T61=1,V61,AB61+AH61+AN61)</f>
        <v>0</v>
      </c>
      <c r="AR61" s="0" t="n">
        <f aca="false">IF(T61=1,W61,AC61+AI61+AO61)</f>
        <v>2749661.39865032</v>
      </c>
      <c r="AS61" s="0" t="n">
        <f aca="false">S61-AP61-AQ61-AR61</f>
        <v>0</v>
      </c>
      <c r="AT61" s="0" t="n">
        <f aca="false">C61-AP61</f>
        <v>0</v>
      </c>
      <c r="AU61" s="0" t="n">
        <f aca="false">D61-AQ61</f>
        <v>0</v>
      </c>
      <c r="AV61" s="0" t="n">
        <f aca="false">E61-AR61</f>
        <v>14758203.013342</v>
      </c>
      <c r="AW61" s="0" t="n">
        <f aca="false">Pool!CB61</f>
        <v>34200405.8627831</v>
      </c>
      <c r="AX61" s="0" t="n">
        <f aca="false">IF((AT61)&gt;Inputs!$B$19,AW61/(AT61),1000000000)</f>
        <v>1000000000</v>
      </c>
      <c r="AY61" s="0" t="n">
        <f aca="false">IF((J61)&gt;0.000000001,(R61-I61-MAX(-M61,0))/(J61),1000000000)</f>
        <v>1000000000</v>
      </c>
      <c r="AZ61" s="0" t="n">
        <f aca="false">IF(OR(AX61&lt;Inputs!$B$24,AY61&lt;Inputs!$B$25),1,0)</f>
        <v>0</v>
      </c>
      <c r="BA61" s="0" t="n">
        <f aca="false">IF((AT61+AU61)&gt;Inputs!$B$19,AW61/(AT61+AU61),1000000000)</f>
        <v>1000000000</v>
      </c>
      <c r="BB61" s="0" t="n">
        <f aca="false">IF((J61+K61)&gt;0.000000001,(R61-I61-MAX(-M61,0))/(J61+K61),1000000000)</f>
        <v>1000000000</v>
      </c>
      <c r="BC61" s="0" t="n">
        <f aca="false">IF(OR(BA61&lt;Inputs!$B$29,BB61&lt;Inputs!$B$30),1,0)</f>
        <v>0</v>
      </c>
      <c r="BD61" s="0" t="n">
        <f aca="false">IF((AT61+AU61+AV61)&gt;Inputs!$B$19,AW61/(AT61+AU61+AV61),1000000000)</f>
        <v>2.31738280276159</v>
      </c>
      <c r="BE61" s="0" t="n">
        <f aca="false">IF((J61+K61+L61)&gt;0.000000001,(R61-I61-MAX(-M61,0))/(J61+K61+L61),1000000000)</f>
        <v>2.68649819136342</v>
      </c>
      <c r="BF61" s="0" t="n">
        <f aca="false">IF(OR(BD61&lt;Inputs!$B$34,BE61&lt;Inputs!$B$35),1,0)</f>
        <v>0</v>
      </c>
      <c r="BG61" s="0" t="n">
        <f aca="false">MAX(AZ61,BC61,BF61)</f>
        <v>0</v>
      </c>
      <c r="BH61" s="0" t="n">
        <f aca="false">MIN(R61,N61)</f>
        <v>19195.0096418017</v>
      </c>
      <c r="BI61" s="0" t="n">
        <f aca="false">R61-BH61</f>
        <v>293967.787984084</v>
      </c>
      <c r="BJ61" s="0" t="n">
        <f aca="false">MIN(BI61,O61)</f>
        <v>0</v>
      </c>
      <c r="BK61" s="0" t="n">
        <f aca="false">BI61-BJ61</f>
        <v>293967.787984084</v>
      </c>
      <c r="BL61" s="0" t="n">
        <f aca="false">AZ61*MIN(AT61,BK61)</f>
        <v>0</v>
      </c>
      <c r="BM61" s="0" t="n">
        <f aca="false">AZ61*MIN(AU61,BK61-BL61)</f>
        <v>0</v>
      </c>
      <c r="BN61" s="0" t="n">
        <f aca="false">AZ61*MIN(AV61,BK61-BL61-BM61)</f>
        <v>0</v>
      </c>
      <c r="BO61" s="0" t="n">
        <f aca="false">BK61-BL61-BM61-BN61</f>
        <v>293967.787984084</v>
      </c>
      <c r="BP61" s="0" t="n">
        <f aca="false">MIN(BO61,P61)</f>
        <v>0</v>
      </c>
      <c r="BQ61" s="0" t="n">
        <f aca="false">BO61-BP61</f>
        <v>293967.787984084</v>
      </c>
      <c r="BR61" s="0" t="n">
        <f aca="false">BC61*MIN((AT61-BL61),BQ61)</f>
        <v>0</v>
      </c>
      <c r="BS61" s="0" t="n">
        <f aca="false">BC61*MIN((AU61-BM61),BQ61-BR61)</f>
        <v>0</v>
      </c>
      <c r="BT61" s="0" t="n">
        <f aca="false">BC61*MIN((AV61-BN61),BQ61-BR61-BS61)</f>
        <v>0</v>
      </c>
      <c r="BU61" s="0" t="n">
        <f aca="false">BQ61-BR61-BS61-BT61</f>
        <v>293967.787984084</v>
      </c>
      <c r="BV61" s="0" t="n">
        <f aca="false">MIN(BU61,Q61)</f>
        <v>109424.152574952</v>
      </c>
      <c r="BW61" s="0" t="n">
        <f aca="false">BU61-BV61</f>
        <v>184543.635409132</v>
      </c>
      <c r="BX61" s="0" t="n">
        <f aca="false">BF61*MIN((AT61-BL61-BR61),BW61)</f>
        <v>0</v>
      </c>
      <c r="BY61" s="0" t="n">
        <f aca="false">BF61*MIN((AU61-BM61-BS61),BW61-BX61)</f>
        <v>0</v>
      </c>
      <c r="BZ61" s="0" t="n">
        <f aca="false">BF61*MIN((AV61-BN61-BT61),BW61-BX61-BY61)</f>
        <v>0</v>
      </c>
      <c r="CA61" s="0" t="n">
        <f aca="false">BW61-BX61-BY61-BZ61</f>
        <v>184543.635409132</v>
      </c>
      <c r="CB61" s="0" t="n">
        <f aca="false">MAX(0,AT61+AU61+AV61-BL61-BM61-BN61-BR61-BS61-BT61-BX61-BY61-BZ61-AW61)</f>
        <v>0</v>
      </c>
      <c r="CC61" s="0" t="n">
        <f aca="false">1*MIN((AT61-BL61-BR61-BX61),MIN(CA61,CB61))</f>
        <v>0</v>
      </c>
      <c r="CD61" s="0" t="n">
        <f aca="false">1*MIN((AU61-BM61-BS61-BY61),MIN(CA61,CB61)-CC61)</f>
        <v>0</v>
      </c>
      <c r="CE61" s="0" t="n">
        <f aca="false">1*MIN((AV61-BN61-BT61-BZ61),MIN(CA61,CB61)-CC61-CD61)</f>
        <v>0</v>
      </c>
      <c r="CF61" s="0" t="n">
        <f aca="false">CA61-CC61-CD61-CE61</f>
        <v>184543.635409132</v>
      </c>
      <c r="CG61" s="0" t="n">
        <f aca="false">IF(C61+D61+E61&gt;Inputs!$B$19,MIN(CF61,MAX(0,Inputs!$B$15-DO60)),0)</f>
        <v>0</v>
      </c>
      <c r="CH61" s="0" t="n">
        <f aca="false">CF61-CG61</f>
        <v>184543.635409132</v>
      </c>
      <c r="CI61" s="0" t="n">
        <f aca="false">DO60+CG61</f>
        <v>3000000</v>
      </c>
      <c r="CJ61" s="0" t="n">
        <f aca="false">MIN(MAX(N61-BH61,0),CI61)</f>
        <v>0</v>
      </c>
      <c r="CK61" s="0" t="n">
        <f aca="false">MIN(MAX(O61-BJ61,0),CI61-CJ61)</f>
        <v>0</v>
      </c>
      <c r="CL61" s="0" t="n">
        <f aca="false">MIN(MAX(P61-BP61,0),CI61-CJ61-CK61)</f>
        <v>0</v>
      </c>
      <c r="CM61" s="0" t="n">
        <f aca="false">CJ61+CK61+CL61</f>
        <v>0</v>
      </c>
      <c r="CN61" s="0" t="n">
        <f aca="false">CI61-CM61</f>
        <v>3000000</v>
      </c>
      <c r="CO61" s="0" t="n">
        <f aca="false">BH61+CJ61</f>
        <v>19195.0096418017</v>
      </c>
      <c r="CP61" s="0" t="n">
        <f aca="false">BJ61+CK61</f>
        <v>0</v>
      </c>
      <c r="CQ61" s="0" t="n">
        <f aca="false">BP61+CL61</f>
        <v>0</v>
      </c>
      <c r="CR61" s="0" t="n">
        <f aca="false">BV61</f>
        <v>109424.152574952</v>
      </c>
      <c r="CS61" s="0" t="n">
        <f aca="false">AT61-BL61-BR61-BX61-CC61</f>
        <v>0</v>
      </c>
      <c r="CT61" s="0" t="n">
        <f aca="false">AU61-BM61-BS61-BY61-CD61</f>
        <v>0</v>
      </c>
      <c r="CU61" s="0" t="n">
        <f aca="false">AV61-BN61-BT61-BZ61-CE61</f>
        <v>14758203.013342</v>
      </c>
      <c r="CV61" s="0" t="n">
        <f aca="false">MAX(0,CS61+CT61+CU61-AW61)</f>
        <v>0</v>
      </c>
      <c r="CW61" s="0" t="n">
        <f aca="false">MIN(CU61,CV61)</f>
        <v>0</v>
      </c>
      <c r="CX61" s="0" t="n">
        <f aca="false">MIN(CT61,CV61-CW61)</f>
        <v>0</v>
      </c>
      <c r="CY61" s="0" t="n">
        <f aca="false">MIN(CS61,CV61-CW61-CX61)</f>
        <v>0</v>
      </c>
      <c r="CZ61" s="0" t="n">
        <f aca="false">IF(CS61-CY61&lt;Inputs!$B$19,0,CS61-CY61)</f>
        <v>0</v>
      </c>
      <c r="DA61" s="0" t="n">
        <f aca="false">IF(CT61-CX61&lt;Inputs!$B$19,0,CT61-CX61)</f>
        <v>0</v>
      </c>
      <c r="DB61" s="0" t="n">
        <f aca="false">IF(CU61-CW61&lt;Inputs!$B$19,0,CU61-CW61)</f>
        <v>14758203.013342</v>
      </c>
      <c r="DC61" s="0" t="n">
        <f aca="false">N61-CO61</f>
        <v>0</v>
      </c>
      <c r="DD61" s="0" t="n">
        <f aca="false">O61-CP61</f>
        <v>0</v>
      </c>
      <c r="DE61" s="0" t="n">
        <f aca="false">P61-CQ61</f>
        <v>0</v>
      </c>
      <c r="DF61" s="0" t="n">
        <f aca="false">Q61-CR61</f>
        <v>0</v>
      </c>
      <c r="DG61" s="0" t="n">
        <f aca="false">IF(CZ61+DA61+DB61&lt;=Inputs!$B$19,1,0)</f>
        <v>0</v>
      </c>
      <c r="DH61" s="0" t="n">
        <f aca="false">DG61*CN61</f>
        <v>0</v>
      </c>
      <c r="DI61" s="0" t="n">
        <f aca="false">DG61*(AS61+DH61)</f>
        <v>0</v>
      </c>
      <c r="DJ61" s="0" t="n">
        <f aca="false">DG61*MIN(DC61,DI61)</f>
        <v>0</v>
      </c>
      <c r="DK61" s="0" t="n">
        <f aca="false">DG61*MIN(DD61,DI61-DJ61)</f>
        <v>0</v>
      </c>
      <c r="DL61" s="0" t="n">
        <f aca="false">DG61*MIN(DE61,DI61-DJ61-DK61)</f>
        <v>0</v>
      </c>
      <c r="DM61" s="0" t="n">
        <f aca="false">DG61*MIN(DF61,DI61-DJ61-DK61-DL61)</f>
        <v>0</v>
      </c>
      <c r="DN61" s="0" t="n">
        <f aca="false">DJ61+DK61+DL61+DM61</f>
        <v>0</v>
      </c>
      <c r="DO61" s="0" t="n">
        <f aca="false">CN61-DH61</f>
        <v>3000000</v>
      </c>
      <c r="DP61" s="0" t="n">
        <f aca="false">DC61-DJ61</f>
        <v>0</v>
      </c>
      <c r="DQ61" s="0" t="n">
        <f aca="false">DD61-DK61</f>
        <v>0</v>
      </c>
      <c r="DR61" s="0" t="n">
        <f aca="false">DE61-DL61</f>
        <v>0</v>
      </c>
      <c r="DS61" s="0" t="n">
        <f aca="false">DF61-DM61</f>
        <v>0</v>
      </c>
      <c r="DT61" s="0" t="n">
        <f aca="false">CO61+DJ61</f>
        <v>19195.0096418017</v>
      </c>
      <c r="DU61" s="0" t="n">
        <f aca="false">CP61+DK61</f>
        <v>0</v>
      </c>
      <c r="DV61" s="0" t="n">
        <f aca="false">AP61+BL61+BR61+BX61+CC61</f>
        <v>0</v>
      </c>
      <c r="DW61" s="0" t="n">
        <f aca="false">CQ61+DL61</f>
        <v>0</v>
      </c>
      <c r="DX61" s="0" t="n">
        <f aca="false">AQ61+BM61+BS61+BY61+CD61</f>
        <v>0</v>
      </c>
      <c r="DY61" s="0" t="n">
        <f aca="false">CR61+DM61</f>
        <v>109424.152574952</v>
      </c>
      <c r="DZ61" s="0" t="n">
        <f aca="false">AR61+BN61+BT61+BZ61+CE61</f>
        <v>2749661.39865032</v>
      </c>
      <c r="EA61" s="0" t="n">
        <f aca="false">DI61-DN61</f>
        <v>0</v>
      </c>
      <c r="EB61" s="0" t="n">
        <f aca="false">CH61+EA61</f>
        <v>184543.635409132</v>
      </c>
      <c r="EC61" s="0" t="n">
        <f aca="false">R61-I61-MAX(-M61,0)-J61-K61-L61</f>
        <v>184543.635409132</v>
      </c>
      <c r="ED61" s="0" t="n">
        <f aca="false">R61+S61+CM61+DH61-CG61-DT61-DU61-DW61-DY61-DV61-DX61-DZ61-EB61</f>
        <v>0</v>
      </c>
      <c r="EE61" s="0" t="n">
        <f aca="false">IF(AND(EB61&gt;0.000001,DP61+DQ61+DR61+DS61&gt;0.000001),1,0)</f>
        <v>0</v>
      </c>
    </row>
    <row r="62" customFormat="false" ht="15" hidden="false" customHeight="false" outlineLevel="0" collapsed="false">
      <c r="A62" s="0" t="n">
        <f aca="false">ROW()-5</f>
        <v>57</v>
      </c>
      <c r="B62" s="0" t="n">
        <f aca="false">Inputs!$B$11+(Inputs!$B$12-Inputs!$B$11)*(1-EXP(-A62/Inputs!$B$13))+Inputs!$B$8</f>
        <v>0.033476652136712</v>
      </c>
      <c r="C62" s="0" t="n">
        <f aca="false">CZ61</f>
        <v>0</v>
      </c>
      <c r="D62" s="0" t="n">
        <f aca="false">DA61</f>
        <v>0</v>
      </c>
      <c r="E62" s="0" t="n">
        <f aca="false">DB61</f>
        <v>14758203.013342</v>
      </c>
      <c r="F62" s="0" t="n">
        <f aca="false">IF(Inputs!$B$22=1,B62+Inputs!$B$23,Inputs!$B$23)/12</f>
        <v>0.00370638767805933</v>
      </c>
      <c r="G62" s="0" t="n">
        <f aca="false">IF(Inputs!$B$27=1,B62+Inputs!$B$28,Inputs!$B$28)/12</f>
        <v>0.00466472101139266</v>
      </c>
      <c r="H62" s="0" t="n">
        <f aca="false">IF(Inputs!$B$32=1,B62+Inputs!$B$33,Inputs!$B$33)/12</f>
        <v>0.00625</v>
      </c>
      <c r="I62" s="0" t="n">
        <f aca="false">Pool!BT62*Inputs!$B$14/12</f>
        <v>17745.8673312115</v>
      </c>
      <c r="J62" s="0" t="n">
        <f aca="false">C62*F62</f>
        <v>0</v>
      </c>
      <c r="K62" s="0" t="n">
        <f aca="false">D62*G62</f>
        <v>0</v>
      </c>
      <c r="L62" s="0" t="n">
        <f aca="false">E62*H62</f>
        <v>92238.7688333878</v>
      </c>
      <c r="M62" s="0" t="n">
        <f aca="false">Inputs!$B$17*(C62*Inputs!$B$22+D62*Inputs!$B$27+E62*Inputs!$B$32)*(B62-Inputs!$B$18)/12</f>
        <v>-0</v>
      </c>
      <c r="N62" s="0" t="n">
        <f aca="false">DP61+I62+MAX(-M62,0)</f>
        <v>17745.8673312115</v>
      </c>
      <c r="O62" s="0" t="n">
        <f aca="false">DQ61+J62</f>
        <v>0</v>
      </c>
      <c r="P62" s="0" t="n">
        <f aca="false">DR61+K62</f>
        <v>0</v>
      </c>
      <c r="Q62" s="0" t="n">
        <f aca="false">DS61+L62</f>
        <v>92238.7688333878</v>
      </c>
      <c r="R62" s="0" t="n">
        <f aca="false">Pool!BV62+MAX(M62,0)</f>
        <v>290601.542684767</v>
      </c>
      <c r="S62" s="0" t="n">
        <f aca="false">Pool!BW62+Pool!BX62+Pool!BZ62</f>
        <v>2713463.15569596</v>
      </c>
      <c r="T62" s="0" t="n">
        <f aca="false">MAX(T61,BG61)</f>
        <v>1</v>
      </c>
      <c r="U62" s="0" t="n">
        <f aca="false">MIN(C62,S62)</f>
        <v>0</v>
      </c>
      <c r="V62" s="0" t="n">
        <f aca="false">MIN(D62,S62-U62)</f>
        <v>0</v>
      </c>
      <c r="W62" s="0" t="n">
        <f aca="false">MIN(E62,S62-U62-V62)</f>
        <v>2713463.15569596</v>
      </c>
      <c r="X62" s="0" t="n">
        <f aca="false">IF(C62-(0)&gt;Inputs!$B$19,1,0)</f>
        <v>0</v>
      </c>
      <c r="Y62" s="0" t="n">
        <f aca="false">IF(D62-(0)&gt;Inputs!$B$19,1,0)</f>
        <v>0</v>
      </c>
      <c r="Z62" s="0" t="n">
        <f aca="false">IF(E62-(0)&gt;Inputs!$B$19,1,0)</f>
        <v>1</v>
      </c>
      <c r="AA62" s="0" t="n">
        <f aca="false">IF((X62*C62+Y62*D62+Z62*E62)&gt;0,MIN(C62-(0),S62*X62*C62/(X62*C62+Y62*D62+Z62*E62)),0)</f>
        <v>0</v>
      </c>
      <c r="AB62" s="0" t="n">
        <f aca="false">IF((X62*C62+Y62*D62+Z62*E62)&gt;0,MIN(D62-(0),S62*Y62*D62/(X62*C62+Y62*D62+Z62*E62)),0)</f>
        <v>0</v>
      </c>
      <c r="AC62" s="0" t="n">
        <f aca="false">IF((X62*C62+Y62*D62+Z62*E62)&gt;0,MIN(E62-(0),S62*Z62*E62/(X62*C62+Y62*D62+Z62*E62)),0)</f>
        <v>2713463.15569596</v>
      </c>
      <c r="AD62" s="0" t="n">
        <f aca="false">IF(C62-(AA62)&gt;Inputs!$B$19,1,0)</f>
        <v>0</v>
      </c>
      <c r="AE62" s="0" t="n">
        <f aca="false">IF(D62-(AB62)&gt;Inputs!$B$19,1,0)</f>
        <v>0</v>
      </c>
      <c r="AF62" s="0" t="n">
        <f aca="false">IF(E62-(AC62)&gt;Inputs!$B$19,1,0)</f>
        <v>1</v>
      </c>
      <c r="AG62" s="0" t="n">
        <f aca="false">IF((AD62*C62+AE62*D62+AF62*E62)&gt;0,MIN(C62-(AA62),(S62-(AA62+AB62+AC62))*AD62*C62/(AD62*C62+AE62*D62+AF62*E62)),0)</f>
        <v>0</v>
      </c>
      <c r="AH62" s="0" t="n">
        <f aca="false">IF((AD62*C62+AE62*D62+AF62*E62)&gt;0,MIN(D62-(AB62),(S62-(AA62+AB62+AC62))*AE62*D62/(AD62*C62+AE62*D62+AF62*E62)),0)</f>
        <v>0</v>
      </c>
      <c r="AI62" s="0" t="n">
        <f aca="false">IF((AD62*C62+AE62*D62+AF62*E62)&gt;0,MIN(E62-(AC62),(S62-(AA62+AB62+AC62))*AF62*E62/(AD62*C62+AE62*D62+AF62*E62)),0)</f>
        <v>0</v>
      </c>
      <c r="AJ62" s="0" t="n">
        <f aca="false">IF(C62-(AA62+AG62)&gt;Inputs!$B$19,1,0)</f>
        <v>0</v>
      </c>
      <c r="AK62" s="0" t="n">
        <f aca="false">IF(D62-(AB62+AH62)&gt;Inputs!$B$19,1,0)</f>
        <v>0</v>
      </c>
      <c r="AL62" s="0" t="n">
        <f aca="false">IF(E62-(AC62+AI62)&gt;Inputs!$B$19,1,0)</f>
        <v>1</v>
      </c>
      <c r="AM62" s="0" t="n">
        <f aca="false">IF((AJ62*C62+AK62*D62+AL62*E62)&gt;0,MIN(C62-(AA62+AG62),(S62-(AA62+AB62+AC62+AG62+AH62+AI62))*AJ62*C62/(AJ62*C62+AK62*D62+AL62*E62)),0)</f>
        <v>0</v>
      </c>
      <c r="AN62" s="0" t="n">
        <f aca="false">IF((AJ62*C62+AK62*D62+AL62*E62)&gt;0,MIN(D62-(AB62+AH62),(S62-(AA62+AB62+AC62+AG62+AH62+AI62))*AK62*D62/(AJ62*C62+AK62*D62+AL62*E62)),0)</f>
        <v>0</v>
      </c>
      <c r="AO62" s="0" t="n">
        <f aca="false">IF((AJ62*C62+AK62*D62+AL62*E62)&gt;0,MIN(E62-(AC62+AI62),(S62-(AA62+AB62+AC62+AG62+AH62+AI62))*AL62*E62/(AJ62*C62+AK62*D62+AL62*E62)),0)</f>
        <v>0</v>
      </c>
      <c r="AP62" s="0" t="n">
        <f aca="false">IF(T62=1,U62,AA62+AG62+AM62)</f>
        <v>0</v>
      </c>
      <c r="AQ62" s="0" t="n">
        <f aca="false">IF(T62=1,V62,AB62+AH62+AN62)</f>
        <v>0</v>
      </c>
      <c r="AR62" s="0" t="n">
        <f aca="false">IF(T62=1,W62,AC62+AI62+AO62)</f>
        <v>2713463.15569596</v>
      </c>
      <c r="AS62" s="0" t="n">
        <f aca="false">S62-AP62-AQ62-AR62</f>
        <v>0</v>
      </c>
      <c r="AT62" s="0" t="n">
        <f aca="false">C62-AP62</f>
        <v>0</v>
      </c>
      <c r="AU62" s="0" t="n">
        <f aca="false">D62-AQ62</f>
        <v>0</v>
      </c>
      <c r="AV62" s="0" t="n">
        <f aca="false">E62-AR62</f>
        <v>12044739.8576461</v>
      </c>
      <c r="AW62" s="0" t="n">
        <f aca="false">Pool!CB62</f>
        <v>31452667.1746077</v>
      </c>
      <c r="AX62" s="0" t="n">
        <f aca="false">IF((AT62)&gt;Inputs!$B$19,AW62/(AT62),1000000000)</f>
        <v>1000000000</v>
      </c>
      <c r="AY62" s="0" t="n">
        <f aca="false">IF((J62)&gt;0.000000001,(R62-I62-MAX(-M62,0))/(J62),1000000000)</f>
        <v>1000000000</v>
      </c>
      <c r="AZ62" s="0" t="n">
        <f aca="false">IF(OR(AX62&lt;Inputs!$B$24,AY62&lt;Inputs!$B$25),1,0)</f>
        <v>0</v>
      </c>
      <c r="BA62" s="0" t="n">
        <f aca="false">IF((AT62+AU62)&gt;Inputs!$B$19,AW62/(AT62+AU62),1000000000)</f>
        <v>1000000000</v>
      </c>
      <c r="BB62" s="0" t="n">
        <f aca="false">IF((J62+K62)&gt;0.000000001,(R62-I62-MAX(-M62,0))/(J62+K62),1000000000)</f>
        <v>1000000000</v>
      </c>
      <c r="BC62" s="0" t="n">
        <f aca="false">IF(OR(BA62&lt;Inputs!$B$29,BB62&lt;Inputs!$B$30),1,0)</f>
        <v>0</v>
      </c>
      <c r="BD62" s="0" t="n">
        <f aca="false">IF((AT62+AU62+AV62)&gt;Inputs!$B$19,AW62/(AT62+AU62+AV62),1000000000)</f>
        <v>2.61131975836251</v>
      </c>
      <c r="BE62" s="0" t="n">
        <f aca="false">IF((J62+K62+L62)&gt;0.000000001,(R62-I62-MAX(-M62,0))/(J62+K62+L62),1000000000)</f>
        <v>2.95814524418056</v>
      </c>
      <c r="BF62" s="0" t="n">
        <f aca="false">IF(OR(BD62&lt;Inputs!$B$34,BE62&lt;Inputs!$B$35),1,0)</f>
        <v>0</v>
      </c>
      <c r="BG62" s="0" t="n">
        <f aca="false">MAX(AZ62,BC62,BF62)</f>
        <v>0</v>
      </c>
      <c r="BH62" s="0" t="n">
        <f aca="false">MIN(R62,N62)</f>
        <v>17745.8673312115</v>
      </c>
      <c r="BI62" s="0" t="n">
        <f aca="false">R62-BH62</f>
        <v>272855.675353556</v>
      </c>
      <c r="BJ62" s="0" t="n">
        <f aca="false">MIN(BI62,O62)</f>
        <v>0</v>
      </c>
      <c r="BK62" s="0" t="n">
        <f aca="false">BI62-BJ62</f>
        <v>272855.675353556</v>
      </c>
      <c r="BL62" s="0" t="n">
        <f aca="false">AZ62*MIN(AT62,BK62)</f>
        <v>0</v>
      </c>
      <c r="BM62" s="0" t="n">
        <f aca="false">AZ62*MIN(AU62,BK62-BL62)</f>
        <v>0</v>
      </c>
      <c r="BN62" s="0" t="n">
        <f aca="false">AZ62*MIN(AV62,BK62-BL62-BM62)</f>
        <v>0</v>
      </c>
      <c r="BO62" s="0" t="n">
        <f aca="false">BK62-BL62-BM62-BN62</f>
        <v>272855.675353556</v>
      </c>
      <c r="BP62" s="0" t="n">
        <f aca="false">MIN(BO62,P62)</f>
        <v>0</v>
      </c>
      <c r="BQ62" s="0" t="n">
        <f aca="false">BO62-BP62</f>
        <v>272855.675353556</v>
      </c>
      <c r="BR62" s="0" t="n">
        <f aca="false">BC62*MIN((AT62-BL62),BQ62)</f>
        <v>0</v>
      </c>
      <c r="BS62" s="0" t="n">
        <f aca="false">BC62*MIN((AU62-BM62),BQ62-BR62)</f>
        <v>0</v>
      </c>
      <c r="BT62" s="0" t="n">
        <f aca="false">BC62*MIN((AV62-BN62),BQ62-BR62-BS62)</f>
        <v>0</v>
      </c>
      <c r="BU62" s="0" t="n">
        <f aca="false">BQ62-BR62-BS62-BT62</f>
        <v>272855.675353556</v>
      </c>
      <c r="BV62" s="0" t="n">
        <f aca="false">MIN(BU62,Q62)</f>
        <v>92238.7688333878</v>
      </c>
      <c r="BW62" s="0" t="n">
        <f aca="false">BU62-BV62</f>
        <v>180616.906520168</v>
      </c>
      <c r="BX62" s="0" t="n">
        <f aca="false">BF62*MIN((AT62-BL62-BR62),BW62)</f>
        <v>0</v>
      </c>
      <c r="BY62" s="0" t="n">
        <f aca="false">BF62*MIN((AU62-BM62-BS62),BW62-BX62)</f>
        <v>0</v>
      </c>
      <c r="BZ62" s="0" t="n">
        <f aca="false">BF62*MIN((AV62-BN62-BT62),BW62-BX62-BY62)</f>
        <v>0</v>
      </c>
      <c r="CA62" s="0" t="n">
        <f aca="false">BW62-BX62-BY62-BZ62</f>
        <v>180616.906520168</v>
      </c>
      <c r="CB62" s="0" t="n">
        <f aca="false">MAX(0,AT62+AU62+AV62-BL62-BM62-BN62-BR62-BS62-BT62-BX62-BY62-BZ62-AW62)</f>
        <v>0</v>
      </c>
      <c r="CC62" s="0" t="n">
        <f aca="false">1*MIN((AT62-BL62-BR62-BX62),MIN(CA62,CB62))</f>
        <v>0</v>
      </c>
      <c r="CD62" s="0" t="n">
        <f aca="false">1*MIN((AU62-BM62-BS62-BY62),MIN(CA62,CB62)-CC62)</f>
        <v>0</v>
      </c>
      <c r="CE62" s="0" t="n">
        <f aca="false">1*MIN((AV62-BN62-BT62-BZ62),MIN(CA62,CB62)-CC62-CD62)</f>
        <v>0</v>
      </c>
      <c r="CF62" s="0" t="n">
        <f aca="false">CA62-CC62-CD62-CE62</f>
        <v>180616.906520168</v>
      </c>
      <c r="CG62" s="0" t="n">
        <f aca="false">IF(C62+D62+E62&gt;Inputs!$B$19,MIN(CF62,MAX(0,Inputs!$B$15-DO61)),0)</f>
        <v>0</v>
      </c>
      <c r="CH62" s="0" t="n">
        <f aca="false">CF62-CG62</f>
        <v>180616.906520168</v>
      </c>
      <c r="CI62" s="0" t="n">
        <f aca="false">DO61+CG62</f>
        <v>3000000</v>
      </c>
      <c r="CJ62" s="0" t="n">
        <f aca="false">MIN(MAX(N62-BH62,0),CI62)</f>
        <v>0</v>
      </c>
      <c r="CK62" s="0" t="n">
        <f aca="false">MIN(MAX(O62-BJ62,0),CI62-CJ62)</f>
        <v>0</v>
      </c>
      <c r="CL62" s="0" t="n">
        <f aca="false">MIN(MAX(P62-BP62,0),CI62-CJ62-CK62)</f>
        <v>0</v>
      </c>
      <c r="CM62" s="0" t="n">
        <f aca="false">CJ62+CK62+CL62</f>
        <v>0</v>
      </c>
      <c r="CN62" s="0" t="n">
        <f aca="false">CI62-CM62</f>
        <v>3000000</v>
      </c>
      <c r="CO62" s="0" t="n">
        <f aca="false">BH62+CJ62</f>
        <v>17745.8673312115</v>
      </c>
      <c r="CP62" s="0" t="n">
        <f aca="false">BJ62+CK62</f>
        <v>0</v>
      </c>
      <c r="CQ62" s="0" t="n">
        <f aca="false">BP62+CL62</f>
        <v>0</v>
      </c>
      <c r="CR62" s="0" t="n">
        <f aca="false">BV62</f>
        <v>92238.7688333878</v>
      </c>
      <c r="CS62" s="0" t="n">
        <f aca="false">AT62-BL62-BR62-BX62-CC62</f>
        <v>0</v>
      </c>
      <c r="CT62" s="0" t="n">
        <f aca="false">AU62-BM62-BS62-BY62-CD62</f>
        <v>0</v>
      </c>
      <c r="CU62" s="0" t="n">
        <f aca="false">AV62-BN62-BT62-BZ62-CE62</f>
        <v>12044739.8576461</v>
      </c>
      <c r="CV62" s="0" t="n">
        <f aca="false">MAX(0,CS62+CT62+CU62-AW62)</f>
        <v>0</v>
      </c>
      <c r="CW62" s="0" t="n">
        <f aca="false">MIN(CU62,CV62)</f>
        <v>0</v>
      </c>
      <c r="CX62" s="0" t="n">
        <f aca="false">MIN(CT62,CV62-CW62)</f>
        <v>0</v>
      </c>
      <c r="CY62" s="0" t="n">
        <f aca="false">MIN(CS62,CV62-CW62-CX62)</f>
        <v>0</v>
      </c>
      <c r="CZ62" s="0" t="n">
        <f aca="false">IF(CS62-CY62&lt;Inputs!$B$19,0,CS62-CY62)</f>
        <v>0</v>
      </c>
      <c r="DA62" s="0" t="n">
        <f aca="false">IF(CT62-CX62&lt;Inputs!$B$19,0,CT62-CX62)</f>
        <v>0</v>
      </c>
      <c r="DB62" s="0" t="n">
        <f aca="false">IF(CU62-CW62&lt;Inputs!$B$19,0,CU62-CW62)</f>
        <v>12044739.8576461</v>
      </c>
      <c r="DC62" s="0" t="n">
        <f aca="false">N62-CO62</f>
        <v>0</v>
      </c>
      <c r="DD62" s="0" t="n">
        <f aca="false">O62-CP62</f>
        <v>0</v>
      </c>
      <c r="DE62" s="0" t="n">
        <f aca="false">P62-CQ62</f>
        <v>0</v>
      </c>
      <c r="DF62" s="0" t="n">
        <f aca="false">Q62-CR62</f>
        <v>0</v>
      </c>
      <c r="DG62" s="0" t="n">
        <f aca="false">IF(CZ62+DA62+DB62&lt;=Inputs!$B$19,1,0)</f>
        <v>0</v>
      </c>
      <c r="DH62" s="0" t="n">
        <f aca="false">DG62*CN62</f>
        <v>0</v>
      </c>
      <c r="DI62" s="0" t="n">
        <f aca="false">DG62*(AS62+DH62)</f>
        <v>0</v>
      </c>
      <c r="DJ62" s="0" t="n">
        <f aca="false">DG62*MIN(DC62,DI62)</f>
        <v>0</v>
      </c>
      <c r="DK62" s="0" t="n">
        <f aca="false">DG62*MIN(DD62,DI62-DJ62)</f>
        <v>0</v>
      </c>
      <c r="DL62" s="0" t="n">
        <f aca="false">DG62*MIN(DE62,DI62-DJ62-DK62)</f>
        <v>0</v>
      </c>
      <c r="DM62" s="0" t="n">
        <f aca="false">DG62*MIN(DF62,DI62-DJ62-DK62-DL62)</f>
        <v>0</v>
      </c>
      <c r="DN62" s="0" t="n">
        <f aca="false">DJ62+DK62+DL62+DM62</f>
        <v>0</v>
      </c>
      <c r="DO62" s="0" t="n">
        <f aca="false">CN62-DH62</f>
        <v>3000000</v>
      </c>
      <c r="DP62" s="0" t="n">
        <f aca="false">DC62-DJ62</f>
        <v>0</v>
      </c>
      <c r="DQ62" s="0" t="n">
        <f aca="false">DD62-DK62</f>
        <v>0</v>
      </c>
      <c r="DR62" s="0" t="n">
        <f aca="false">DE62-DL62</f>
        <v>0</v>
      </c>
      <c r="DS62" s="0" t="n">
        <f aca="false">DF62-DM62</f>
        <v>0</v>
      </c>
      <c r="DT62" s="0" t="n">
        <f aca="false">CO62+DJ62</f>
        <v>17745.8673312115</v>
      </c>
      <c r="DU62" s="0" t="n">
        <f aca="false">CP62+DK62</f>
        <v>0</v>
      </c>
      <c r="DV62" s="0" t="n">
        <f aca="false">AP62+BL62+BR62+BX62+CC62</f>
        <v>0</v>
      </c>
      <c r="DW62" s="0" t="n">
        <f aca="false">CQ62+DL62</f>
        <v>0</v>
      </c>
      <c r="DX62" s="0" t="n">
        <f aca="false">AQ62+BM62+BS62+BY62+CD62</f>
        <v>0</v>
      </c>
      <c r="DY62" s="0" t="n">
        <f aca="false">CR62+DM62</f>
        <v>92238.7688333878</v>
      </c>
      <c r="DZ62" s="0" t="n">
        <f aca="false">AR62+BN62+BT62+BZ62+CE62</f>
        <v>2713463.15569596</v>
      </c>
      <c r="EA62" s="0" t="n">
        <f aca="false">DI62-DN62</f>
        <v>0</v>
      </c>
      <c r="EB62" s="0" t="n">
        <f aca="false">CH62+EA62</f>
        <v>180616.906520168</v>
      </c>
      <c r="EC62" s="0" t="n">
        <f aca="false">R62-I62-MAX(-M62,0)-J62-K62-L62</f>
        <v>180616.906520168</v>
      </c>
      <c r="ED62" s="0" t="n">
        <f aca="false">R62+S62+CM62+DH62-CG62-DT62-DU62-DW62-DY62-DV62-DX62-DZ62-EB62</f>
        <v>0</v>
      </c>
      <c r="EE62" s="0" t="n">
        <f aca="false">IF(AND(EB62&gt;0.000001,DP62+DQ62+DR62+DS62&gt;0.000001),1,0)</f>
        <v>0</v>
      </c>
    </row>
    <row r="63" customFormat="false" ht="15" hidden="false" customHeight="false" outlineLevel="0" collapsed="false">
      <c r="A63" s="0" t="n">
        <f aca="false">ROW()-5</f>
        <v>58</v>
      </c>
      <c r="B63" s="0" t="n">
        <f aca="false">Inputs!$B$11+(Inputs!$B$12-Inputs!$B$11)*(1-EXP(-A63/Inputs!$B$13))+Inputs!$B$8</f>
        <v>0.0334367944327972</v>
      </c>
      <c r="C63" s="0" t="n">
        <f aca="false">CZ62</f>
        <v>0</v>
      </c>
      <c r="D63" s="0" t="n">
        <f aca="false">DA62</f>
        <v>0</v>
      </c>
      <c r="E63" s="0" t="n">
        <f aca="false">DB62</f>
        <v>12044739.8576461</v>
      </c>
      <c r="F63" s="0" t="n">
        <f aca="false">IF(Inputs!$B$22=1,B63+Inputs!$B$23,Inputs!$B$23)/12</f>
        <v>0.0037030662027331</v>
      </c>
      <c r="G63" s="0" t="n">
        <f aca="false">IF(Inputs!$B$27=1,B63+Inputs!$B$28,Inputs!$B$28)/12</f>
        <v>0.00466139953606644</v>
      </c>
      <c r="H63" s="0" t="n">
        <f aca="false">IF(Inputs!$B$32=1,B63+Inputs!$B$33,Inputs!$B$33)/12</f>
        <v>0.00625</v>
      </c>
      <c r="I63" s="0" t="n">
        <f aca="false">Pool!BT63*Inputs!$B$14/12</f>
        <v>16317.0055154596</v>
      </c>
      <c r="J63" s="0" t="n">
        <f aca="false">C63*F63</f>
        <v>0</v>
      </c>
      <c r="K63" s="0" t="n">
        <f aca="false">D63*G63</f>
        <v>0</v>
      </c>
      <c r="L63" s="0" t="n">
        <f aca="false">E63*H63</f>
        <v>75279.624110288</v>
      </c>
      <c r="M63" s="0" t="n">
        <f aca="false">Inputs!$B$17*(C63*Inputs!$B$22+D63*Inputs!$B$27+E63*Inputs!$B$32)*(B63-Inputs!$B$18)/12</f>
        <v>-0</v>
      </c>
      <c r="N63" s="0" t="n">
        <f aca="false">DP62+I63+MAX(-M63,0)</f>
        <v>16317.0055154596</v>
      </c>
      <c r="O63" s="0" t="n">
        <f aca="false">DQ62+J63</f>
        <v>0</v>
      </c>
      <c r="P63" s="0" t="n">
        <f aca="false">DR62+K63</f>
        <v>0</v>
      </c>
      <c r="Q63" s="0" t="n">
        <f aca="false">DS62+L63</f>
        <v>75279.624110288</v>
      </c>
      <c r="R63" s="0" t="n">
        <f aca="false">Pool!BV63+MAX(M63,0)</f>
        <v>268354.478758407</v>
      </c>
      <c r="S63" s="0" t="n">
        <f aca="false">Pool!BW63+Pool!BX63+Pool!BZ63</f>
        <v>2677690.25128089</v>
      </c>
      <c r="T63" s="0" t="n">
        <f aca="false">MAX(T62,BG62)</f>
        <v>1</v>
      </c>
      <c r="U63" s="0" t="n">
        <f aca="false">MIN(C63,S63)</f>
        <v>0</v>
      </c>
      <c r="V63" s="0" t="n">
        <f aca="false">MIN(D63,S63-U63)</f>
        <v>0</v>
      </c>
      <c r="W63" s="0" t="n">
        <f aca="false">MIN(E63,S63-U63-V63)</f>
        <v>2677690.25128089</v>
      </c>
      <c r="X63" s="0" t="n">
        <f aca="false">IF(C63-(0)&gt;Inputs!$B$19,1,0)</f>
        <v>0</v>
      </c>
      <c r="Y63" s="0" t="n">
        <f aca="false">IF(D63-(0)&gt;Inputs!$B$19,1,0)</f>
        <v>0</v>
      </c>
      <c r="Z63" s="0" t="n">
        <f aca="false">IF(E63-(0)&gt;Inputs!$B$19,1,0)</f>
        <v>1</v>
      </c>
      <c r="AA63" s="0" t="n">
        <f aca="false">IF((X63*C63+Y63*D63+Z63*E63)&gt;0,MIN(C63-(0),S63*X63*C63/(X63*C63+Y63*D63+Z63*E63)),0)</f>
        <v>0</v>
      </c>
      <c r="AB63" s="0" t="n">
        <f aca="false">IF((X63*C63+Y63*D63+Z63*E63)&gt;0,MIN(D63-(0),S63*Y63*D63/(X63*C63+Y63*D63+Z63*E63)),0)</f>
        <v>0</v>
      </c>
      <c r="AC63" s="0" t="n">
        <f aca="false">IF((X63*C63+Y63*D63+Z63*E63)&gt;0,MIN(E63-(0),S63*Z63*E63/(X63*C63+Y63*D63+Z63*E63)),0)</f>
        <v>2677690.25128089</v>
      </c>
      <c r="AD63" s="0" t="n">
        <f aca="false">IF(C63-(AA63)&gt;Inputs!$B$19,1,0)</f>
        <v>0</v>
      </c>
      <c r="AE63" s="0" t="n">
        <f aca="false">IF(D63-(AB63)&gt;Inputs!$B$19,1,0)</f>
        <v>0</v>
      </c>
      <c r="AF63" s="0" t="n">
        <f aca="false">IF(E63-(AC63)&gt;Inputs!$B$19,1,0)</f>
        <v>1</v>
      </c>
      <c r="AG63" s="0" t="n">
        <f aca="false">IF((AD63*C63+AE63*D63+AF63*E63)&gt;0,MIN(C63-(AA63),(S63-(AA63+AB63+AC63))*AD63*C63/(AD63*C63+AE63*D63+AF63*E63)),0)</f>
        <v>0</v>
      </c>
      <c r="AH63" s="0" t="n">
        <f aca="false">IF((AD63*C63+AE63*D63+AF63*E63)&gt;0,MIN(D63-(AB63),(S63-(AA63+AB63+AC63))*AE63*D63/(AD63*C63+AE63*D63+AF63*E63)),0)</f>
        <v>0</v>
      </c>
      <c r="AI63" s="0" t="n">
        <f aca="false">IF((AD63*C63+AE63*D63+AF63*E63)&gt;0,MIN(E63-(AC63),(S63-(AA63+AB63+AC63))*AF63*E63/(AD63*C63+AE63*D63+AF63*E63)),0)</f>
        <v>0</v>
      </c>
      <c r="AJ63" s="0" t="n">
        <f aca="false">IF(C63-(AA63+AG63)&gt;Inputs!$B$19,1,0)</f>
        <v>0</v>
      </c>
      <c r="AK63" s="0" t="n">
        <f aca="false">IF(D63-(AB63+AH63)&gt;Inputs!$B$19,1,0)</f>
        <v>0</v>
      </c>
      <c r="AL63" s="0" t="n">
        <f aca="false">IF(E63-(AC63+AI63)&gt;Inputs!$B$19,1,0)</f>
        <v>1</v>
      </c>
      <c r="AM63" s="0" t="n">
        <f aca="false">IF((AJ63*C63+AK63*D63+AL63*E63)&gt;0,MIN(C63-(AA63+AG63),(S63-(AA63+AB63+AC63+AG63+AH63+AI63))*AJ63*C63/(AJ63*C63+AK63*D63+AL63*E63)),0)</f>
        <v>0</v>
      </c>
      <c r="AN63" s="0" t="n">
        <f aca="false">IF((AJ63*C63+AK63*D63+AL63*E63)&gt;0,MIN(D63-(AB63+AH63),(S63-(AA63+AB63+AC63+AG63+AH63+AI63))*AK63*D63/(AJ63*C63+AK63*D63+AL63*E63)),0)</f>
        <v>0</v>
      </c>
      <c r="AO63" s="0" t="n">
        <f aca="false">IF((AJ63*C63+AK63*D63+AL63*E63)&gt;0,MIN(E63-(AC63+AI63),(S63-(AA63+AB63+AC63+AG63+AH63+AI63))*AL63*E63/(AJ63*C63+AK63*D63+AL63*E63)),0)</f>
        <v>0</v>
      </c>
      <c r="AP63" s="0" t="n">
        <f aca="false">IF(T63=1,U63,AA63+AG63+AM63)</f>
        <v>0</v>
      </c>
      <c r="AQ63" s="0" t="n">
        <f aca="false">IF(T63=1,V63,AB63+AH63+AN63)</f>
        <v>0</v>
      </c>
      <c r="AR63" s="0" t="n">
        <f aca="false">IF(T63=1,W63,AC63+AI63+AO63)</f>
        <v>2677690.25128089</v>
      </c>
      <c r="AS63" s="0" t="n">
        <f aca="false">S63-AP63-AQ63-AR63</f>
        <v>0</v>
      </c>
      <c r="AT63" s="0" t="n">
        <f aca="false">C63-AP63</f>
        <v>0</v>
      </c>
      <c r="AU63" s="0" t="n">
        <f aca="false">D63-AQ63</f>
        <v>0</v>
      </c>
      <c r="AV63" s="0" t="n">
        <f aca="false">E63-AR63</f>
        <v>9367049.6063652</v>
      </c>
      <c r="AW63" s="0" t="n">
        <f aca="false">Pool!CB63</f>
        <v>28743461.1883067</v>
      </c>
      <c r="AX63" s="0" t="n">
        <f aca="false">IF((AT63)&gt;Inputs!$B$19,AW63/(AT63),1000000000)</f>
        <v>1000000000</v>
      </c>
      <c r="AY63" s="0" t="n">
        <f aca="false">IF((J63)&gt;0.000000001,(R63-I63-MAX(-M63,0))/(J63),1000000000)</f>
        <v>1000000000</v>
      </c>
      <c r="AZ63" s="0" t="n">
        <f aca="false">IF(OR(AX63&lt;Inputs!$B$24,AY63&lt;Inputs!$B$25),1,0)</f>
        <v>0</v>
      </c>
      <c r="BA63" s="0" t="n">
        <f aca="false">IF((AT63+AU63)&gt;Inputs!$B$19,AW63/(AT63+AU63),1000000000)</f>
        <v>1000000000</v>
      </c>
      <c r="BB63" s="0" t="n">
        <f aca="false">IF((J63+K63)&gt;0.000000001,(R63-I63-MAX(-M63,0))/(J63+K63),1000000000)</f>
        <v>1000000000</v>
      </c>
      <c r="BC63" s="0" t="n">
        <f aca="false">IF(OR(BA63&lt;Inputs!$B$29,BB63&lt;Inputs!$B$30),1,0)</f>
        <v>0</v>
      </c>
      <c r="BD63" s="0" t="n">
        <f aca="false">IF((AT63+AU63+AV63)&gt;Inputs!$B$19,AW63/(AT63+AU63+AV63),1000000000)</f>
        <v>3.06857147086897</v>
      </c>
      <c r="BE63" s="0" t="n">
        <f aca="false">IF((J63+K63+L63)&gt;0.000000001,(R63-I63-MAX(-M63,0))/(J63+K63+L63),1000000000)</f>
        <v>3.34801715898184</v>
      </c>
      <c r="BF63" s="0" t="n">
        <f aca="false">IF(OR(BD63&lt;Inputs!$B$34,BE63&lt;Inputs!$B$35),1,0)</f>
        <v>0</v>
      </c>
      <c r="BG63" s="0" t="n">
        <f aca="false">MAX(AZ63,BC63,BF63)</f>
        <v>0</v>
      </c>
      <c r="BH63" s="0" t="n">
        <f aca="false">MIN(R63,N63)</f>
        <v>16317.0055154596</v>
      </c>
      <c r="BI63" s="0" t="n">
        <f aca="false">R63-BH63</f>
        <v>252037.473242947</v>
      </c>
      <c r="BJ63" s="0" t="n">
        <f aca="false">MIN(BI63,O63)</f>
        <v>0</v>
      </c>
      <c r="BK63" s="0" t="n">
        <f aca="false">BI63-BJ63</f>
        <v>252037.473242947</v>
      </c>
      <c r="BL63" s="0" t="n">
        <f aca="false">AZ63*MIN(AT63,BK63)</f>
        <v>0</v>
      </c>
      <c r="BM63" s="0" t="n">
        <f aca="false">AZ63*MIN(AU63,BK63-BL63)</f>
        <v>0</v>
      </c>
      <c r="BN63" s="0" t="n">
        <f aca="false">AZ63*MIN(AV63,BK63-BL63-BM63)</f>
        <v>0</v>
      </c>
      <c r="BO63" s="0" t="n">
        <f aca="false">BK63-BL63-BM63-BN63</f>
        <v>252037.473242947</v>
      </c>
      <c r="BP63" s="0" t="n">
        <f aca="false">MIN(BO63,P63)</f>
        <v>0</v>
      </c>
      <c r="BQ63" s="0" t="n">
        <f aca="false">BO63-BP63</f>
        <v>252037.473242947</v>
      </c>
      <c r="BR63" s="0" t="n">
        <f aca="false">BC63*MIN((AT63-BL63),BQ63)</f>
        <v>0</v>
      </c>
      <c r="BS63" s="0" t="n">
        <f aca="false">BC63*MIN((AU63-BM63),BQ63-BR63)</f>
        <v>0</v>
      </c>
      <c r="BT63" s="0" t="n">
        <f aca="false">BC63*MIN((AV63-BN63),BQ63-BR63-BS63)</f>
        <v>0</v>
      </c>
      <c r="BU63" s="0" t="n">
        <f aca="false">BQ63-BR63-BS63-BT63</f>
        <v>252037.473242947</v>
      </c>
      <c r="BV63" s="0" t="n">
        <f aca="false">MIN(BU63,Q63)</f>
        <v>75279.624110288</v>
      </c>
      <c r="BW63" s="0" t="n">
        <f aca="false">BU63-BV63</f>
        <v>176757.849132659</v>
      </c>
      <c r="BX63" s="0" t="n">
        <f aca="false">BF63*MIN((AT63-BL63-BR63),BW63)</f>
        <v>0</v>
      </c>
      <c r="BY63" s="0" t="n">
        <f aca="false">BF63*MIN((AU63-BM63-BS63),BW63-BX63)</f>
        <v>0</v>
      </c>
      <c r="BZ63" s="0" t="n">
        <f aca="false">BF63*MIN((AV63-BN63-BT63),BW63-BX63-BY63)</f>
        <v>0</v>
      </c>
      <c r="CA63" s="0" t="n">
        <f aca="false">BW63-BX63-BY63-BZ63</f>
        <v>176757.849132659</v>
      </c>
      <c r="CB63" s="0" t="n">
        <f aca="false">MAX(0,AT63+AU63+AV63-BL63-BM63-BN63-BR63-BS63-BT63-BX63-BY63-BZ63-AW63)</f>
        <v>0</v>
      </c>
      <c r="CC63" s="0" t="n">
        <f aca="false">1*MIN((AT63-BL63-BR63-BX63),MIN(CA63,CB63))</f>
        <v>0</v>
      </c>
      <c r="CD63" s="0" t="n">
        <f aca="false">1*MIN((AU63-BM63-BS63-BY63),MIN(CA63,CB63)-CC63)</f>
        <v>0</v>
      </c>
      <c r="CE63" s="0" t="n">
        <f aca="false">1*MIN((AV63-BN63-BT63-BZ63),MIN(CA63,CB63)-CC63-CD63)</f>
        <v>0</v>
      </c>
      <c r="CF63" s="0" t="n">
        <f aca="false">CA63-CC63-CD63-CE63</f>
        <v>176757.849132659</v>
      </c>
      <c r="CG63" s="0" t="n">
        <f aca="false">IF(C63+D63+E63&gt;Inputs!$B$19,MIN(CF63,MAX(0,Inputs!$B$15-DO62)),0)</f>
        <v>0</v>
      </c>
      <c r="CH63" s="0" t="n">
        <f aca="false">CF63-CG63</f>
        <v>176757.849132659</v>
      </c>
      <c r="CI63" s="0" t="n">
        <f aca="false">DO62+CG63</f>
        <v>3000000</v>
      </c>
      <c r="CJ63" s="0" t="n">
        <f aca="false">MIN(MAX(N63-BH63,0),CI63)</f>
        <v>0</v>
      </c>
      <c r="CK63" s="0" t="n">
        <f aca="false">MIN(MAX(O63-BJ63,0),CI63-CJ63)</f>
        <v>0</v>
      </c>
      <c r="CL63" s="0" t="n">
        <f aca="false">MIN(MAX(P63-BP63,0),CI63-CJ63-CK63)</f>
        <v>0</v>
      </c>
      <c r="CM63" s="0" t="n">
        <f aca="false">CJ63+CK63+CL63</f>
        <v>0</v>
      </c>
      <c r="CN63" s="0" t="n">
        <f aca="false">CI63-CM63</f>
        <v>3000000</v>
      </c>
      <c r="CO63" s="0" t="n">
        <f aca="false">BH63+CJ63</f>
        <v>16317.0055154596</v>
      </c>
      <c r="CP63" s="0" t="n">
        <f aca="false">BJ63+CK63</f>
        <v>0</v>
      </c>
      <c r="CQ63" s="0" t="n">
        <f aca="false">BP63+CL63</f>
        <v>0</v>
      </c>
      <c r="CR63" s="0" t="n">
        <f aca="false">BV63</f>
        <v>75279.624110288</v>
      </c>
      <c r="CS63" s="0" t="n">
        <f aca="false">AT63-BL63-BR63-BX63-CC63</f>
        <v>0</v>
      </c>
      <c r="CT63" s="0" t="n">
        <f aca="false">AU63-BM63-BS63-BY63-CD63</f>
        <v>0</v>
      </c>
      <c r="CU63" s="0" t="n">
        <f aca="false">AV63-BN63-BT63-BZ63-CE63</f>
        <v>9367049.6063652</v>
      </c>
      <c r="CV63" s="0" t="n">
        <f aca="false">MAX(0,CS63+CT63+CU63-AW63)</f>
        <v>0</v>
      </c>
      <c r="CW63" s="0" t="n">
        <f aca="false">MIN(CU63,CV63)</f>
        <v>0</v>
      </c>
      <c r="CX63" s="0" t="n">
        <f aca="false">MIN(CT63,CV63-CW63)</f>
        <v>0</v>
      </c>
      <c r="CY63" s="0" t="n">
        <f aca="false">MIN(CS63,CV63-CW63-CX63)</f>
        <v>0</v>
      </c>
      <c r="CZ63" s="0" t="n">
        <f aca="false">IF(CS63-CY63&lt;Inputs!$B$19,0,CS63-CY63)</f>
        <v>0</v>
      </c>
      <c r="DA63" s="0" t="n">
        <f aca="false">IF(CT63-CX63&lt;Inputs!$B$19,0,CT63-CX63)</f>
        <v>0</v>
      </c>
      <c r="DB63" s="0" t="n">
        <f aca="false">IF(CU63-CW63&lt;Inputs!$B$19,0,CU63-CW63)</f>
        <v>9367049.6063652</v>
      </c>
      <c r="DC63" s="0" t="n">
        <f aca="false">N63-CO63</f>
        <v>0</v>
      </c>
      <c r="DD63" s="0" t="n">
        <f aca="false">O63-CP63</f>
        <v>0</v>
      </c>
      <c r="DE63" s="0" t="n">
        <f aca="false">P63-CQ63</f>
        <v>0</v>
      </c>
      <c r="DF63" s="0" t="n">
        <f aca="false">Q63-CR63</f>
        <v>0</v>
      </c>
      <c r="DG63" s="0" t="n">
        <f aca="false">IF(CZ63+DA63+DB63&lt;=Inputs!$B$19,1,0)</f>
        <v>0</v>
      </c>
      <c r="DH63" s="0" t="n">
        <f aca="false">DG63*CN63</f>
        <v>0</v>
      </c>
      <c r="DI63" s="0" t="n">
        <f aca="false">DG63*(AS63+DH63)</f>
        <v>0</v>
      </c>
      <c r="DJ63" s="0" t="n">
        <f aca="false">DG63*MIN(DC63,DI63)</f>
        <v>0</v>
      </c>
      <c r="DK63" s="0" t="n">
        <f aca="false">DG63*MIN(DD63,DI63-DJ63)</f>
        <v>0</v>
      </c>
      <c r="DL63" s="0" t="n">
        <f aca="false">DG63*MIN(DE63,DI63-DJ63-DK63)</f>
        <v>0</v>
      </c>
      <c r="DM63" s="0" t="n">
        <f aca="false">DG63*MIN(DF63,DI63-DJ63-DK63-DL63)</f>
        <v>0</v>
      </c>
      <c r="DN63" s="0" t="n">
        <f aca="false">DJ63+DK63+DL63+DM63</f>
        <v>0</v>
      </c>
      <c r="DO63" s="0" t="n">
        <f aca="false">CN63-DH63</f>
        <v>3000000</v>
      </c>
      <c r="DP63" s="0" t="n">
        <f aca="false">DC63-DJ63</f>
        <v>0</v>
      </c>
      <c r="DQ63" s="0" t="n">
        <f aca="false">DD63-DK63</f>
        <v>0</v>
      </c>
      <c r="DR63" s="0" t="n">
        <f aca="false">DE63-DL63</f>
        <v>0</v>
      </c>
      <c r="DS63" s="0" t="n">
        <f aca="false">DF63-DM63</f>
        <v>0</v>
      </c>
      <c r="DT63" s="0" t="n">
        <f aca="false">CO63+DJ63</f>
        <v>16317.0055154596</v>
      </c>
      <c r="DU63" s="0" t="n">
        <f aca="false">CP63+DK63</f>
        <v>0</v>
      </c>
      <c r="DV63" s="0" t="n">
        <f aca="false">AP63+BL63+BR63+BX63+CC63</f>
        <v>0</v>
      </c>
      <c r="DW63" s="0" t="n">
        <f aca="false">CQ63+DL63</f>
        <v>0</v>
      </c>
      <c r="DX63" s="0" t="n">
        <f aca="false">AQ63+BM63+BS63+BY63+CD63</f>
        <v>0</v>
      </c>
      <c r="DY63" s="0" t="n">
        <f aca="false">CR63+DM63</f>
        <v>75279.624110288</v>
      </c>
      <c r="DZ63" s="0" t="n">
        <f aca="false">AR63+BN63+BT63+BZ63+CE63</f>
        <v>2677690.25128089</v>
      </c>
      <c r="EA63" s="0" t="n">
        <f aca="false">DI63-DN63</f>
        <v>0</v>
      </c>
      <c r="EB63" s="0" t="n">
        <f aca="false">CH63+EA63</f>
        <v>176757.849132659</v>
      </c>
      <c r="EC63" s="0" t="n">
        <f aca="false">R63-I63-MAX(-M63,0)-J63-K63-L63</f>
        <v>176757.849132659</v>
      </c>
      <c r="ED63" s="0" t="n">
        <f aca="false">R63+S63+CM63+DH63-CG63-DT63-DU63-DW63-DY63-DV63-DX63-DZ63-EB63</f>
        <v>0</v>
      </c>
      <c r="EE63" s="0" t="n">
        <f aca="false">IF(AND(EB63&gt;0.000001,DP63+DQ63+DR63+DS63&gt;0.000001),1,0)</f>
        <v>0</v>
      </c>
    </row>
    <row r="64" customFormat="false" ht="15" hidden="false" customHeight="false" outlineLevel="0" collapsed="false">
      <c r="A64" s="0" t="n">
        <f aca="false">ROW()-5</f>
        <v>59</v>
      </c>
      <c r="B64" s="0" t="n">
        <f aca="false">Inputs!$B$11+(Inputs!$B$12-Inputs!$B$11)*(1-EXP(-A64/Inputs!$B$13))+Inputs!$B$8</f>
        <v>0.0333985633434176</v>
      </c>
      <c r="C64" s="0" t="n">
        <f aca="false">CZ63</f>
        <v>0</v>
      </c>
      <c r="D64" s="0" t="n">
        <f aca="false">DA63</f>
        <v>0</v>
      </c>
      <c r="E64" s="0" t="n">
        <f aca="false">DB63</f>
        <v>9367049.6063652</v>
      </c>
      <c r="F64" s="0" t="n">
        <f aca="false">IF(Inputs!$B$22=1,B64+Inputs!$B$23,Inputs!$B$23)/12</f>
        <v>0.00369988027861814</v>
      </c>
      <c r="G64" s="0" t="n">
        <f aca="false">IF(Inputs!$B$27=1,B64+Inputs!$B$28,Inputs!$B$28)/12</f>
        <v>0.00465821361195147</v>
      </c>
      <c r="H64" s="0" t="n">
        <f aca="false">IF(Inputs!$B$32=1,B64+Inputs!$B$33,Inputs!$B$33)/12</f>
        <v>0.00625</v>
      </c>
      <c r="I64" s="0" t="n">
        <f aca="false">Pool!BT64*Inputs!$B$14/12</f>
        <v>14908.1826226782</v>
      </c>
      <c r="J64" s="0" t="n">
        <f aca="false">C64*F64</f>
        <v>0</v>
      </c>
      <c r="K64" s="0" t="n">
        <f aca="false">D64*G64</f>
        <v>0</v>
      </c>
      <c r="L64" s="0" t="n">
        <f aca="false">E64*H64</f>
        <v>58544.0600397825</v>
      </c>
      <c r="M64" s="0" t="n">
        <f aca="false">Inputs!$B$17*(C64*Inputs!$B$22+D64*Inputs!$B$27+E64*Inputs!$B$32)*(B64-Inputs!$B$18)/12</f>
        <v>-0</v>
      </c>
      <c r="N64" s="0" t="n">
        <f aca="false">DP63+I64+MAX(-M64,0)</f>
        <v>14908.1826226782</v>
      </c>
      <c r="O64" s="0" t="n">
        <f aca="false">DQ63+J64</f>
        <v>0</v>
      </c>
      <c r="P64" s="0" t="n">
        <f aca="false">DR63+K64</f>
        <v>0</v>
      </c>
      <c r="Q64" s="0" t="n">
        <f aca="false">DS63+L64</f>
        <v>58544.0600397825</v>
      </c>
      <c r="R64" s="0" t="n">
        <f aca="false">Pool!BV64+MAX(M64,0)</f>
        <v>246417.870557201</v>
      </c>
      <c r="S64" s="0" t="n">
        <f aca="false">Pool!BW64+Pool!BX64+Pool!BZ64</f>
        <v>2642337.83518941</v>
      </c>
      <c r="T64" s="0" t="n">
        <f aca="false">MAX(T63,BG63)</f>
        <v>1</v>
      </c>
      <c r="U64" s="0" t="n">
        <f aca="false">MIN(C64,S64)</f>
        <v>0</v>
      </c>
      <c r="V64" s="0" t="n">
        <f aca="false">MIN(D64,S64-U64)</f>
        <v>0</v>
      </c>
      <c r="W64" s="0" t="n">
        <f aca="false">MIN(E64,S64-U64-V64)</f>
        <v>2642337.83518941</v>
      </c>
      <c r="X64" s="0" t="n">
        <f aca="false">IF(C64-(0)&gt;Inputs!$B$19,1,0)</f>
        <v>0</v>
      </c>
      <c r="Y64" s="0" t="n">
        <f aca="false">IF(D64-(0)&gt;Inputs!$B$19,1,0)</f>
        <v>0</v>
      </c>
      <c r="Z64" s="0" t="n">
        <f aca="false">IF(E64-(0)&gt;Inputs!$B$19,1,0)</f>
        <v>1</v>
      </c>
      <c r="AA64" s="0" t="n">
        <f aca="false">IF((X64*C64+Y64*D64+Z64*E64)&gt;0,MIN(C64-(0),S64*X64*C64/(X64*C64+Y64*D64+Z64*E64)),0)</f>
        <v>0</v>
      </c>
      <c r="AB64" s="0" t="n">
        <f aca="false">IF((X64*C64+Y64*D64+Z64*E64)&gt;0,MIN(D64-(0),S64*Y64*D64/(X64*C64+Y64*D64+Z64*E64)),0)</f>
        <v>0</v>
      </c>
      <c r="AC64" s="0" t="n">
        <f aca="false">IF((X64*C64+Y64*D64+Z64*E64)&gt;0,MIN(E64-(0),S64*Z64*E64/(X64*C64+Y64*D64+Z64*E64)),0)</f>
        <v>2642337.83518941</v>
      </c>
      <c r="AD64" s="0" t="n">
        <f aca="false">IF(C64-(AA64)&gt;Inputs!$B$19,1,0)</f>
        <v>0</v>
      </c>
      <c r="AE64" s="0" t="n">
        <f aca="false">IF(D64-(AB64)&gt;Inputs!$B$19,1,0)</f>
        <v>0</v>
      </c>
      <c r="AF64" s="0" t="n">
        <f aca="false">IF(E64-(AC64)&gt;Inputs!$B$19,1,0)</f>
        <v>1</v>
      </c>
      <c r="AG64" s="0" t="n">
        <f aca="false">IF((AD64*C64+AE64*D64+AF64*E64)&gt;0,MIN(C64-(AA64),(S64-(AA64+AB64+AC64))*AD64*C64/(AD64*C64+AE64*D64+AF64*E64)),0)</f>
        <v>0</v>
      </c>
      <c r="AH64" s="0" t="n">
        <f aca="false">IF((AD64*C64+AE64*D64+AF64*E64)&gt;0,MIN(D64-(AB64),(S64-(AA64+AB64+AC64))*AE64*D64/(AD64*C64+AE64*D64+AF64*E64)),0)</f>
        <v>0</v>
      </c>
      <c r="AI64" s="0" t="n">
        <f aca="false">IF((AD64*C64+AE64*D64+AF64*E64)&gt;0,MIN(E64-(AC64),(S64-(AA64+AB64+AC64))*AF64*E64/(AD64*C64+AE64*D64+AF64*E64)),0)</f>
        <v>0</v>
      </c>
      <c r="AJ64" s="0" t="n">
        <f aca="false">IF(C64-(AA64+AG64)&gt;Inputs!$B$19,1,0)</f>
        <v>0</v>
      </c>
      <c r="AK64" s="0" t="n">
        <f aca="false">IF(D64-(AB64+AH64)&gt;Inputs!$B$19,1,0)</f>
        <v>0</v>
      </c>
      <c r="AL64" s="0" t="n">
        <f aca="false">IF(E64-(AC64+AI64)&gt;Inputs!$B$19,1,0)</f>
        <v>1</v>
      </c>
      <c r="AM64" s="0" t="n">
        <f aca="false">IF((AJ64*C64+AK64*D64+AL64*E64)&gt;0,MIN(C64-(AA64+AG64),(S64-(AA64+AB64+AC64+AG64+AH64+AI64))*AJ64*C64/(AJ64*C64+AK64*D64+AL64*E64)),0)</f>
        <v>0</v>
      </c>
      <c r="AN64" s="0" t="n">
        <f aca="false">IF((AJ64*C64+AK64*D64+AL64*E64)&gt;0,MIN(D64-(AB64+AH64),(S64-(AA64+AB64+AC64+AG64+AH64+AI64))*AK64*D64/(AJ64*C64+AK64*D64+AL64*E64)),0)</f>
        <v>0</v>
      </c>
      <c r="AO64" s="0" t="n">
        <f aca="false">IF((AJ64*C64+AK64*D64+AL64*E64)&gt;0,MIN(E64-(AC64+AI64),(S64-(AA64+AB64+AC64+AG64+AH64+AI64))*AL64*E64/(AJ64*C64+AK64*D64+AL64*E64)),0)</f>
        <v>0</v>
      </c>
      <c r="AP64" s="0" t="n">
        <f aca="false">IF(T64=1,U64,AA64+AG64+AM64)</f>
        <v>0</v>
      </c>
      <c r="AQ64" s="0" t="n">
        <f aca="false">IF(T64=1,V64,AB64+AH64+AN64)</f>
        <v>0</v>
      </c>
      <c r="AR64" s="0" t="n">
        <f aca="false">IF(T64=1,W64,AC64+AI64+AO64)</f>
        <v>2642337.83518941</v>
      </c>
      <c r="AS64" s="0" t="n">
        <f aca="false">S64-AP64-AQ64-AR64</f>
        <v>0</v>
      </c>
      <c r="AT64" s="0" t="n">
        <f aca="false">C64-AP64</f>
        <v>0</v>
      </c>
      <c r="AU64" s="0" t="n">
        <f aca="false">D64-AQ64</f>
        <v>0</v>
      </c>
      <c r="AV64" s="0" t="n">
        <f aca="false">E64-AR64</f>
        <v>6724711.77117579</v>
      </c>
      <c r="AW64" s="0" t="n">
        <f aca="false">Pool!CB64</f>
        <v>26072328.7110659</v>
      </c>
      <c r="AX64" s="0" t="n">
        <f aca="false">IF((AT64)&gt;Inputs!$B$19,AW64/(AT64),1000000000)</f>
        <v>1000000000</v>
      </c>
      <c r="AY64" s="0" t="n">
        <f aca="false">IF((J64)&gt;0.000000001,(R64-I64-MAX(-M64,0))/(J64),1000000000)</f>
        <v>1000000000</v>
      </c>
      <c r="AZ64" s="0" t="n">
        <f aca="false">IF(OR(AX64&lt;Inputs!$B$24,AY64&lt;Inputs!$B$25),1,0)</f>
        <v>0</v>
      </c>
      <c r="BA64" s="0" t="n">
        <f aca="false">IF((AT64+AU64)&gt;Inputs!$B$19,AW64/(AT64+AU64),1000000000)</f>
        <v>1000000000</v>
      </c>
      <c r="BB64" s="0" t="n">
        <f aca="false">IF((J64+K64)&gt;0.000000001,(R64-I64-MAX(-M64,0))/(J64+K64),1000000000)</f>
        <v>1000000000</v>
      </c>
      <c r="BC64" s="0" t="n">
        <f aca="false">IF(OR(BA64&lt;Inputs!$B$29,BB64&lt;Inputs!$B$30),1,0)</f>
        <v>0</v>
      </c>
      <c r="BD64" s="0" t="n">
        <f aca="false">IF((AT64+AU64+AV64)&gt;Inputs!$B$19,AW64/(AT64+AU64+AV64),1000000000)</f>
        <v>3.87709237187235</v>
      </c>
      <c r="BE64" s="0" t="n">
        <f aca="false">IF((J64+K64+L64)&gt;0.000000001,(R64-I64-MAX(-M64,0))/(J64+K64+L64),1000000000)</f>
        <v>3.95445221559976</v>
      </c>
      <c r="BF64" s="0" t="n">
        <f aca="false">IF(OR(BD64&lt;Inputs!$B$34,BE64&lt;Inputs!$B$35),1,0)</f>
        <v>0</v>
      </c>
      <c r="BG64" s="0" t="n">
        <f aca="false">MAX(AZ64,BC64,BF64)</f>
        <v>0</v>
      </c>
      <c r="BH64" s="0" t="n">
        <f aca="false">MIN(R64,N64)</f>
        <v>14908.1826226782</v>
      </c>
      <c r="BI64" s="0" t="n">
        <f aca="false">R64-BH64</f>
        <v>231509.687934523</v>
      </c>
      <c r="BJ64" s="0" t="n">
        <f aca="false">MIN(BI64,O64)</f>
        <v>0</v>
      </c>
      <c r="BK64" s="0" t="n">
        <f aca="false">BI64-BJ64</f>
        <v>231509.687934523</v>
      </c>
      <c r="BL64" s="0" t="n">
        <f aca="false">AZ64*MIN(AT64,BK64)</f>
        <v>0</v>
      </c>
      <c r="BM64" s="0" t="n">
        <f aca="false">AZ64*MIN(AU64,BK64-BL64)</f>
        <v>0</v>
      </c>
      <c r="BN64" s="0" t="n">
        <f aca="false">AZ64*MIN(AV64,BK64-BL64-BM64)</f>
        <v>0</v>
      </c>
      <c r="BO64" s="0" t="n">
        <f aca="false">BK64-BL64-BM64-BN64</f>
        <v>231509.687934523</v>
      </c>
      <c r="BP64" s="0" t="n">
        <f aca="false">MIN(BO64,P64)</f>
        <v>0</v>
      </c>
      <c r="BQ64" s="0" t="n">
        <f aca="false">BO64-BP64</f>
        <v>231509.687934523</v>
      </c>
      <c r="BR64" s="0" t="n">
        <f aca="false">BC64*MIN((AT64-BL64),BQ64)</f>
        <v>0</v>
      </c>
      <c r="BS64" s="0" t="n">
        <f aca="false">BC64*MIN((AU64-BM64),BQ64-BR64)</f>
        <v>0</v>
      </c>
      <c r="BT64" s="0" t="n">
        <f aca="false">BC64*MIN((AV64-BN64),BQ64-BR64-BS64)</f>
        <v>0</v>
      </c>
      <c r="BU64" s="0" t="n">
        <f aca="false">BQ64-BR64-BS64-BT64</f>
        <v>231509.687934523</v>
      </c>
      <c r="BV64" s="0" t="n">
        <f aca="false">MIN(BU64,Q64)</f>
        <v>58544.0600397825</v>
      </c>
      <c r="BW64" s="0" t="n">
        <f aca="false">BU64-BV64</f>
        <v>172965.627894741</v>
      </c>
      <c r="BX64" s="0" t="n">
        <f aca="false">BF64*MIN((AT64-BL64-BR64),BW64)</f>
        <v>0</v>
      </c>
      <c r="BY64" s="0" t="n">
        <f aca="false">BF64*MIN((AU64-BM64-BS64),BW64-BX64)</f>
        <v>0</v>
      </c>
      <c r="BZ64" s="0" t="n">
        <f aca="false">BF64*MIN((AV64-BN64-BT64),BW64-BX64-BY64)</f>
        <v>0</v>
      </c>
      <c r="CA64" s="0" t="n">
        <f aca="false">BW64-BX64-BY64-BZ64</f>
        <v>172965.627894741</v>
      </c>
      <c r="CB64" s="0" t="n">
        <f aca="false">MAX(0,AT64+AU64+AV64-BL64-BM64-BN64-BR64-BS64-BT64-BX64-BY64-BZ64-AW64)</f>
        <v>0</v>
      </c>
      <c r="CC64" s="0" t="n">
        <f aca="false">1*MIN((AT64-BL64-BR64-BX64),MIN(CA64,CB64))</f>
        <v>0</v>
      </c>
      <c r="CD64" s="0" t="n">
        <f aca="false">1*MIN((AU64-BM64-BS64-BY64),MIN(CA64,CB64)-CC64)</f>
        <v>0</v>
      </c>
      <c r="CE64" s="0" t="n">
        <f aca="false">1*MIN((AV64-BN64-BT64-BZ64),MIN(CA64,CB64)-CC64-CD64)</f>
        <v>0</v>
      </c>
      <c r="CF64" s="0" t="n">
        <f aca="false">CA64-CC64-CD64-CE64</f>
        <v>172965.627894741</v>
      </c>
      <c r="CG64" s="0" t="n">
        <f aca="false">IF(C64+D64+E64&gt;Inputs!$B$19,MIN(CF64,MAX(0,Inputs!$B$15-DO63)),0)</f>
        <v>0</v>
      </c>
      <c r="CH64" s="0" t="n">
        <f aca="false">CF64-CG64</f>
        <v>172965.627894741</v>
      </c>
      <c r="CI64" s="0" t="n">
        <f aca="false">DO63+CG64</f>
        <v>3000000</v>
      </c>
      <c r="CJ64" s="0" t="n">
        <f aca="false">MIN(MAX(N64-BH64,0),CI64)</f>
        <v>0</v>
      </c>
      <c r="CK64" s="0" t="n">
        <f aca="false">MIN(MAX(O64-BJ64,0),CI64-CJ64)</f>
        <v>0</v>
      </c>
      <c r="CL64" s="0" t="n">
        <f aca="false">MIN(MAX(P64-BP64,0),CI64-CJ64-CK64)</f>
        <v>0</v>
      </c>
      <c r="CM64" s="0" t="n">
        <f aca="false">CJ64+CK64+CL64</f>
        <v>0</v>
      </c>
      <c r="CN64" s="0" t="n">
        <f aca="false">CI64-CM64</f>
        <v>3000000</v>
      </c>
      <c r="CO64" s="0" t="n">
        <f aca="false">BH64+CJ64</f>
        <v>14908.1826226782</v>
      </c>
      <c r="CP64" s="0" t="n">
        <f aca="false">BJ64+CK64</f>
        <v>0</v>
      </c>
      <c r="CQ64" s="0" t="n">
        <f aca="false">BP64+CL64</f>
        <v>0</v>
      </c>
      <c r="CR64" s="0" t="n">
        <f aca="false">BV64</f>
        <v>58544.0600397825</v>
      </c>
      <c r="CS64" s="0" t="n">
        <f aca="false">AT64-BL64-BR64-BX64-CC64</f>
        <v>0</v>
      </c>
      <c r="CT64" s="0" t="n">
        <f aca="false">AU64-BM64-BS64-BY64-CD64</f>
        <v>0</v>
      </c>
      <c r="CU64" s="0" t="n">
        <f aca="false">AV64-BN64-BT64-BZ64-CE64</f>
        <v>6724711.77117579</v>
      </c>
      <c r="CV64" s="0" t="n">
        <f aca="false">MAX(0,CS64+CT64+CU64-AW64)</f>
        <v>0</v>
      </c>
      <c r="CW64" s="0" t="n">
        <f aca="false">MIN(CU64,CV64)</f>
        <v>0</v>
      </c>
      <c r="CX64" s="0" t="n">
        <f aca="false">MIN(CT64,CV64-CW64)</f>
        <v>0</v>
      </c>
      <c r="CY64" s="0" t="n">
        <f aca="false">MIN(CS64,CV64-CW64-CX64)</f>
        <v>0</v>
      </c>
      <c r="CZ64" s="0" t="n">
        <f aca="false">IF(CS64-CY64&lt;Inputs!$B$19,0,CS64-CY64)</f>
        <v>0</v>
      </c>
      <c r="DA64" s="0" t="n">
        <f aca="false">IF(CT64-CX64&lt;Inputs!$B$19,0,CT64-CX64)</f>
        <v>0</v>
      </c>
      <c r="DB64" s="0" t="n">
        <f aca="false">IF(CU64-CW64&lt;Inputs!$B$19,0,CU64-CW64)</f>
        <v>6724711.77117579</v>
      </c>
      <c r="DC64" s="0" t="n">
        <f aca="false">N64-CO64</f>
        <v>0</v>
      </c>
      <c r="DD64" s="0" t="n">
        <f aca="false">O64-CP64</f>
        <v>0</v>
      </c>
      <c r="DE64" s="0" t="n">
        <f aca="false">P64-CQ64</f>
        <v>0</v>
      </c>
      <c r="DF64" s="0" t="n">
        <f aca="false">Q64-CR64</f>
        <v>0</v>
      </c>
      <c r="DG64" s="0" t="n">
        <f aca="false">IF(CZ64+DA64+DB64&lt;=Inputs!$B$19,1,0)</f>
        <v>0</v>
      </c>
      <c r="DH64" s="0" t="n">
        <f aca="false">DG64*CN64</f>
        <v>0</v>
      </c>
      <c r="DI64" s="0" t="n">
        <f aca="false">DG64*(AS64+DH64)</f>
        <v>0</v>
      </c>
      <c r="DJ64" s="0" t="n">
        <f aca="false">DG64*MIN(DC64,DI64)</f>
        <v>0</v>
      </c>
      <c r="DK64" s="0" t="n">
        <f aca="false">DG64*MIN(DD64,DI64-DJ64)</f>
        <v>0</v>
      </c>
      <c r="DL64" s="0" t="n">
        <f aca="false">DG64*MIN(DE64,DI64-DJ64-DK64)</f>
        <v>0</v>
      </c>
      <c r="DM64" s="0" t="n">
        <f aca="false">DG64*MIN(DF64,DI64-DJ64-DK64-DL64)</f>
        <v>0</v>
      </c>
      <c r="DN64" s="0" t="n">
        <f aca="false">DJ64+DK64+DL64+DM64</f>
        <v>0</v>
      </c>
      <c r="DO64" s="0" t="n">
        <f aca="false">CN64-DH64</f>
        <v>3000000</v>
      </c>
      <c r="DP64" s="0" t="n">
        <f aca="false">DC64-DJ64</f>
        <v>0</v>
      </c>
      <c r="DQ64" s="0" t="n">
        <f aca="false">DD64-DK64</f>
        <v>0</v>
      </c>
      <c r="DR64" s="0" t="n">
        <f aca="false">DE64-DL64</f>
        <v>0</v>
      </c>
      <c r="DS64" s="0" t="n">
        <f aca="false">DF64-DM64</f>
        <v>0</v>
      </c>
      <c r="DT64" s="0" t="n">
        <f aca="false">CO64+DJ64</f>
        <v>14908.1826226782</v>
      </c>
      <c r="DU64" s="0" t="n">
        <f aca="false">CP64+DK64</f>
        <v>0</v>
      </c>
      <c r="DV64" s="0" t="n">
        <f aca="false">AP64+BL64+BR64+BX64+CC64</f>
        <v>0</v>
      </c>
      <c r="DW64" s="0" t="n">
        <f aca="false">CQ64+DL64</f>
        <v>0</v>
      </c>
      <c r="DX64" s="0" t="n">
        <f aca="false">AQ64+BM64+BS64+BY64+CD64</f>
        <v>0</v>
      </c>
      <c r="DY64" s="0" t="n">
        <f aca="false">CR64+DM64</f>
        <v>58544.0600397825</v>
      </c>
      <c r="DZ64" s="0" t="n">
        <f aca="false">AR64+BN64+BT64+BZ64+CE64</f>
        <v>2642337.83518941</v>
      </c>
      <c r="EA64" s="0" t="n">
        <f aca="false">DI64-DN64</f>
        <v>0</v>
      </c>
      <c r="EB64" s="0" t="n">
        <f aca="false">CH64+EA64</f>
        <v>172965.627894741</v>
      </c>
      <c r="EC64" s="0" t="n">
        <f aca="false">R64-I64-MAX(-M64,0)-J64-K64-L64</f>
        <v>172965.627894741</v>
      </c>
      <c r="ED64" s="0" t="n">
        <f aca="false">R64+S64+CM64+DH64-CG64-DT64-DU64-DW64-DY64-DV64-DX64-DZ64-EB64</f>
        <v>0</v>
      </c>
      <c r="EE64" s="0" t="n">
        <f aca="false">IF(AND(EB64&gt;0.000001,DP64+DQ64+DR64+DS64&gt;0.000001),1,0)</f>
        <v>0</v>
      </c>
    </row>
    <row r="65" customFormat="false" ht="15" hidden="false" customHeight="false" outlineLevel="0" collapsed="false">
      <c r="A65" s="0" t="n">
        <f aca="false">ROW()-5</f>
        <v>60</v>
      </c>
      <c r="B65" s="0" t="n">
        <f aca="false">Inputs!$B$11+(Inputs!$B$12-Inputs!$B$11)*(1-EXP(-A65/Inputs!$B$13))+Inputs!$B$8</f>
        <v>0.0333618924855509</v>
      </c>
      <c r="C65" s="0" t="n">
        <f aca="false">CZ64</f>
        <v>0</v>
      </c>
      <c r="D65" s="0" t="n">
        <f aca="false">DA64</f>
        <v>0</v>
      </c>
      <c r="E65" s="0" t="n">
        <f aca="false">DB64</f>
        <v>6724711.77117579</v>
      </c>
      <c r="F65" s="0" t="n">
        <f aca="false">IF(Inputs!$B$22=1,B65+Inputs!$B$23,Inputs!$B$23)/12</f>
        <v>0.00369682437379591</v>
      </c>
      <c r="G65" s="0" t="n">
        <f aca="false">IF(Inputs!$B$27=1,B65+Inputs!$B$28,Inputs!$B$28)/12</f>
        <v>0.00465515770712925</v>
      </c>
      <c r="H65" s="0" t="n">
        <f aca="false">IF(Inputs!$B$32=1,B65+Inputs!$B$33,Inputs!$B$33)/12</f>
        <v>0.00625</v>
      </c>
      <c r="I65" s="0" t="n">
        <f aca="false">Pool!BT65*Inputs!$B$14/12</f>
        <v>13519.1598460569</v>
      </c>
      <c r="J65" s="0" t="n">
        <f aca="false">C65*F65</f>
        <v>0</v>
      </c>
      <c r="K65" s="0" t="n">
        <f aca="false">D65*G65</f>
        <v>0</v>
      </c>
      <c r="L65" s="0" t="n">
        <f aca="false">E65*H65</f>
        <v>42029.4485698487</v>
      </c>
      <c r="M65" s="0" t="n">
        <f aca="false">Inputs!$B$17*(C65*Inputs!$B$22+D65*Inputs!$B$27+E65*Inputs!$B$32)*(B65-Inputs!$B$18)/12</f>
        <v>-0</v>
      </c>
      <c r="N65" s="0" t="n">
        <f aca="false">DP64+I65+MAX(-M65,0)</f>
        <v>13519.1598460569</v>
      </c>
      <c r="O65" s="0" t="n">
        <f aca="false">DQ64+J65</f>
        <v>0</v>
      </c>
      <c r="P65" s="0" t="n">
        <f aca="false">DR64+K65</f>
        <v>0</v>
      </c>
      <c r="Q65" s="0" t="n">
        <f aca="false">DS64+L65</f>
        <v>42029.4485698487</v>
      </c>
      <c r="R65" s="0" t="n">
        <f aca="false">Pool!BV65+MAX(M65,0)</f>
        <v>224788.025513584</v>
      </c>
      <c r="S65" s="0" t="n">
        <f aca="false">Pool!BW65+Pool!BX65+Pool!BZ65</f>
        <v>2607401.11202111</v>
      </c>
      <c r="T65" s="0" t="n">
        <f aca="false">MAX(T64,BG64)</f>
        <v>1</v>
      </c>
      <c r="U65" s="0" t="n">
        <f aca="false">MIN(C65,S65)</f>
        <v>0</v>
      </c>
      <c r="V65" s="0" t="n">
        <f aca="false">MIN(D65,S65-U65)</f>
        <v>0</v>
      </c>
      <c r="W65" s="0" t="n">
        <f aca="false">MIN(E65,S65-U65-V65)</f>
        <v>2607401.11202111</v>
      </c>
      <c r="X65" s="0" t="n">
        <f aca="false">IF(C65-(0)&gt;Inputs!$B$19,1,0)</f>
        <v>0</v>
      </c>
      <c r="Y65" s="0" t="n">
        <f aca="false">IF(D65-(0)&gt;Inputs!$B$19,1,0)</f>
        <v>0</v>
      </c>
      <c r="Z65" s="0" t="n">
        <f aca="false">IF(E65-(0)&gt;Inputs!$B$19,1,0)</f>
        <v>1</v>
      </c>
      <c r="AA65" s="0" t="n">
        <f aca="false">IF((X65*C65+Y65*D65+Z65*E65)&gt;0,MIN(C65-(0),S65*X65*C65/(X65*C65+Y65*D65+Z65*E65)),0)</f>
        <v>0</v>
      </c>
      <c r="AB65" s="0" t="n">
        <f aca="false">IF((X65*C65+Y65*D65+Z65*E65)&gt;0,MIN(D65-(0),S65*Y65*D65/(X65*C65+Y65*D65+Z65*E65)),0)</f>
        <v>0</v>
      </c>
      <c r="AC65" s="0" t="n">
        <f aca="false">IF((X65*C65+Y65*D65+Z65*E65)&gt;0,MIN(E65-(0),S65*Z65*E65/(X65*C65+Y65*D65+Z65*E65)),0)</f>
        <v>2607401.11202111</v>
      </c>
      <c r="AD65" s="0" t="n">
        <f aca="false">IF(C65-(AA65)&gt;Inputs!$B$19,1,0)</f>
        <v>0</v>
      </c>
      <c r="AE65" s="0" t="n">
        <f aca="false">IF(D65-(AB65)&gt;Inputs!$B$19,1,0)</f>
        <v>0</v>
      </c>
      <c r="AF65" s="0" t="n">
        <f aca="false">IF(E65-(AC65)&gt;Inputs!$B$19,1,0)</f>
        <v>1</v>
      </c>
      <c r="AG65" s="0" t="n">
        <f aca="false">IF((AD65*C65+AE65*D65+AF65*E65)&gt;0,MIN(C65-(AA65),(S65-(AA65+AB65+AC65))*AD65*C65/(AD65*C65+AE65*D65+AF65*E65)),0)</f>
        <v>0</v>
      </c>
      <c r="AH65" s="0" t="n">
        <f aca="false">IF((AD65*C65+AE65*D65+AF65*E65)&gt;0,MIN(D65-(AB65),(S65-(AA65+AB65+AC65))*AE65*D65/(AD65*C65+AE65*D65+AF65*E65)),0)</f>
        <v>0</v>
      </c>
      <c r="AI65" s="0" t="n">
        <f aca="false">IF((AD65*C65+AE65*D65+AF65*E65)&gt;0,MIN(E65-(AC65),(S65-(AA65+AB65+AC65))*AF65*E65/(AD65*C65+AE65*D65+AF65*E65)),0)</f>
        <v>0</v>
      </c>
      <c r="AJ65" s="0" t="n">
        <f aca="false">IF(C65-(AA65+AG65)&gt;Inputs!$B$19,1,0)</f>
        <v>0</v>
      </c>
      <c r="AK65" s="0" t="n">
        <f aca="false">IF(D65-(AB65+AH65)&gt;Inputs!$B$19,1,0)</f>
        <v>0</v>
      </c>
      <c r="AL65" s="0" t="n">
        <f aca="false">IF(E65-(AC65+AI65)&gt;Inputs!$B$19,1,0)</f>
        <v>1</v>
      </c>
      <c r="AM65" s="0" t="n">
        <f aca="false">IF((AJ65*C65+AK65*D65+AL65*E65)&gt;0,MIN(C65-(AA65+AG65),(S65-(AA65+AB65+AC65+AG65+AH65+AI65))*AJ65*C65/(AJ65*C65+AK65*D65+AL65*E65)),0)</f>
        <v>0</v>
      </c>
      <c r="AN65" s="0" t="n">
        <f aca="false">IF((AJ65*C65+AK65*D65+AL65*E65)&gt;0,MIN(D65-(AB65+AH65),(S65-(AA65+AB65+AC65+AG65+AH65+AI65))*AK65*D65/(AJ65*C65+AK65*D65+AL65*E65)),0)</f>
        <v>0</v>
      </c>
      <c r="AO65" s="0" t="n">
        <f aca="false">IF((AJ65*C65+AK65*D65+AL65*E65)&gt;0,MIN(E65-(AC65+AI65),(S65-(AA65+AB65+AC65+AG65+AH65+AI65))*AL65*E65/(AJ65*C65+AK65*D65+AL65*E65)),0)</f>
        <v>0</v>
      </c>
      <c r="AP65" s="0" t="n">
        <f aca="false">IF(T65=1,U65,AA65+AG65+AM65)</f>
        <v>0</v>
      </c>
      <c r="AQ65" s="0" t="n">
        <f aca="false">IF(T65=1,V65,AB65+AH65+AN65)</f>
        <v>0</v>
      </c>
      <c r="AR65" s="0" t="n">
        <f aca="false">IF(T65=1,W65,AC65+AI65+AO65)</f>
        <v>2607401.11202111</v>
      </c>
      <c r="AS65" s="0" t="n">
        <f aca="false">S65-AP65-AQ65-AR65</f>
        <v>0</v>
      </c>
      <c r="AT65" s="0" t="n">
        <f aca="false">C65-AP65</f>
        <v>0</v>
      </c>
      <c r="AU65" s="0" t="n">
        <f aca="false">D65-AQ65</f>
        <v>0</v>
      </c>
      <c r="AV65" s="0" t="n">
        <f aca="false">E65-AR65</f>
        <v>4117310.65915467</v>
      </c>
      <c r="AW65" s="0" t="n">
        <f aca="false">Pool!CB65</f>
        <v>23438815.8067187</v>
      </c>
      <c r="AX65" s="0" t="n">
        <f aca="false">IF((AT65)&gt;Inputs!$B$19,AW65/(AT65),1000000000)</f>
        <v>1000000000</v>
      </c>
      <c r="AY65" s="0" t="n">
        <f aca="false">IF((J65)&gt;0.000000001,(R65-I65-MAX(-M65,0))/(J65),1000000000)</f>
        <v>1000000000</v>
      </c>
      <c r="AZ65" s="0" t="n">
        <f aca="false">IF(OR(AX65&lt;Inputs!$B$24,AY65&lt;Inputs!$B$25),1,0)</f>
        <v>0</v>
      </c>
      <c r="BA65" s="0" t="n">
        <f aca="false">IF((AT65+AU65)&gt;Inputs!$B$19,AW65/(AT65+AU65),1000000000)</f>
        <v>1000000000</v>
      </c>
      <c r="BB65" s="0" t="n">
        <f aca="false">IF((J65+K65)&gt;0.000000001,(R65-I65-MAX(-M65,0))/(J65+K65),1000000000)</f>
        <v>1000000000</v>
      </c>
      <c r="BC65" s="0" t="n">
        <f aca="false">IF(OR(BA65&lt;Inputs!$B$29,BB65&lt;Inputs!$B$30),1,0)</f>
        <v>0</v>
      </c>
      <c r="BD65" s="0" t="n">
        <f aca="false">IF((AT65+AU65+AV65)&gt;Inputs!$B$19,AW65/(AT65+AU65+AV65),1000000000)</f>
        <v>5.69274891963846</v>
      </c>
      <c r="BE65" s="0" t="n">
        <f aca="false">IF((J65+K65+L65)&gt;0.000000001,(R65-I65-MAX(-M65,0))/(J65+K65+L65),1000000000)</f>
        <v>5.02668659372058</v>
      </c>
      <c r="BF65" s="0" t="n">
        <f aca="false">IF(OR(BD65&lt;Inputs!$B$34,BE65&lt;Inputs!$B$35),1,0)</f>
        <v>0</v>
      </c>
      <c r="BG65" s="0" t="n">
        <f aca="false">MAX(AZ65,BC65,BF65)</f>
        <v>0</v>
      </c>
      <c r="BH65" s="0" t="n">
        <f aca="false">MIN(R65,N65)</f>
        <v>13519.1598460569</v>
      </c>
      <c r="BI65" s="0" t="n">
        <f aca="false">R65-BH65</f>
        <v>211268.865667527</v>
      </c>
      <c r="BJ65" s="0" t="n">
        <f aca="false">MIN(BI65,O65)</f>
        <v>0</v>
      </c>
      <c r="BK65" s="0" t="n">
        <f aca="false">BI65-BJ65</f>
        <v>211268.865667527</v>
      </c>
      <c r="BL65" s="0" t="n">
        <f aca="false">AZ65*MIN(AT65,BK65)</f>
        <v>0</v>
      </c>
      <c r="BM65" s="0" t="n">
        <f aca="false">AZ65*MIN(AU65,BK65-BL65)</f>
        <v>0</v>
      </c>
      <c r="BN65" s="0" t="n">
        <f aca="false">AZ65*MIN(AV65,BK65-BL65-BM65)</f>
        <v>0</v>
      </c>
      <c r="BO65" s="0" t="n">
        <f aca="false">BK65-BL65-BM65-BN65</f>
        <v>211268.865667527</v>
      </c>
      <c r="BP65" s="0" t="n">
        <f aca="false">MIN(BO65,P65)</f>
        <v>0</v>
      </c>
      <c r="BQ65" s="0" t="n">
        <f aca="false">BO65-BP65</f>
        <v>211268.865667527</v>
      </c>
      <c r="BR65" s="0" t="n">
        <f aca="false">BC65*MIN((AT65-BL65),BQ65)</f>
        <v>0</v>
      </c>
      <c r="BS65" s="0" t="n">
        <f aca="false">BC65*MIN((AU65-BM65),BQ65-BR65)</f>
        <v>0</v>
      </c>
      <c r="BT65" s="0" t="n">
        <f aca="false">BC65*MIN((AV65-BN65),BQ65-BR65-BS65)</f>
        <v>0</v>
      </c>
      <c r="BU65" s="0" t="n">
        <f aca="false">BQ65-BR65-BS65-BT65</f>
        <v>211268.865667527</v>
      </c>
      <c r="BV65" s="0" t="n">
        <f aca="false">MIN(BU65,Q65)</f>
        <v>42029.4485698487</v>
      </c>
      <c r="BW65" s="0" t="n">
        <f aca="false">BU65-BV65</f>
        <v>169239.417097678</v>
      </c>
      <c r="BX65" s="0" t="n">
        <f aca="false">BF65*MIN((AT65-BL65-BR65),BW65)</f>
        <v>0</v>
      </c>
      <c r="BY65" s="0" t="n">
        <f aca="false">BF65*MIN((AU65-BM65-BS65),BW65-BX65)</f>
        <v>0</v>
      </c>
      <c r="BZ65" s="0" t="n">
        <f aca="false">BF65*MIN((AV65-BN65-BT65),BW65-BX65-BY65)</f>
        <v>0</v>
      </c>
      <c r="CA65" s="0" t="n">
        <f aca="false">BW65-BX65-BY65-BZ65</f>
        <v>169239.417097678</v>
      </c>
      <c r="CB65" s="0" t="n">
        <f aca="false">MAX(0,AT65+AU65+AV65-BL65-BM65-BN65-BR65-BS65-BT65-BX65-BY65-BZ65-AW65)</f>
        <v>0</v>
      </c>
      <c r="CC65" s="0" t="n">
        <f aca="false">1*MIN((AT65-BL65-BR65-BX65),MIN(CA65,CB65))</f>
        <v>0</v>
      </c>
      <c r="CD65" s="0" t="n">
        <f aca="false">1*MIN((AU65-BM65-BS65-BY65),MIN(CA65,CB65)-CC65)</f>
        <v>0</v>
      </c>
      <c r="CE65" s="0" t="n">
        <f aca="false">1*MIN((AV65-BN65-BT65-BZ65),MIN(CA65,CB65)-CC65-CD65)</f>
        <v>0</v>
      </c>
      <c r="CF65" s="0" t="n">
        <f aca="false">CA65-CC65-CD65-CE65</f>
        <v>169239.417097678</v>
      </c>
      <c r="CG65" s="0" t="n">
        <f aca="false">IF(C65+D65+E65&gt;Inputs!$B$19,MIN(CF65,MAX(0,Inputs!$B$15-DO64)),0)</f>
        <v>0</v>
      </c>
      <c r="CH65" s="0" t="n">
        <f aca="false">CF65-CG65</f>
        <v>169239.417097678</v>
      </c>
      <c r="CI65" s="0" t="n">
        <f aca="false">DO64+CG65</f>
        <v>3000000</v>
      </c>
      <c r="CJ65" s="0" t="n">
        <f aca="false">MIN(MAX(N65-BH65,0),CI65)</f>
        <v>0</v>
      </c>
      <c r="CK65" s="0" t="n">
        <f aca="false">MIN(MAX(O65-BJ65,0),CI65-CJ65)</f>
        <v>0</v>
      </c>
      <c r="CL65" s="0" t="n">
        <f aca="false">MIN(MAX(P65-BP65,0),CI65-CJ65-CK65)</f>
        <v>0</v>
      </c>
      <c r="CM65" s="0" t="n">
        <f aca="false">CJ65+CK65+CL65</f>
        <v>0</v>
      </c>
      <c r="CN65" s="0" t="n">
        <f aca="false">CI65-CM65</f>
        <v>3000000</v>
      </c>
      <c r="CO65" s="0" t="n">
        <f aca="false">BH65+CJ65</f>
        <v>13519.1598460569</v>
      </c>
      <c r="CP65" s="0" t="n">
        <f aca="false">BJ65+CK65</f>
        <v>0</v>
      </c>
      <c r="CQ65" s="0" t="n">
        <f aca="false">BP65+CL65</f>
        <v>0</v>
      </c>
      <c r="CR65" s="0" t="n">
        <f aca="false">BV65</f>
        <v>42029.4485698487</v>
      </c>
      <c r="CS65" s="0" t="n">
        <f aca="false">AT65-BL65-BR65-BX65-CC65</f>
        <v>0</v>
      </c>
      <c r="CT65" s="0" t="n">
        <f aca="false">AU65-BM65-BS65-BY65-CD65</f>
        <v>0</v>
      </c>
      <c r="CU65" s="0" t="n">
        <f aca="false">AV65-BN65-BT65-BZ65-CE65</f>
        <v>4117310.65915467</v>
      </c>
      <c r="CV65" s="0" t="n">
        <f aca="false">MAX(0,CS65+CT65+CU65-AW65)</f>
        <v>0</v>
      </c>
      <c r="CW65" s="0" t="n">
        <f aca="false">MIN(CU65,CV65)</f>
        <v>0</v>
      </c>
      <c r="CX65" s="0" t="n">
        <f aca="false">MIN(CT65,CV65-CW65)</f>
        <v>0</v>
      </c>
      <c r="CY65" s="0" t="n">
        <f aca="false">MIN(CS65,CV65-CW65-CX65)</f>
        <v>0</v>
      </c>
      <c r="CZ65" s="0" t="n">
        <f aca="false">IF(CS65-CY65&lt;Inputs!$B$19,0,CS65-CY65)</f>
        <v>0</v>
      </c>
      <c r="DA65" s="0" t="n">
        <f aca="false">IF(CT65-CX65&lt;Inputs!$B$19,0,CT65-CX65)</f>
        <v>0</v>
      </c>
      <c r="DB65" s="0" t="n">
        <f aca="false">IF(CU65-CW65&lt;Inputs!$B$19,0,CU65-CW65)</f>
        <v>4117310.65915467</v>
      </c>
      <c r="DC65" s="0" t="n">
        <f aca="false">N65-CO65</f>
        <v>0</v>
      </c>
      <c r="DD65" s="0" t="n">
        <f aca="false">O65-CP65</f>
        <v>0</v>
      </c>
      <c r="DE65" s="0" t="n">
        <f aca="false">P65-CQ65</f>
        <v>0</v>
      </c>
      <c r="DF65" s="0" t="n">
        <f aca="false">Q65-CR65</f>
        <v>0</v>
      </c>
      <c r="DG65" s="0" t="n">
        <f aca="false">IF(CZ65+DA65+DB65&lt;=Inputs!$B$19,1,0)</f>
        <v>0</v>
      </c>
      <c r="DH65" s="0" t="n">
        <f aca="false">DG65*CN65</f>
        <v>0</v>
      </c>
      <c r="DI65" s="0" t="n">
        <f aca="false">DG65*(AS65+DH65)</f>
        <v>0</v>
      </c>
      <c r="DJ65" s="0" t="n">
        <f aca="false">DG65*MIN(DC65,DI65)</f>
        <v>0</v>
      </c>
      <c r="DK65" s="0" t="n">
        <f aca="false">DG65*MIN(DD65,DI65-DJ65)</f>
        <v>0</v>
      </c>
      <c r="DL65" s="0" t="n">
        <f aca="false">DG65*MIN(DE65,DI65-DJ65-DK65)</f>
        <v>0</v>
      </c>
      <c r="DM65" s="0" t="n">
        <f aca="false">DG65*MIN(DF65,DI65-DJ65-DK65-DL65)</f>
        <v>0</v>
      </c>
      <c r="DN65" s="0" t="n">
        <f aca="false">DJ65+DK65+DL65+DM65</f>
        <v>0</v>
      </c>
      <c r="DO65" s="0" t="n">
        <f aca="false">CN65-DH65</f>
        <v>3000000</v>
      </c>
      <c r="DP65" s="0" t="n">
        <f aca="false">DC65-DJ65</f>
        <v>0</v>
      </c>
      <c r="DQ65" s="0" t="n">
        <f aca="false">DD65-DK65</f>
        <v>0</v>
      </c>
      <c r="DR65" s="0" t="n">
        <f aca="false">DE65-DL65</f>
        <v>0</v>
      </c>
      <c r="DS65" s="0" t="n">
        <f aca="false">DF65-DM65</f>
        <v>0</v>
      </c>
      <c r="DT65" s="0" t="n">
        <f aca="false">CO65+DJ65</f>
        <v>13519.1598460569</v>
      </c>
      <c r="DU65" s="0" t="n">
        <f aca="false">CP65+DK65</f>
        <v>0</v>
      </c>
      <c r="DV65" s="0" t="n">
        <f aca="false">AP65+BL65+BR65+BX65+CC65</f>
        <v>0</v>
      </c>
      <c r="DW65" s="0" t="n">
        <f aca="false">CQ65+DL65</f>
        <v>0</v>
      </c>
      <c r="DX65" s="0" t="n">
        <f aca="false">AQ65+BM65+BS65+BY65+CD65</f>
        <v>0</v>
      </c>
      <c r="DY65" s="0" t="n">
        <f aca="false">CR65+DM65</f>
        <v>42029.4485698487</v>
      </c>
      <c r="DZ65" s="0" t="n">
        <f aca="false">AR65+BN65+BT65+BZ65+CE65</f>
        <v>2607401.11202111</v>
      </c>
      <c r="EA65" s="0" t="n">
        <f aca="false">DI65-DN65</f>
        <v>0</v>
      </c>
      <c r="EB65" s="0" t="n">
        <f aca="false">CH65+EA65</f>
        <v>169239.417097678</v>
      </c>
      <c r="EC65" s="0" t="n">
        <f aca="false">R65-I65-MAX(-M65,0)-J65-K65-L65</f>
        <v>169239.417097678</v>
      </c>
      <c r="ED65" s="0" t="n">
        <f aca="false">R65+S65+CM65+DH65-CG65-DT65-DU65-DW65-DY65-DV65-DX65-DZ65-EB65</f>
        <v>0</v>
      </c>
      <c r="EE65" s="0" t="n">
        <f aca="false">IF(AND(EB65&gt;0.000001,DP65+DQ65+DR65+DS65&gt;0.000001),1,0)</f>
        <v>0</v>
      </c>
    </row>
    <row r="66" customFormat="false" ht="15" hidden="false" customHeight="false" outlineLevel="0" collapsed="false">
      <c r="A66" s="0" t="n">
        <f aca="false">ROW()-5</f>
        <v>61</v>
      </c>
      <c r="B66" s="0" t="n">
        <f aca="false">Inputs!$B$11+(Inputs!$B$12-Inputs!$B$11)*(1-EXP(-A66/Inputs!$B$13))+Inputs!$B$8</f>
        <v>0.0333267181853021</v>
      </c>
      <c r="C66" s="0" t="n">
        <f aca="false">CZ65</f>
        <v>0</v>
      </c>
      <c r="D66" s="0" t="n">
        <f aca="false">DA65</f>
        <v>0</v>
      </c>
      <c r="E66" s="0" t="n">
        <f aca="false">DB65</f>
        <v>4117310.65915467</v>
      </c>
      <c r="F66" s="0" t="n">
        <f aca="false">IF(Inputs!$B$22=1,B66+Inputs!$B$23,Inputs!$B$23)/12</f>
        <v>0.0036938931821085</v>
      </c>
      <c r="G66" s="0" t="n">
        <f aca="false">IF(Inputs!$B$27=1,B66+Inputs!$B$28,Inputs!$B$28)/12</f>
        <v>0.00465222651544184</v>
      </c>
      <c r="H66" s="0" t="n">
        <f aca="false">IF(Inputs!$B$32=1,B66+Inputs!$B$33,Inputs!$B$33)/12</f>
        <v>0.00625</v>
      </c>
      <c r="I66" s="0" t="n">
        <f aca="false">Pool!BT66*Inputs!$B$14/12</f>
        <v>12149.7011125577</v>
      </c>
      <c r="J66" s="0" t="n">
        <f aca="false">C66*F66</f>
        <v>0</v>
      </c>
      <c r="K66" s="0" t="n">
        <f aca="false">D66*G66</f>
        <v>0</v>
      </c>
      <c r="L66" s="0" t="n">
        <f aca="false">E66*H66</f>
        <v>25733.1916197167</v>
      </c>
      <c r="M66" s="0" t="n">
        <f aca="false">Inputs!$B$17*(C66*Inputs!$B$22+D66*Inputs!$B$27+E66*Inputs!$B$32)*(B66-Inputs!$B$18)/12</f>
        <v>-0</v>
      </c>
      <c r="N66" s="0" t="n">
        <f aca="false">DP65+I66+MAX(-M66,0)</f>
        <v>12149.7011125577</v>
      </c>
      <c r="O66" s="0" t="n">
        <f aca="false">DQ65+J66</f>
        <v>0</v>
      </c>
      <c r="P66" s="0" t="n">
        <f aca="false">DR65+K66</f>
        <v>0</v>
      </c>
      <c r="Q66" s="0" t="n">
        <f aca="false">DS65+L66</f>
        <v>25733.1916197167</v>
      </c>
      <c r="R66" s="0" t="n">
        <f aca="false">Pool!BV66+MAX(M66,0)</f>
        <v>203461.293298793</v>
      </c>
      <c r="S66" s="0" t="n">
        <f aca="false">Pool!BW66+Pool!BX66+Pool!BZ66</f>
        <v>1438319.10932049</v>
      </c>
      <c r="T66" s="0" t="n">
        <f aca="false">MAX(T65,BG65)</f>
        <v>1</v>
      </c>
      <c r="U66" s="0" t="n">
        <f aca="false">MIN(C66,S66)</f>
        <v>0</v>
      </c>
      <c r="V66" s="0" t="n">
        <f aca="false">MIN(D66,S66-U66)</f>
        <v>0</v>
      </c>
      <c r="W66" s="0" t="n">
        <f aca="false">MIN(E66,S66-U66-V66)</f>
        <v>1438319.10932049</v>
      </c>
      <c r="X66" s="0" t="n">
        <f aca="false">IF(C66-(0)&gt;Inputs!$B$19,1,0)</f>
        <v>0</v>
      </c>
      <c r="Y66" s="0" t="n">
        <f aca="false">IF(D66-(0)&gt;Inputs!$B$19,1,0)</f>
        <v>0</v>
      </c>
      <c r="Z66" s="0" t="n">
        <f aca="false">IF(E66-(0)&gt;Inputs!$B$19,1,0)</f>
        <v>1</v>
      </c>
      <c r="AA66" s="0" t="n">
        <f aca="false">IF((X66*C66+Y66*D66+Z66*E66)&gt;0,MIN(C66-(0),S66*X66*C66/(X66*C66+Y66*D66+Z66*E66)),0)</f>
        <v>0</v>
      </c>
      <c r="AB66" s="0" t="n">
        <f aca="false">IF((X66*C66+Y66*D66+Z66*E66)&gt;0,MIN(D66-(0),S66*Y66*D66/(X66*C66+Y66*D66+Z66*E66)),0)</f>
        <v>0</v>
      </c>
      <c r="AC66" s="0" t="n">
        <f aca="false">IF((X66*C66+Y66*D66+Z66*E66)&gt;0,MIN(E66-(0),S66*Z66*E66/(X66*C66+Y66*D66+Z66*E66)),0)</f>
        <v>1438319.10932049</v>
      </c>
      <c r="AD66" s="0" t="n">
        <f aca="false">IF(C66-(AA66)&gt;Inputs!$B$19,1,0)</f>
        <v>0</v>
      </c>
      <c r="AE66" s="0" t="n">
        <f aca="false">IF(D66-(AB66)&gt;Inputs!$B$19,1,0)</f>
        <v>0</v>
      </c>
      <c r="AF66" s="0" t="n">
        <f aca="false">IF(E66-(AC66)&gt;Inputs!$B$19,1,0)</f>
        <v>1</v>
      </c>
      <c r="AG66" s="0" t="n">
        <f aca="false">IF((AD66*C66+AE66*D66+AF66*E66)&gt;0,MIN(C66-(AA66),(S66-(AA66+AB66+AC66))*AD66*C66/(AD66*C66+AE66*D66+AF66*E66)),0)</f>
        <v>0</v>
      </c>
      <c r="AH66" s="0" t="n">
        <f aca="false">IF((AD66*C66+AE66*D66+AF66*E66)&gt;0,MIN(D66-(AB66),(S66-(AA66+AB66+AC66))*AE66*D66/(AD66*C66+AE66*D66+AF66*E66)),0)</f>
        <v>0</v>
      </c>
      <c r="AI66" s="0" t="n">
        <f aca="false">IF((AD66*C66+AE66*D66+AF66*E66)&gt;0,MIN(E66-(AC66),(S66-(AA66+AB66+AC66))*AF66*E66/(AD66*C66+AE66*D66+AF66*E66)),0)</f>
        <v>0</v>
      </c>
      <c r="AJ66" s="0" t="n">
        <f aca="false">IF(C66-(AA66+AG66)&gt;Inputs!$B$19,1,0)</f>
        <v>0</v>
      </c>
      <c r="AK66" s="0" t="n">
        <f aca="false">IF(D66-(AB66+AH66)&gt;Inputs!$B$19,1,0)</f>
        <v>0</v>
      </c>
      <c r="AL66" s="0" t="n">
        <f aca="false">IF(E66-(AC66+AI66)&gt;Inputs!$B$19,1,0)</f>
        <v>1</v>
      </c>
      <c r="AM66" s="0" t="n">
        <f aca="false">IF((AJ66*C66+AK66*D66+AL66*E66)&gt;0,MIN(C66-(AA66+AG66),(S66-(AA66+AB66+AC66+AG66+AH66+AI66))*AJ66*C66/(AJ66*C66+AK66*D66+AL66*E66)),0)</f>
        <v>0</v>
      </c>
      <c r="AN66" s="0" t="n">
        <f aca="false">IF((AJ66*C66+AK66*D66+AL66*E66)&gt;0,MIN(D66-(AB66+AH66),(S66-(AA66+AB66+AC66+AG66+AH66+AI66))*AK66*D66/(AJ66*C66+AK66*D66+AL66*E66)),0)</f>
        <v>0</v>
      </c>
      <c r="AO66" s="0" t="n">
        <f aca="false">IF((AJ66*C66+AK66*D66+AL66*E66)&gt;0,MIN(E66-(AC66+AI66),(S66-(AA66+AB66+AC66+AG66+AH66+AI66))*AL66*E66/(AJ66*C66+AK66*D66+AL66*E66)),0)</f>
        <v>0</v>
      </c>
      <c r="AP66" s="0" t="n">
        <f aca="false">IF(T66=1,U66,AA66+AG66+AM66)</f>
        <v>0</v>
      </c>
      <c r="AQ66" s="0" t="n">
        <f aca="false">IF(T66=1,V66,AB66+AH66+AN66)</f>
        <v>0</v>
      </c>
      <c r="AR66" s="0" t="n">
        <f aca="false">IF(T66=1,W66,AC66+AI66+AO66)</f>
        <v>1438319.10932049</v>
      </c>
      <c r="AS66" s="0" t="n">
        <f aca="false">S66-AP66-AQ66-AR66</f>
        <v>0</v>
      </c>
      <c r="AT66" s="0" t="n">
        <f aca="false">C66-AP66</f>
        <v>0</v>
      </c>
      <c r="AU66" s="0" t="n">
        <f aca="false">D66-AQ66</f>
        <v>0</v>
      </c>
      <c r="AV66" s="0" t="n">
        <f aca="false">E66-AR66</f>
        <v>2678991.54983418</v>
      </c>
      <c r="AW66" s="0" t="n">
        <f aca="false">Pool!CB66</f>
        <v>21977029.9675209</v>
      </c>
      <c r="AX66" s="0" t="n">
        <f aca="false">IF((AT66)&gt;Inputs!$B$19,AW66/(AT66),1000000000)</f>
        <v>1000000000</v>
      </c>
      <c r="AY66" s="0" t="n">
        <f aca="false">IF((J66)&gt;0.000000001,(R66-I66-MAX(-M66,0))/(J66),1000000000)</f>
        <v>1000000000</v>
      </c>
      <c r="AZ66" s="0" t="n">
        <f aca="false">IF(OR(AX66&lt;Inputs!$B$24,AY66&lt;Inputs!$B$25),1,0)</f>
        <v>0</v>
      </c>
      <c r="BA66" s="0" t="n">
        <f aca="false">IF((AT66+AU66)&gt;Inputs!$B$19,AW66/(AT66+AU66),1000000000)</f>
        <v>1000000000</v>
      </c>
      <c r="BB66" s="0" t="n">
        <f aca="false">IF((J66+K66)&gt;0.000000001,(R66-I66-MAX(-M66,0))/(J66+K66),1000000000)</f>
        <v>1000000000</v>
      </c>
      <c r="BC66" s="0" t="n">
        <f aca="false">IF(OR(BA66&lt;Inputs!$B$29,BB66&lt;Inputs!$B$30),1,0)</f>
        <v>0</v>
      </c>
      <c r="BD66" s="0" t="n">
        <f aca="false">IF((AT66+AU66+AV66)&gt;Inputs!$B$19,AW66/(AT66+AU66+AV66),1000000000)</f>
        <v>8.20347117887743</v>
      </c>
      <c r="BE66" s="0" t="n">
        <f aca="false">IF((J66+K66+L66)&gt;0.000000001,(R66-I66-MAX(-M66,0))/(J66+K66+L66),1000000000)</f>
        <v>7.4344292388377</v>
      </c>
      <c r="BF66" s="0" t="n">
        <f aca="false">IF(OR(BD66&lt;Inputs!$B$34,BE66&lt;Inputs!$B$35),1,0)</f>
        <v>0</v>
      </c>
      <c r="BG66" s="0" t="n">
        <f aca="false">MAX(AZ66,BC66,BF66)</f>
        <v>0</v>
      </c>
      <c r="BH66" s="0" t="n">
        <f aca="false">MIN(R66,N66)</f>
        <v>12149.7011125577</v>
      </c>
      <c r="BI66" s="0" t="n">
        <f aca="false">R66-BH66</f>
        <v>191311.592186235</v>
      </c>
      <c r="BJ66" s="0" t="n">
        <f aca="false">MIN(BI66,O66)</f>
        <v>0</v>
      </c>
      <c r="BK66" s="0" t="n">
        <f aca="false">BI66-BJ66</f>
        <v>191311.592186235</v>
      </c>
      <c r="BL66" s="0" t="n">
        <f aca="false">AZ66*MIN(AT66,BK66)</f>
        <v>0</v>
      </c>
      <c r="BM66" s="0" t="n">
        <f aca="false">AZ66*MIN(AU66,BK66-BL66)</f>
        <v>0</v>
      </c>
      <c r="BN66" s="0" t="n">
        <f aca="false">AZ66*MIN(AV66,BK66-BL66-BM66)</f>
        <v>0</v>
      </c>
      <c r="BO66" s="0" t="n">
        <f aca="false">BK66-BL66-BM66-BN66</f>
        <v>191311.592186235</v>
      </c>
      <c r="BP66" s="0" t="n">
        <f aca="false">MIN(BO66,P66)</f>
        <v>0</v>
      </c>
      <c r="BQ66" s="0" t="n">
        <f aca="false">BO66-BP66</f>
        <v>191311.592186235</v>
      </c>
      <c r="BR66" s="0" t="n">
        <f aca="false">BC66*MIN((AT66-BL66),BQ66)</f>
        <v>0</v>
      </c>
      <c r="BS66" s="0" t="n">
        <f aca="false">BC66*MIN((AU66-BM66),BQ66-BR66)</f>
        <v>0</v>
      </c>
      <c r="BT66" s="0" t="n">
        <f aca="false">BC66*MIN((AV66-BN66),BQ66-BR66-BS66)</f>
        <v>0</v>
      </c>
      <c r="BU66" s="0" t="n">
        <f aca="false">BQ66-BR66-BS66-BT66</f>
        <v>191311.592186235</v>
      </c>
      <c r="BV66" s="0" t="n">
        <f aca="false">MIN(BU66,Q66)</f>
        <v>25733.1916197167</v>
      </c>
      <c r="BW66" s="0" t="n">
        <f aca="false">BU66-BV66</f>
        <v>165578.400566518</v>
      </c>
      <c r="BX66" s="0" t="n">
        <f aca="false">BF66*MIN((AT66-BL66-BR66),BW66)</f>
        <v>0</v>
      </c>
      <c r="BY66" s="0" t="n">
        <f aca="false">BF66*MIN((AU66-BM66-BS66),BW66-BX66)</f>
        <v>0</v>
      </c>
      <c r="BZ66" s="0" t="n">
        <f aca="false">BF66*MIN((AV66-BN66-BT66),BW66-BX66-BY66)</f>
        <v>0</v>
      </c>
      <c r="CA66" s="0" t="n">
        <f aca="false">BW66-BX66-BY66-BZ66</f>
        <v>165578.400566518</v>
      </c>
      <c r="CB66" s="0" t="n">
        <f aca="false">MAX(0,AT66+AU66+AV66-BL66-BM66-BN66-BR66-BS66-BT66-BX66-BY66-BZ66-AW66)</f>
        <v>0</v>
      </c>
      <c r="CC66" s="0" t="n">
        <f aca="false">1*MIN((AT66-BL66-BR66-BX66),MIN(CA66,CB66))</f>
        <v>0</v>
      </c>
      <c r="CD66" s="0" t="n">
        <f aca="false">1*MIN((AU66-BM66-BS66-BY66),MIN(CA66,CB66)-CC66)</f>
        <v>0</v>
      </c>
      <c r="CE66" s="0" t="n">
        <f aca="false">1*MIN((AV66-BN66-BT66-BZ66),MIN(CA66,CB66)-CC66-CD66)</f>
        <v>0</v>
      </c>
      <c r="CF66" s="0" t="n">
        <f aca="false">CA66-CC66-CD66-CE66</f>
        <v>165578.400566518</v>
      </c>
      <c r="CG66" s="0" t="n">
        <f aca="false">IF(C66+D66+E66&gt;Inputs!$B$19,MIN(CF66,MAX(0,Inputs!$B$15-DO65)),0)</f>
        <v>0</v>
      </c>
      <c r="CH66" s="0" t="n">
        <f aca="false">CF66-CG66</f>
        <v>165578.400566518</v>
      </c>
      <c r="CI66" s="0" t="n">
        <f aca="false">DO65+CG66</f>
        <v>3000000</v>
      </c>
      <c r="CJ66" s="0" t="n">
        <f aca="false">MIN(MAX(N66-BH66,0),CI66)</f>
        <v>0</v>
      </c>
      <c r="CK66" s="0" t="n">
        <f aca="false">MIN(MAX(O66-BJ66,0),CI66-CJ66)</f>
        <v>0</v>
      </c>
      <c r="CL66" s="0" t="n">
        <f aca="false">MIN(MAX(P66-BP66,0),CI66-CJ66-CK66)</f>
        <v>0</v>
      </c>
      <c r="CM66" s="0" t="n">
        <f aca="false">CJ66+CK66+CL66</f>
        <v>0</v>
      </c>
      <c r="CN66" s="0" t="n">
        <f aca="false">CI66-CM66</f>
        <v>3000000</v>
      </c>
      <c r="CO66" s="0" t="n">
        <f aca="false">BH66+CJ66</f>
        <v>12149.7011125577</v>
      </c>
      <c r="CP66" s="0" t="n">
        <f aca="false">BJ66+CK66</f>
        <v>0</v>
      </c>
      <c r="CQ66" s="0" t="n">
        <f aca="false">BP66+CL66</f>
        <v>0</v>
      </c>
      <c r="CR66" s="0" t="n">
        <f aca="false">BV66</f>
        <v>25733.1916197167</v>
      </c>
      <c r="CS66" s="0" t="n">
        <f aca="false">AT66-BL66-BR66-BX66-CC66</f>
        <v>0</v>
      </c>
      <c r="CT66" s="0" t="n">
        <f aca="false">AU66-BM66-BS66-BY66-CD66</f>
        <v>0</v>
      </c>
      <c r="CU66" s="0" t="n">
        <f aca="false">AV66-BN66-BT66-BZ66-CE66</f>
        <v>2678991.54983418</v>
      </c>
      <c r="CV66" s="0" t="n">
        <f aca="false">MAX(0,CS66+CT66+CU66-AW66)</f>
        <v>0</v>
      </c>
      <c r="CW66" s="0" t="n">
        <f aca="false">MIN(CU66,CV66)</f>
        <v>0</v>
      </c>
      <c r="CX66" s="0" t="n">
        <f aca="false">MIN(CT66,CV66-CW66)</f>
        <v>0</v>
      </c>
      <c r="CY66" s="0" t="n">
        <f aca="false">MIN(CS66,CV66-CW66-CX66)</f>
        <v>0</v>
      </c>
      <c r="CZ66" s="0" t="n">
        <f aca="false">IF(CS66-CY66&lt;Inputs!$B$19,0,CS66-CY66)</f>
        <v>0</v>
      </c>
      <c r="DA66" s="0" t="n">
        <f aca="false">IF(CT66-CX66&lt;Inputs!$B$19,0,CT66-CX66)</f>
        <v>0</v>
      </c>
      <c r="DB66" s="0" t="n">
        <f aca="false">IF(CU66-CW66&lt;Inputs!$B$19,0,CU66-CW66)</f>
        <v>2678991.54983418</v>
      </c>
      <c r="DC66" s="0" t="n">
        <f aca="false">N66-CO66</f>
        <v>0</v>
      </c>
      <c r="DD66" s="0" t="n">
        <f aca="false">O66-CP66</f>
        <v>0</v>
      </c>
      <c r="DE66" s="0" t="n">
        <f aca="false">P66-CQ66</f>
        <v>0</v>
      </c>
      <c r="DF66" s="0" t="n">
        <f aca="false">Q66-CR66</f>
        <v>0</v>
      </c>
      <c r="DG66" s="0" t="n">
        <f aca="false">IF(CZ66+DA66+DB66&lt;=Inputs!$B$19,1,0)</f>
        <v>0</v>
      </c>
      <c r="DH66" s="0" t="n">
        <f aca="false">DG66*CN66</f>
        <v>0</v>
      </c>
      <c r="DI66" s="0" t="n">
        <f aca="false">DG66*(AS66+DH66)</f>
        <v>0</v>
      </c>
      <c r="DJ66" s="0" t="n">
        <f aca="false">DG66*MIN(DC66,DI66)</f>
        <v>0</v>
      </c>
      <c r="DK66" s="0" t="n">
        <f aca="false">DG66*MIN(DD66,DI66-DJ66)</f>
        <v>0</v>
      </c>
      <c r="DL66" s="0" t="n">
        <f aca="false">DG66*MIN(DE66,DI66-DJ66-DK66)</f>
        <v>0</v>
      </c>
      <c r="DM66" s="0" t="n">
        <f aca="false">DG66*MIN(DF66,DI66-DJ66-DK66-DL66)</f>
        <v>0</v>
      </c>
      <c r="DN66" s="0" t="n">
        <f aca="false">DJ66+DK66+DL66+DM66</f>
        <v>0</v>
      </c>
      <c r="DO66" s="0" t="n">
        <f aca="false">CN66-DH66</f>
        <v>3000000</v>
      </c>
      <c r="DP66" s="0" t="n">
        <f aca="false">DC66-DJ66</f>
        <v>0</v>
      </c>
      <c r="DQ66" s="0" t="n">
        <f aca="false">DD66-DK66</f>
        <v>0</v>
      </c>
      <c r="DR66" s="0" t="n">
        <f aca="false">DE66-DL66</f>
        <v>0</v>
      </c>
      <c r="DS66" s="0" t="n">
        <f aca="false">DF66-DM66</f>
        <v>0</v>
      </c>
      <c r="DT66" s="0" t="n">
        <f aca="false">CO66+DJ66</f>
        <v>12149.7011125577</v>
      </c>
      <c r="DU66" s="0" t="n">
        <f aca="false">CP66+DK66</f>
        <v>0</v>
      </c>
      <c r="DV66" s="0" t="n">
        <f aca="false">AP66+BL66+BR66+BX66+CC66</f>
        <v>0</v>
      </c>
      <c r="DW66" s="0" t="n">
        <f aca="false">CQ66+DL66</f>
        <v>0</v>
      </c>
      <c r="DX66" s="0" t="n">
        <f aca="false">AQ66+BM66+BS66+BY66+CD66</f>
        <v>0</v>
      </c>
      <c r="DY66" s="0" t="n">
        <f aca="false">CR66+DM66</f>
        <v>25733.1916197167</v>
      </c>
      <c r="DZ66" s="0" t="n">
        <f aca="false">AR66+BN66+BT66+BZ66+CE66</f>
        <v>1438319.10932049</v>
      </c>
      <c r="EA66" s="0" t="n">
        <f aca="false">DI66-DN66</f>
        <v>0</v>
      </c>
      <c r="EB66" s="0" t="n">
        <f aca="false">CH66+EA66</f>
        <v>165578.400566518</v>
      </c>
      <c r="EC66" s="0" t="n">
        <f aca="false">R66-I66-MAX(-M66,0)-J66-K66-L66</f>
        <v>165578.400566518</v>
      </c>
      <c r="ED66" s="0" t="n">
        <f aca="false">R66+S66+CM66+DH66-CG66-DT66-DU66-DW66-DY66-DV66-DX66-DZ66-EB66</f>
        <v>0</v>
      </c>
      <c r="EE66" s="0" t="n">
        <f aca="false">IF(AND(EB66&gt;0.000001,DP66+DQ66+DR66+DS66&gt;0.000001),1,0)</f>
        <v>0</v>
      </c>
    </row>
    <row r="67" customFormat="false" ht="15" hidden="false" customHeight="false" outlineLevel="0" collapsed="false">
      <c r="A67" s="0" t="n">
        <f aca="false">ROW()-5</f>
        <v>62</v>
      </c>
      <c r="B67" s="0" t="n">
        <f aca="false">Inputs!$B$11+(Inputs!$B$12-Inputs!$B$11)*(1-EXP(-A67/Inputs!$B$13))+Inputs!$B$8</f>
        <v>0.0332929793673421</v>
      </c>
      <c r="C67" s="0" t="n">
        <f aca="false">CZ66</f>
        <v>0</v>
      </c>
      <c r="D67" s="0" t="n">
        <f aca="false">DA66</f>
        <v>0</v>
      </c>
      <c r="E67" s="0" t="n">
        <f aca="false">DB66</f>
        <v>2678991.54983418</v>
      </c>
      <c r="F67" s="0" t="n">
        <f aca="false">IF(Inputs!$B$22=1,B67+Inputs!$B$23,Inputs!$B$23)/12</f>
        <v>0.00369108161394518</v>
      </c>
      <c r="G67" s="0" t="n">
        <f aca="false">IF(Inputs!$B$27=1,B67+Inputs!$B$28,Inputs!$B$28)/12</f>
        <v>0.00464941494727851</v>
      </c>
      <c r="H67" s="0" t="n">
        <f aca="false">IF(Inputs!$B$32=1,B67+Inputs!$B$33,Inputs!$B$33)/12</f>
        <v>0.00625</v>
      </c>
      <c r="I67" s="0" t="n">
        <f aca="false">Pool!BT67*Inputs!$B$14/12</f>
        <v>11395.2150733909</v>
      </c>
      <c r="J67" s="0" t="n">
        <f aca="false">C67*F67</f>
        <v>0</v>
      </c>
      <c r="K67" s="0" t="n">
        <f aca="false">D67*G67</f>
        <v>0</v>
      </c>
      <c r="L67" s="0" t="n">
        <f aca="false">E67*H67</f>
        <v>16743.6971864636</v>
      </c>
      <c r="M67" s="0" t="n">
        <f aca="false">Inputs!$B$17*(C67*Inputs!$B$22+D67*Inputs!$B$27+E67*Inputs!$B$32)*(B67-Inputs!$B$18)/12</f>
        <v>-0</v>
      </c>
      <c r="N67" s="0" t="n">
        <f aca="false">DP66+I67+MAX(-M67,0)</f>
        <v>11395.2150733909</v>
      </c>
      <c r="O67" s="0" t="n">
        <f aca="false">DQ66+J67</f>
        <v>0</v>
      </c>
      <c r="P67" s="0" t="n">
        <f aca="false">DR66+K67</f>
        <v>0</v>
      </c>
      <c r="Q67" s="0" t="n">
        <f aca="false">DS66+L67</f>
        <v>16743.6971864636</v>
      </c>
      <c r="R67" s="0" t="n">
        <f aca="false">Pool!BV67+MAX(M67,0)</f>
        <v>190964.998460212</v>
      </c>
      <c r="S67" s="0" t="n">
        <f aca="false">Pool!BW67+Pool!BX67+Pool!BZ67</f>
        <v>1418404.81206111</v>
      </c>
      <c r="T67" s="0" t="n">
        <f aca="false">MAX(T66,BG66)</f>
        <v>1</v>
      </c>
      <c r="U67" s="0" t="n">
        <f aca="false">MIN(C67,S67)</f>
        <v>0</v>
      </c>
      <c r="V67" s="0" t="n">
        <f aca="false">MIN(D67,S67-U67)</f>
        <v>0</v>
      </c>
      <c r="W67" s="0" t="n">
        <f aca="false">MIN(E67,S67-U67-V67)</f>
        <v>1418404.81206111</v>
      </c>
      <c r="X67" s="0" t="n">
        <f aca="false">IF(C67-(0)&gt;Inputs!$B$19,1,0)</f>
        <v>0</v>
      </c>
      <c r="Y67" s="0" t="n">
        <f aca="false">IF(D67-(0)&gt;Inputs!$B$19,1,0)</f>
        <v>0</v>
      </c>
      <c r="Z67" s="0" t="n">
        <f aca="false">IF(E67-(0)&gt;Inputs!$B$19,1,0)</f>
        <v>1</v>
      </c>
      <c r="AA67" s="0" t="n">
        <f aca="false">IF((X67*C67+Y67*D67+Z67*E67)&gt;0,MIN(C67-(0),S67*X67*C67/(X67*C67+Y67*D67+Z67*E67)),0)</f>
        <v>0</v>
      </c>
      <c r="AB67" s="0" t="n">
        <f aca="false">IF((X67*C67+Y67*D67+Z67*E67)&gt;0,MIN(D67-(0),S67*Y67*D67/(X67*C67+Y67*D67+Z67*E67)),0)</f>
        <v>0</v>
      </c>
      <c r="AC67" s="0" t="n">
        <f aca="false">IF((X67*C67+Y67*D67+Z67*E67)&gt;0,MIN(E67-(0),S67*Z67*E67/(X67*C67+Y67*D67+Z67*E67)),0)</f>
        <v>1418404.81206111</v>
      </c>
      <c r="AD67" s="0" t="n">
        <f aca="false">IF(C67-(AA67)&gt;Inputs!$B$19,1,0)</f>
        <v>0</v>
      </c>
      <c r="AE67" s="0" t="n">
        <f aca="false">IF(D67-(AB67)&gt;Inputs!$B$19,1,0)</f>
        <v>0</v>
      </c>
      <c r="AF67" s="0" t="n">
        <f aca="false">IF(E67-(AC67)&gt;Inputs!$B$19,1,0)</f>
        <v>1</v>
      </c>
      <c r="AG67" s="0" t="n">
        <f aca="false">IF((AD67*C67+AE67*D67+AF67*E67)&gt;0,MIN(C67-(AA67),(S67-(AA67+AB67+AC67))*AD67*C67/(AD67*C67+AE67*D67+AF67*E67)),0)</f>
        <v>0</v>
      </c>
      <c r="AH67" s="0" t="n">
        <f aca="false">IF((AD67*C67+AE67*D67+AF67*E67)&gt;0,MIN(D67-(AB67),(S67-(AA67+AB67+AC67))*AE67*D67/(AD67*C67+AE67*D67+AF67*E67)),0)</f>
        <v>0</v>
      </c>
      <c r="AI67" s="0" t="n">
        <f aca="false">IF((AD67*C67+AE67*D67+AF67*E67)&gt;0,MIN(E67-(AC67),(S67-(AA67+AB67+AC67))*AF67*E67/(AD67*C67+AE67*D67+AF67*E67)),0)</f>
        <v>0</v>
      </c>
      <c r="AJ67" s="0" t="n">
        <f aca="false">IF(C67-(AA67+AG67)&gt;Inputs!$B$19,1,0)</f>
        <v>0</v>
      </c>
      <c r="AK67" s="0" t="n">
        <f aca="false">IF(D67-(AB67+AH67)&gt;Inputs!$B$19,1,0)</f>
        <v>0</v>
      </c>
      <c r="AL67" s="0" t="n">
        <f aca="false">IF(E67-(AC67+AI67)&gt;Inputs!$B$19,1,0)</f>
        <v>1</v>
      </c>
      <c r="AM67" s="0" t="n">
        <f aca="false">IF((AJ67*C67+AK67*D67+AL67*E67)&gt;0,MIN(C67-(AA67+AG67),(S67-(AA67+AB67+AC67+AG67+AH67+AI67))*AJ67*C67/(AJ67*C67+AK67*D67+AL67*E67)),0)</f>
        <v>0</v>
      </c>
      <c r="AN67" s="0" t="n">
        <f aca="false">IF((AJ67*C67+AK67*D67+AL67*E67)&gt;0,MIN(D67-(AB67+AH67),(S67-(AA67+AB67+AC67+AG67+AH67+AI67))*AK67*D67/(AJ67*C67+AK67*D67+AL67*E67)),0)</f>
        <v>0</v>
      </c>
      <c r="AO67" s="0" t="n">
        <f aca="false">IF((AJ67*C67+AK67*D67+AL67*E67)&gt;0,MIN(E67-(AC67+AI67),(S67-(AA67+AB67+AC67+AG67+AH67+AI67))*AL67*E67/(AJ67*C67+AK67*D67+AL67*E67)),0)</f>
        <v>0</v>
      </c>
      <c r="AP67" s="0" t="n">
        <f aca="false">IF(T67=1,U67,AA67+AG67+AM67)</f>
        <v>0</v>
      </c>
      <c r="AQ67" s="0" t="n">
        <f aca="false">IF(T67=1,V67,AB67+AH67+AN67)</f>
        <v>0</v>
      </c>
      <c r="AR67" s="0" t="n">
        <f aca="false">IF(T67=1,W67,AC67+AI67+AO67)</f>
        <v>1418404.81206111</v>
      </c>
      <c r="AS67" s="0" t="n">
        <f aca="false">S67-AP67-AQ67-AR67</f>
        <v>0</v>
      </c>
      <c r="AT67" s="0" t="n">
        <f aca="false">C67-AP67</f>
        <v>0</v>
      </c>
      <c r="AU67" s="0" t="n">
        <f aca="false">D67-AQ67</f>
        <v>0</v>
      </c>
      <c r="AV67" s="0" t="n">
        <f aca="false">E67-AR67</f>
        <v>1260586.73777308</v>
      </c>
      <c r="AW67" s="0" t="n">
        <f aca="false">Pool!CB67</f>
        <v>20536615.6894208</v>
      </c>
      <c r="AX67" s="0" t="n">
        <f aca="false">IF((AT67)&gt;Inputs!$B$19,AW67/(AT67),1000000000)</f>
        <v>1000000000</v>
      </c>
      <c r="AY67" s="0" t="n">
        <f aca="false">IF((J67)&gt;0.000000001,(R67-I67-MAX(-M67,0))/(J67),1000000000)</f>
        <v>1000000000</v>
      </c>
      <c r="AZ67" s="0" t="n">
        <f aca="false">IF(OR(AX67&lt;Inputs!$B$24,AY67&lt;Inputs!$B$25),1,0)</f>
        <v>0</v>
      </c>
      <c r="BA67" s="0" t="n">
        <f aca="false">IF((AT67+AU67)&gt;Inputs!$B$19,AW67/(AT67+AU67),1000000000)</f>
        <v>1000000000</v>
      </c>
      <c r="BB67" s="0" t="n">
        <f aca="false">IF((J67+K67)&gt;0.000000001,(R67-I67-MAX(-M67,0))/(J67+K67),1000000000)</f>
        <v>1000000000</v>
      </c>
      <c r="BC67" s="0" t="n">
        <f aca="false">IF(OR(BA67&lt;Inputs!$B$29,BB67&lt;Inputs!$B$30),1,0)</f>
        <v>0</v>
      </c>
      <c r="BD67" s="0" t="n">
        <f aca="false">IF((AT67+AU67+AV67)&gt;Inputs!$B$19,AW67/(AT67+AU67+AV67),1000000000)</f>
        <v>16.2913150472298</v>
      </c>
      <c r="BE67" s="0" t="n">
        <f aca="false">IF((J67+K67+L67)&gt;0.000000001,(R67-I67-MAX(-M67,0))/(J67+K67+L67),1000000000)</f>
        <v>10.7246196217639</v>
      </c>
      <c r="BF67" s="0" t="n">
        <f aca="false">IF(OR(BD67&lt;Inputs!$B$34,BE67&lt;Inputs!$B$35),1,0)</f>
        <v>0</v>
      </c>
      <c r="BG67" s="0" t="n">
        <f aca="false">MAX(AZ67,BC67,BF67)</f>
        <v>0</v>
      </c>
      <c r="BH67" s="0" t="n">
        <f aca="false">MIN(R67,N67)</f>
        <v>11395.2150733909</v>
      </c>
      <c r="BI67" s="0" t="n">
        <f aca="false">R67-BH67</f>
        <v>179569.783386821</v>
      </c>
      <c r="BJ67" s="0" t="n">
        <f aca="false">MIN(BI67,O67)</f>
        <v>0</v>
      </c>
      <c r="BK67" s="0" t="n">
        <f aca="false">BI67-BJ67</f>
        <v>179569.783386821</v>
      </c>
      <c r="BL67" s="0" t="n">
        <f aca="false">AZ67*MIN(AT67,BK67)</f>
        <v>0</v>
      </c>
      <c r="BM67" s="0" t="n">
        <f aca="false">AZ67*MIN(AU67,BK67-BL67)</f>
        <v>0</v>
      </c>
      <c r="BN67" s="0" t="n">
        <f aca="false">AZ67*MIN(AV67,BK67-BL67-BM67)</f>
        <v>0</v>
      </c>
      <c r="BO67" s="0" t="n">
        <f aca="false">BK67-BL67-BM67-BN67</f>
        <v>179569.783386821</v>
      </c>
      <c r="BP67" s="0" t="n">
        <f aca="false">MIN(BO67,P67)</f>
        <v>0</v>
      </c>
      <c r="BQ67" s="0" t="n">
        <f aca="false">BO67-BP67</f>
        <v>179569.783386821</v>
      </c>
      <c r="BR67" s="0" t="n">
        <f aca="false">BC67*MIN((AT67-BL67),BQ67)</f>
        <v>0</v>
      </c>
      <c r="BS67" s="0" t="n">
        <f aca="false">BC67*MIN((AU67-BM67),BQ67-BR67)</f>
        <v>0</v>
      </c>
      <c r="BT67" s="0" t="n">
        <f aca="false">BC67*MIN((AV67-BN67),BQ67-BR67-BS67)</f>
        <v>0</v>
      </c>
      <c r="BU67" s="0" t="n">
        <f aca="false">BQ67-BR67-BS67-BT67</f>
        <v>179569.783386821</v>
      </c>
      <c r="BV67" s="0" t="n">
        <f aca="false">MIN(BU67,Q67)</f>
        <v>16743.6971864636</v>
      </c>
      <c r="BW67" s="0" t="n">
        <f aca="false">BU67-BV67</f>
        <v>162826.086200357</v>
      </c>
      <c r="BX67" s="0" t="n">
        <f aca="false">BF67*MIN((AT67-BL67-BR67),BW67)</f>
        <v>0</v>
      </c>
      <c r="BY67" s="0" t="n">
        <f aca="false">BF67*MIN((AU67-BM67-BS67),BW67-BX67)</f>
        <v>0</v>
      </c>
      <c r="BZ67" s="0" t="n">
        <f aca="false">BF67*MIN((AV67-BN67-BT67),BW67-BX67-BY67)</f>
        <v>0</v>
      </c>
      <c r="CA67" s="0" t="n">
        <f aca="false">BW67-BX67-BY67-BZ67</f>
        <v>162826.086200357</v>
      </c>
      <c r="CB67" s="0" t="n">
        <f aca="false">MAX(0,AT67+AU67+AV67-BL67-BM67-BN67-BR67-BS67-BT67-BX67-BY67-BZ67-AW67)</f>
        <v>0</v>
      </c>
      <c r="CC67" s="0" t="n">
        <f aca="false">1*MIN((AT67-BL67-BR67-BX67),MIN(CA67,CB67))</f>
        <v>0</v>
      </c>
      <c r="CD67" s="0" t="n">
        <f aca="false">1*MIN((AU67-BM67-BS67-BY67),MIN(CA67,CB67)-CC67)</f>
        <v>0</v>
      </c>
      <c r="CE67" s="0" t="n">
        <f aca="false">1*MIN((AV67-BN67-BT67-BZ67),MIN(CA67,CB67)-CC67-CD67)</f>
        <v>0</v>
      </c>
      <c r="CF67" s="0" t="n">
        <f aca="false">CA67-CC67-CD67-CE67</f>
        <v>162826.086200357</v>
      </c>
      <c r="CG67" s="0" t="n">
        <f aca="false">IF(C67+D67+E67&gt;Inputs!$B$19,MIN(CF67,MAX(0,Inputs!$B$15-DO66)),0)</f>
        <v>0</v>
      </c>
      <c r="CH67" s="0" t="n">
        <f aca="false">CF67-CG67</f>
        <v>162826.086200357</v>
      </c>
      <c r="CI67" s="0" t="n">
        <f aca="false">DO66+CG67</f>
        <v>3000000</v>
      </c>
      <c r="CJ67" s="0" t="n">
        <f aca="false">MIN(MAX(N67-BH67,0),CI67)</f>
        <v>0</v>
      </c>
      <c r="CK67" s="0" t="n">
        <f aca="false">MIN(MAX(O67-BJ67,0),CI67-CJ67)</f>
        <v>0</v>
      </c>
      <c r="CL67" s="0" t="n">
        <f aca="false">MIN(MAX(P67-BP67,0),CI67-CJ67-CK67)</f>
        <v>0</v>
      </c>
      <c r="CM67" s="0" t="n">
        <f aca="false">CJ67+CK67+CL67</f>
        <v>0</v>
      </c>
      <c r="CN67" s="0" t="n">
        <f aca="false">CI67-CM67</f>
        <v>3000000</v>
      </c>
      <c r="CO67" s="0" t="n">
        <f aca="false">BH67+CJ67</f>
        <v>11395.2150733909</v>
      </c>
      <c r="CP67" s="0" t="n">
        <f aca="false">BJ67+CK67</f>
        <v>0</v>
      </c>
      <c r="CQ67" s="0" t="n">
        <f aca="false">BP67+CL67</f>
        <v>0</v>
      </c>
      <c r="CR67" s="0" t="n">
        <f aca="false">BV67</f>
        <v>16743.6971864636</v>
      </c>
      <c r="CS67" s="0" t="n">
        <f aca="false">AT67-BL67-BR67-BX67-CC67</f>
        <v>0</v>
      </c>
      <c r="CT67" s="0" t="n">
        <f aca="false">AU67-BM67-BS67-BY67-CD67</f>
        <v>0</v>
      </c>
      <c r="CU67" s="0" t="n">
        <f aca="false">AV67-BN67-BT67-BZ67-CE67</f>
        <v>1260586.73777308</v>
      </c>
      <c r="CV67" s="0" t="n">
        <f aca="false">MAX(0,CS67+CT67+CU67-AW67)</f>
        <v>0</v>
      </c>
      <c r="CW67" s="0" t="n">
        <f aca="false">MIN(CU67,CV67)</f>
        <v>0</v>
      </c>
      <c r="CX67" s="0" t="n">
        <f aca="false">MIN(CT67,CV67-CW67)</f>
        <v>0</v>
      </c>
      <c r="CY67" s="0" t="n">
        <f aca="false">MIN(CS67,CV67-CW67-CX67)</f>
        <v>0</v>
      </c>
      <c r="CZ67" s="0" t="n">
        <f aca="false">IF(CS67-CY67&lt;Inputs!$B$19,0,CS67-CY67)</f>
        <v>0</v>
      </c>
      <c r="DA67" s="0" t="n">
        <f aca="false">IF(CT67-CX67&lt;Inputs!$B$19,0,CT67-CX67)</f>
        <v>0</v>
      </c>
      <c r="DB67" s="0" t="n">
        <f aca="false">IF(CU67-CW67&lt;Inputs!$B$19,0,CU67-CW67)</f>
        <v>1260586.73777308</v>
      </c>
      <c r="DC67" s="0" t="n">
        <f aca="false">N67-CO67</f>
        <v>0</v>
      </c>
      <c r="DD67" s="0" t="n">
        <f aca="false">O67-CP67</f>
        <v>0</v>
      </c>
      <c r="DE67" s="0" t="n">
        <f aca="false">P67-CQ67</f>
        <v>0</v>
      </c>
      <c r="DF67" s="0" t="n">
        <f aca="false">Q67-CR67</f>
        <v>0</v>
      </c>
      <c r="DG67" s="0" t="n">
        <f aca="false">IF(CZ67+DA67+DB67&lt;=Inputs!$B$19,1,0)</f>
        <v>0</v>
      </c>
      <c r="DH67" s="0" t="n">
        <f aca="false">DG67*CN67</f>
        <v>0</v>
      </c>
      <c r="DI67" s="0" t="n">
        <f aca="false">DG67*(AS67+DH67)</f>
        <v>0</v>
      </c>
      <c r="DJ67" s="0" t="n">
        <f aca="false">DG67*MIN(DC67,DI67)</f>
        <v>0</v>
      </c>
      <c r="DK67" s="0" t="n">
        <f aca="false">DG67*MIN(DD67,DI67-DJ67)</f>
        <v>0</v>
      </c>
      <c r="DL67" s="0" t="n">
        <f aca="false">DG67*MIN(DE67,DI67-DJ67-DK67)</f>
        <v>0</v>
      </c>
      <c r="DM67" s="0" t="n">
        <f aca="false">DG67*MIN(DF67,DI67-DJ67-DK67-DL67)</f>
        <v>0</v>
      </c>
      <c r="DN67" s="0" t="n">
        <f aca="false">DJ67+DK67+DL67+DM67</f>
        <v>0</v>
      </c>
      <c r="DO67" s="0" t="n">
        <f aca="false">CN67-DH67</f>
        <v>3000000</v>
      </c>
      <c r="DP67" s="0" t="n">
        <f aca="false">DC67-DJ67</f>
        <v>0</v>
      </c>
      <c r="DQ67" s="0" t="n">
        <f aca="false">DD67-DK67</f>
        <v>0</v>
      </c>
      <c r="DR67" s="0" t="n">
        <f aca="false">DE67-DL67</f>
        <v>0</v>
      </c>
      <c r="DS67" s="0" t="n">
        <f aca="false">DF67-DM67</f>
        <v>0</v>
      </c>
      <c r="DT67" s="0" t="n">
        <f aca="false">CO67+DJ67</f>
        <v>11395.2150733909</v>
      </c>
      <c r="DU67" s="0" t="n">
        <f aca="false">CP67+DK67</f>
        <v>0</v>
      </c>
      <c r="DV67" s="0" t="n">
        <f aca="false">AP67+BL67+BR67+BX67+CC67</f>
        <v>0</v>
      </c>
      <c r="DW67" s="0" t="n">
        <f aca="false">CQ67+DL67</f>
        <v>0</v>
      </c>
      <c r="DX67" s="0" t="n">
        <f aca="false">AQ67+BM67+BS67+BY67+CD67</f>
        <v>0</v>
      </c>
      <c r="DY67" s="0" t="n">
        <f aca="false">CR67+DM67</f>
        <v>16743.6971864636</v>
      </c>
      <c r="DZ67" s="0" t="n">
        <f aca="false">AR67+BN67+BT67+BZ67+CE67</f>
        <v>1418404.81206111</v>
      </c>
      <c r="EA67" s="0" t="n">
        <f aca="false">DI67-DN67</f>
        <v>0</v>
      </c>
      <c r="EB67" s="0" t="n">
        <f aca="false">CH67+EA67</f>
        <v>162826.086200357</v>
      </c>
      <c r="EC67" s="0" t="n">
        <f aca="false">R67-I67-MAX(-M67,0)-J67-K67-L67</f>
        <v>162826.086200357</v>
      </c>
      <c r="ED67" s="0" t="n">
        <f aca="false">R67+S67+CM67+DH67-CG67-DT67-DU67-DW67-DY67-DV67-DX67-DZ67-EB67</f>
        <v>0</v>
      </c>
      <c r="EE67" s="0" t="n">
        <f aca="false">IF(AND(EB67&gt;0.000001,DP67+DQ67+DR67+DS67&gt;0.000001),1,0)</f>
        <v>0</v>
      </c>
    </row>
    <row r="68" customFormat="false" ht="15" hidden="false" customHeight="false" outlineLevel="0" collapsed="false">
      <c r="A68" s="0" t="n">
        <f aca="false">ROW()-5</f>
        <v>63</v>
      </c>
      <c r="B68" s="0" t="n">
        <f aca="false">Inputs!$B$11+(Inputs!$B$12-Inputs!$B$11)*(1-EXP(-A68/Inputs!$B$13))+Inputs!$B$8</f>
        <v>0.0332606174488596</v>
      </c>
      <c r="C68" s="0" t="n">
        <f aca="false">CZ67</f>
        <v>0</v>
      </c>
      <c r="D68" s="0" t="n">
        <f aca="false">DA67</f>
        <v>0</v>
      </c>
      <c r="E68" s="0" t="n">
        <f aca="false">DB67</f>
        <v>1260586.73777308</v>
      </c>
      <c r="F68" s="0" t="n">
        <f aca="false">IF(Inputs!$B$22=1,B68+Inputs!$B$23,Inputs!$B$23)/12</f>
        <v>0.00368838478740497</v>
      </c>
      <c r="G68" s="0" t="n">
        <f aca="false">IF(Inputs!$B$27=1,B68+Inputs!$B$28,Inputs!$B$28)/12</f>
        <v>0.0046467181207383</v>
      </c>
      <c r="H68" s="0" t="n">
        <f aca="false">IF(Inputs!$B$32=1,B68+Inputs!$B$33,Inputs!$B$33)/12</f>
        <v>0.00625</v>
      </c>
      <c r="I68" s="0" t="n">
        <f aca="false">Pool!BT68*Inputs!$B$14/12</f>
        <v>10650.8612924337</v>
      </c>
      <c r="J68" s="0" t="n">
        <f aca="false">C68*F68</f>
        <v>0</v>
      </c>
      <c r="K68" s="0" t="n">
        <f aca="false">D68*G68</f>
        <v>0</v>
      </c>
      <c r="L68" s="0" t="n">
        <f aca="false">E68*H68</f>
        <v>7878.66711108172</v>
      </c>
      <c r="M68" s="0" t="n">
        <f aca="false">Inputs!$B$17*(C68*Inputs!$B$22+D68*Inputs!$B$27+E68*Inputs!$B$32)*(B68-Inputs!$B$18)/12</f>
        <v>-0</v>
      </c>
      <c r="N68" s="0" t="n">
        <f aca="false">DP67+I68+MAX(-M68,0)</f>
        <v>10650.8612924337</v>
      </c>
      <c r="O68" s="0" t="n">
        <f aca="false">DQ67+J68</f>
        <v>0</v>
      </c>
      <c r="P68" s="0" t="n">
        <f aca="false">DR67+K68</f>
        <v>0</v>
      </c>
      <c r="Q68" s="0" t="n">
        <f aca="false">DS67+L68</f>
        <v>7878.66711108172</v>
      </c>
      <c r="R68" s="0" t="n">
        <f aca="false">Pool!BV68+MAX(M68,0)</f>
        <v>178636.282017172</v>
      </c>
      <c r="S68" s="0" t="n">
        <f aca="false">Pool!BW68+Pool!BX68+Pool!BZ68</f>
        <v>1398726.7335297</v>
      </c>
      <c r="T68" s="0" t="n">
        <f aca="false">MAX(T67,BG67)</f>
        <v>1</v>
      </c>
      <c r="U68" s="0" t="n">
        <f aca="false">MIN(C68,S68)</f>
        <v>0</v>
      </c>
      <c r="V68" s="0" t="n">
        <f aca="false">MIN(D68,S68-U68)</f>
        <v>0</v>
      </c>
      <c r="W68" s="0" t="n">
        <f aca="false">MIN(E68,S68-U68-V68)</f>
        <v>1260586.73777308</v>
      </c>
      <c r="X68" s="0" t="n">
        <f aca="false">IF(C68-(0)&gt;Inputs!$B$19,1,0)</f>
        <v>0</v>
      </c>
      <c r="Y68" s="0" t="n">
        <f aca="false">IF(D68-(0)&gt;Inputs!$B$19,1,0)</f>
        <v>0</v>
      </c>
      <c r="Z68" s="0" t="n">
        <f aca="false">IF(E68-(0)&gt;Inputs!$B$19,1,0)</f>
        <v>1</v>
      </c>
      <c r="AA68" s="0" t="n">
        <f aca="false">IF((X68*C68+Y68*D68+Z68*E68)&gt;0,MIN(C68-(0),S68*X68*C68/(X68*C68+Y68*D68+Z68*E68)),0)</f>
        <v>0</v>
      </c>
      <c r="AB68" s="0" t="n">
        <f aca="false">IF((X68*C68+Y68*D68+Z68*E68)&gt;0,MIN(D68-(0),S68*Y68*D68/(X68*C68+Y68*D68+Z68*E68)),0)</f>
        <v>0</v>
      </c>
      <c r="AC68" s="0" t="n">
        <f aca="false">IF((X68*C68+Y68*D68+Z68*E68)&gt;0,MIN(E68-(0),S68*Z68*E68/(X68*C68+Y68*D68+Z68*E68)),0)</f>
        <v>1260586.73777308</v>
      </c>
      <c r="AD68" s="0" t="n">
        <f aca="false">IF(C68-(AA68)&gt;Inputs!$B$19,1,0)</f>
        <v>0</v>
      </c>
      <c r="AE68" s="0" t="n">
        <f aca="false">IF(D68-(AB68)&gt;Inputs!$B$19,1,0)</f>
        <v>0</v>
      </c>
      <c r="AF68" s="0" t="n">
        <f aca="false">IF(E68-(AC68)&gt;Inputs!$B$19,1,0)</f>
        <v>0</v>
      </c>
      <c r="AG68" s="0" t="n">
        <f aca="false">IF((AD68*C68+AE68*D68+AF68*E68)&gt;0,MIN(C68-(AA68),(S68-(AA68+AB68+AC68))*AD68*C68/(AD68*C68+AE68*D68+AF68*E68)),0)</f>
        <v>0</v>
      </c>
      <c r="AH68" s="0" t="n">
        <f aca="false">IF((AD68*C68+AE68*D68+AF68*E68)&gt;0,MIN(D68-(AB68),(S68-(AA68+AB68+AC68))*AE68*D68/(AD68*C68+AE68*D68+AF68*E68)),0)</f>
        <v>0</v>
      </c>
      <c r="AI68" s="0" t="n">
        <f aca="false">IF((AD68*C68+AE68*D68+AF68*E68)&gt;0,MIN(E68-(AC68),(S68-(AA68+AB68+AC68))*AF68*E68/(AD68*C68+AE68*D68+AF68*E68)),0)</f>
        <v>0</v>
      </c>
      <c r="AJ68" s="0" t="n">
        <f aca="false">IF(C68-(AA68+AG68)&gt;Inputs!$B$19,1,0)</f>
        <v>0</v>
      </c>
      <c r="AK68" s="0" t="n">
        <f aca="false">IF(D68-(AB68+AH68)&gt;Inputs!$B$19,1,0)</f>
        <v>0</v>
      </c>
      <c r="AL68" s="0" t="n">
        <f aca="false">IF(E68-(AC68+AI68)&gt;Inputs!$B$19,1,0)</f>
        <v>0</v>
      </c>
      <c r="AM68" s="0" t="n">
        <f aca="false">IF((AJ68*C68+AK68*D68+AL68*E68)&gt;0,MIN(C68-(AA68+AG68),(S68-(AA68+AB68+AC68+AG68+AH68+AI68))*AJ68*C68/(AJ68*C68+AK68*D68+AL68*E68)),0)</f>
        <v>0</v>
      </c>
      <c r="AN68" s="0" t="n">
        <f aca="false">IF((AJ68*C68+AK68*D68+AL68*E68)&gt;0,MIN(D68-(AB68+AH68),(S68-(AA68+AB68+AC68+AG68+AH68+AI68))*AK68*D68/(AJ68*C68+AK68*D68+AL68*E68)),0)</f>
        <v>0</v>
      </c>
      <c r="AO68" s="0" t="n">
        <f aca="false">IF((AJ68*C68+AK68*D68+AL68*E68)&gt;0,MIN(E68-(AC68+AI68),(S68-(AA68+AB68+AC68+AG68+AH68+AI68))*AL68*E68/(AJ68*C68+AK68*D68+AL68*E68)),0)</f>
        <v>0</v>
      </c>
      <c r="AP68" s="0" t="n">
        <f aca="false">IF(T68=1,U68,AA68+AG68+AM68)</f>
        <v>0</v>
      </c>
      <c r="AQ68" s="0" t="n">
        <f aca="false">IF(T68=1,V68,AB68+AH68+AN68)</f>
        <v>0</v>
      </c>
      <c r="AR68" s="0" t="n">
        <f aca="false">IF(T68=1,W68,AC68+AI68+AO68)</f>
        <v>1260586.73777308</v>
      </c>
      <c r="AS68" s="0" t="n">
        <f aca="false">S68-AP68-AQ68-AR68</f>
        <v>138139.99575662</v>
      </c>
      <c r="AT68" s="0" t="n">
        <f aca="false">C68-AP68</f>
        <v>0</v>
      </c>
      <c r="AU68" s="0" t="n">
        <f aca="false">D68-AQ68</f>
        <v>0</v>
      </c>
      <c r="AV68" s="0" t="n">
        <f aca="false">E68-AR68</f>
        <v>0</v>
      </c>
      <c r="AW68" s="0" t="n">
        <f aca="false">Pool!CB68</f>
        <v>19117317.1835821</v>
      </c>
      <c r="AX68" s="0" t="n">
        <f aca="false">IF((AT68)&gt;Inputs!$B$19,AW68/(AT68),1000000000)</f>
        <v>1000000000</v>
      </c>
      <c r="AY68" s="0" t="n">
        <f aca="false">IF((J68)&gt;0.000000001,(R68-I68-MAX(-M68,0))/(J68),1000000000)</f>
        <v>1000000000</v>
      </c>
      <c r="AZ68" s="0" t="n">
        <f aca="false">IF(OR(AX68&lt;Inputs!$B$24,AY68&lt;Inputs!$B$25),1,0)</f>
        <v>0</v>
      </c>
      <c r="BA68" s="0" t="n">
        <f aca="false">IF((AT68+AU68)&gt;Inputs!$B$19,AW68/(AT68+AU68),1000000000)</f>
        <v>1000000000</v>
      </c>
      <c r="BB68" s="0" t="n">
        <f aca="false">IF((J68+K68)&gt;0.000000001,(R68-I68-MAX(-M68,0))/(J68+K68),1000000000)</f>
        <v>1000000000</v>
      </c>
      <c r="BC68" s="0" t="n">
        <f aca="false">IF(OR(BA68&lt;Inputs!$B$29,BB68&lt;Inputs!$B$30),1,0)</f>
        <v>0</v>
      </c>
      <c r="BD68" s="0" t="n">
        <f aca="false">IF((AT68+AU68+AV68)&gt;Inputs!$B$19,AW68/(AT68+AU68+AV68),1000000000)</f>
        <v>1000000000</v>
      </c>
      <c r="BE68" s="0" t="n">
        <f aca="false">IF((J68+K68+L68)&gt;0.000000001,(R68-I68-MAX(-M68,0))/(J68+K68+L68),1000000000)</f>
        <v>21.3215532978235</v>
      </c>
      <c r="BF68" s="0" t="n">
        <f aca="false">IF(OR(BD68&lt;Inputs!$B$34,BE68&lt;Inputs!$B$35),1,0)</f>
        <v>0</v>
      </c>
      <c r="BG68" s="0" t="n">
        <f aca="false">MAX(AZ68,BC68,BF68)</f>
        <v>0</v>
      </c>
      <c r="BH68" s="0" t="n">
        <f aca="false">MIN(R68,N68)</f>
        <v>10650.8612924337</v>
      </c>
      <c r="BI68" s="0" t="n">
        <f aca="false">R68-BH68</f>
        <v>167985.420724738</v>
      </c>
      <c r="BJ68" s="0" t="n">
        <f aca="false">MIN(BI68,O68)</f>
        <v>0</v>
      </c>
      <c r="BK68" s="0" t="n">
        <f aca="false">BI68-BJ68</f>
        <v>167985.420724738</v>
      </c>
      <c r="BL68" s="0" t="n">
        <f aca="false">AZ68*MIN(AT68,BK68)</f>
        <v>0</v>
      </c>
      <c r="BM68" s="0" t="n">
        <f aca="false">AZ68*MIN(AU68,BK68-BL68)</f>
        <v>0</v>
      </c>
      <c r="BN68" s="0" t="n">
        <f aca="false">AZ68*MIN(AV68,BK68-BL68-BM68)</f>
        <v>0</v>
      </c>
      <c r="BO68" s="0" t="n">
        <f aca="false">BK68-BL68-BM68-BN68</f>
        <v>167985.420724738</v>
      </c>
      <c r="BP68" s="0" t="n">
        <f aca="false">MIN(BO68,P68)</f>
        <v>0</v>
      </c>
      <c r="BQ68" s="0" t="n">
        <f aca="false">BO68-BP68</f>
        <v>167985.420724738</v>
      </c>
      <c r="BR68" s="0" t="n">
        <f aca="false">BC68*MIN((AT68-BL68),BQ68)</f>
        <v>0</v>
      </c>
      <c r="BS68" s="0" t="n">
        <f aca="false">BC68*MIN((AU68-BM68),BQ68-BR68)</f>
        <v>0</v>
      </c>
      <c r="BT68" s="0" t="n">
        <f aca="false">BC68*MIN((AV68-BN68),BQ68-BR68-BS68)</f>
        <v>0</v>
      </c>
      <c r="BU68" s="0" t="n">
        <f aca="false">BQ68-BR68-BS68-BT68</f>
        <v>167985.420724738</v>
      </c>
      <c r="BV68" s="0" t="n">
        <f aca="false">MIN(BU68,Q68)</f>
        <v>7878.66711108172</v>
      </c>
      <c r="BW68" s="0" t="n">
        <f aca="false">BU68-BV68</f>
        <v>160106.753613656</v>
      </c>
      <c r="BX68" s="0" t="n">
        <f aca="false">BF68*MIN((AT68-BL68-BR68),BW68)</f>
        <v>0</v>
      </c>
      <c r="BY68" s="0" t="n">
        <f aca="false">BF68*MIN((AU68-BM68-BS68),BW68-BX68)</f>
        <v>0</v>
      </c>
      <c r="BZ68" s="0" t="n">
        <f aca="false">BF68*MIN((AV68-BN68-BT68),BW68-BX68-BY68)</f>
        <v>0</v>
      </c>
      <c r="CA68" s="0" t="n">
        <f aca="false">BW68-BX68-BY68-BZ68</f>
        <v>160106.753613656</v>
      </c>
      <c r="CB68" s="0" t="n">
        <f aca="false">MAX(0,AT68+AU68+AV68-BL68-BM68-BN68-BR68-BS68-BT68-BX68-BY68-BZ68-AW68)</f>
        <v>0</v>
      </c>
      <c r="CC68" s="0" t="n">
        <f aca="false">1*MIN((AT68-BL68-BR68-BX68),MIN(CA68,CB68))</f>
        <v>0</v>
      </c>
      <c r="CD68" s="0" t="n">
        <f aca="false">1*MIN((AU68-BM68-BS68-BY68),MIN(CA68,CB68)-CC68)</f>
        <v>0</v>
      </c>
      <c r="CE68" s="0" t="n">
        <f aca="false">1*MIN((AV68-BN68-BT68-BZ68),MIN(CA68,CB68)-CC68-CD68)</f>
        <v>0</v>
      </c>
      <c r="CF68" s="0" t="n">
        <f aca="false">CA68-CC68-CD68-CE68</f>
        <v>160106.753613656</v>
      </c>
      <c r="CG68" s="0" t="n">
        <f aca="false">IF(C68+D68+E68&gt;Inputs!$B$19,MIN(CF68,MAX(0,Inputs!$B$15-DO67)),0)</f>
        <v>0</v>
      </c>
      <c r="CH68" s="0" t="n">
        <f aca="false">CF68-CG68</f>
        <v>160106.753613656</v>
      </c>
      <c r="CI68" s="0" t="n">
        <f aca="false">DO67+CG68</f>
        <v>3000000</v>
      </c>
      <c r="CJ68" s="0" t="n">
        <f aca="false">MIN(MAX(N68-BH68,0),CI68)</f>
        <v>0</v>
      </c>
      <c r="CK68" s="0" t="n">
        <f aca="false">MIN(MAX(O68-BJ68,0),CI68-CJ68)</f>
        <v>0</v>
      </c>
      <c r="CL68" s="0" t="n">
        <f aca="false">MIN(MAX(P68-BP68,0),CI68-CJ68-CK68)</f>
        <v>0</v>
      </c>
      <c r="CM68" s="0" t="n">
        <f aca="false">CJ68+CK68+CL68</f>
        <v>0</v>
      </c>
      <c r="CN68" s="0" t="n">
        <f aca="false">CI68-CM68</f>
        <v>3000000</v>
      </c>
      <c r="CO68" s="0" t="n">
        <f aca="false">BH68+CJ68</f>
        <v>10650.8612924337</v>
      </c>
      <c r="CP68" s="0" t="n">
        <f aca="false">BJ68+CK68</f>
        <v>0</v>
      </c>
      <c r="CQ68" s="0" t="n">
        <f aca="false">BP68+CL68</f>
        <v>0</v>
      </c>
      <c r="CR68" s="0" t="n">
        <f aca="false">BV68</f>
        <v>7878.66711108172</v>
      </c>
      <c r="CS68" s="0" t="n">
        <f aca="false">AT68-BL68-BR68-BX68-CC68</f>
        <v>0</v>
      </c>
      <c r="CT68" s="0" t="n">
        <f aca="false">AU68-BM68-BS68-BY68-CD68</f>
        <v>0</v>
      </c>
      <c r="CU68" s="0" t="n">
        <f aca="false">AV68-BN68-BT68-BZ68-CE68</f>
        <v>0</v>
      </c>
      <c r="CV68" s="0" t="n">
        <f aca="false">MAX(0,CS68+CT68+CU68-AW68)</f>
        <v>0</v>
      </c>
      <c r="CW68" s="0" t="n">
        <f aca="false">MIN(CU68,CV68)</f>
        <v>0</v>
      </c>
      <c r="CX68" s="0" t="n">
        <f aca="false">MIN(CT68,CV68-CW68)</f>
        <v>0</v>
      </c>
      <c r="CY68" s="0" t="n">
        <f aca="false">MIN(CS68,CV68-CW68-CX68)</f>
        <v>0</v>
      </c>
      <c r="CZ68" s="0" t="n">
        <f aca="false">IF(CS68-CY68&lt;Inputs!$B$19,0,CS68-CY68)</f>
        <v>0</v>
      </c>
      <c r="DA68" s="0" t="n">
        <f aca="false">IF(CT68-CX68&lt;Inputs!$B$19,0,CT68-CX68)</f>
        <v>0</v>
      </c>
      <c r="DB68" s="0" t="n">
        <f aca="false">IF(CU68-CW68&lt;Inputs!$B$19,0,CU68-CW68)</f>
        <v>0</v>
      </c>
      <c r="DC68" s="0" t="n">
        <f aca="false">N68-CO68</f>
        <v>0</v>
      </c>
      <c r="DD68" s="0" t="n">
        <f aca="false">O68-CP68</f>
        <v>0</v>
      </c>
      <c r="DE68" s="0" t="n">
        <f aca="false">P68-CQ68</f>
        <v>0</v>
      </c>
      <c r="DF68" s="0" t="n">
        <f aca="false">Q68-CR68</f>
        <v>0</v>
      </c>
      <c r="DG68" s="0" t="n">
        <f aca="false">IF(CZ68+DA68+DB68&lt;=Inputs!$B$19,1,0)</f>
        <v>1</v>
      </c>
      <c r="DH68" s="0" t="n">
        <f aca="false">DG68*CN68</f>
        <v>3000000</v>
      </c>
      <c r="DI68" s="0" t="n">
        <f aca="false">DG68*(AS68+DH68)</f>
        <v>3138139.99575662</v>
      </c>
      <c r="DJ68" s="0" t="n">
        <f aca="false">DG68*MIN(DC68,DI68)</f>
        <v>0</v>
      </c>
      <c r="DK68" s="0" t="n">
        <f aca="false">DG68*MIN(DD68,DI68-DJ68)</f>
        <v>0</v>
      </c>
      <c r="DL68" s="0" t="n">
        <f aca="false">DG68*MIN(DE68,DI68-DJ68-DK68)</f>
        <v>0</v>
      </c>
      <c r="DM68" s="0" t="n">
        <f aca="false">DG68*MIN(DF68,DI68-DJ68-DK68-DL68)</f>
        <v>0</v>
      </c>
      <c r="DN68" s="0" t="n">
        <f aca="false">DJ68+DK68+DL68+DM68</f>
        <v>0</v>
      </c>
      <c r="DO68" s="0" t="n">
        <f aca="false">CN68-DH68</f>
        <v>0</v>
      </c>
      <c r="DP68" s="0" t="n">
        <f aca="false">DC68-DJ68</f>
        <v>0</v>
      </c>
      <c r="DQ68" s="0" t="n">
        <f aca="false">DD68-DK68</f>
        <v>0</v>
      </c>
      <c r="DR68" s="0" t="n">
        <f aca="false">DE68-DL68</f>
        <v>0</v>
      </c>
      <c r="DS68" s="0" t="n">
        <f aca="false">DF68-DM68</f>
        <v>0</v>
      </c>
      <c r="DT68" s="0" t="n">
        <f aca="false">CO68+DJ68</f>
        <v>10650.8612924337</v>
      </c>
      <c r="DU68" s="0" t="n">
        <f aca="false">CP68+DK68</f>
        <v>0</v>
      </c>
      <c r="DV68" s="0" t="n">
        <f aca="false">AP68+BL68+BR68+BX68+CC68</f>
        <v>0</v>
      </c>
      <c r="DW68" s="0" t="n">
        <f aca="false">CQ68+DL68</f>
        <v>0</v>
      </c>
      <c r="DX68" s="0" t="n">
        <f aca="false">AQ68+BM68+BS68+BY68+CD68</f>
        <v>0</v>
      </c>
      <c r="DY68" s="0" t="n">
        <f aca="false">CR68+DM68</f>
        <v>7878.66711108172</v>
      </c>
      <c r="DZ68" s="0" t="n">
        <f aca="false">AR68+BN68+BT68+BZ68+CE68</f>
        <v>1260586.73777308</v>
      </c>
      <c r="EA68" s="0" t="n">
        <f aca="false">DI68-DN68</f>
        <v>3138139.99575662</v>
      </c>
      <c r="EB68" s="0" t="n">
        <f aca="false">CH68+EA68</f>
        <v>3298246.74937028</v>
      </c>
      <c r="EC68" s="0" t="n">
        <f aca="false">R68-I68-MAX(-M68,0)-J68-K68-L68</f>
        <v>160106.753613656</v>
      </c>
      <c r="ED68" s="0" t="n">
        <f aca="false">R68+S68+CM68+DH68-CG68-DT68-DU68-DW68-DY68-DV68-DX68-DZ68-EB68</f>
        <v>0</v>
      </c>
      <c r="EE68" s="0" t="n">
        <f aca="false">IF(AND(EB68&gt;0.000001,DP68+DQ68+DR68+DS68&gt;0.000001),1,0)</f>
        <v>0</v>
      </c>
    </row>
    <row r="69" customFormat="false" ht="15" hidden="false" customHeight="false" outlineLevel="0" collapsed="false">
      <c r="A69" s="0" t="n">
        <f aca="false">ROW()-5</f>
        <v>64</v>
      </c>
      <c r="B69" s="0" t="n">
        <f aca="false">Inputs!$B$11+(Inputs!$B$12-Inputs!$B$11)*(1-EXP(-A69/Inputs!$B$13))+Inputs!$B$8</f>
        <v>0.0332295762378394</v>
      </c>
      <c r="C69" s="0" t="n">
        <f aca="false">CZ68</f>
        <v>0</v>
      </c>
      <c r="D69" s="0" t="n">
        <f aca="false">DA68</f>
        <v>0</v>
      </c>
      <c r="E69" s="0" t="n">
        <f aca="false">DB68</f>
        <v>0</v>
      </c>
      <c r="F69" s="0" t="n">
        <f aca="false">IF(Inputs!$B$22=1,B69+Inputs!$B$23,Inputs!$B$23)/12</f>
        <v>0.00368579801981995</v>
      </c>
      <c r="G69" s="0" t="n">
        <f aca="false">IF(Inputs!$B$27=1,B69+Inputs!$B$28,Inputs!$B$28)/12</f>
        <v>0.00464413135315328</v>
      </c>
      <c r="H69" s="0" t="n">
        <f aca="false">IF(Inputs!$B$32=1,B69+Inputs!$B$33,Inputs!$B$33)/12</f>
        <v>0.00625</v>
      </c>
      <c r="I69" s="0" t="n">
        <f aca="false">Pool!BT69*Inputs!$B$14/12</f>
        <v>9916.52128800262</v>
      </c>
      <c r="J69" s="0" t="n">
        <f aca="false">C69*F69</f>
        <v>0</v>
      </c>
      <c r="K69" s="0" t="n">
        <f aca="false">D69*G69</f>
        <v>0</v>
      </c>
      <c r="L69" s="0" t="n">
        <f aca="false">E69*H69</f>
        <v>0</v>
      </c>
      <c r="M69" s="0" t="n">
        <f aca="false">Inputs!$B$17*(C69*Inputs!$B$22+D69*Inputs!$B$27+E69*Inputs!$B$32)*(B69-Inputs!$B$18)/12</f>
        <v>-0</v>
      </c>
      <c r="N69" s="0" t="n">
        <f aca="false">DP68+I69+MAX(-M69,0)</f>
        <v>9916.52128800262</v>
      </c>
      <c r="O69" s="0" t="n">
        <f aca="false">DQ68+J69</f>
        <v>0</v>
      </c>
      <c r="P69" s="0" t="n">
        <f aca="false">DR68+K69</f>
        <v>0</v>
      </c>
      <c r="Q69" s="0" t="n">
        <f aca="false">DS68+L69</f>
        <v>0</v>
      </c>
      <c r="R69" s="0" t="n">
        <f aca="false">Pool!BV69+MAX(M69,0)</f>
        <v>166473.18537988</v>
      </c>
      <c r="S69" s="0" t="n">
        <f aca="false">Pool!BW69+Pool!BX69+Pool!BZ69</f>
        <v>1379282.1745296</v>
      </c>
      <c r="T69" s="0" t="n">
        <f aca="false">MAX(T68,BG68)</f>
        <v>1</v>
      </c>
      <c r="U69" s="0" t="n">
        <f aca="false">MIN(C69,S69)</f>
        <v>0</v>
      </c>
      <c r="V69" s="0" t="n">
        <f aca="false">MIN(D69,S69-U69)</f>
        <v>0</v>
      </c>
      <c r="W69" s="0" t="n">
        <f aca="false">MIN(E69,S69-U69-V69)</f>
        <v>0</v>
      </c>
      <c r="X69" s="0" t="n">
        <f aca="false">IF(C69-(0)&gt;Inputs!$B$19,1,0)</f>
        <v>0</v>
      </c>
      <c r="Y69" s="0" t="n">
        <f aca="false">IF(D69-(0)&gt;Inputs!$B$19,1,0)</f>
        <v>0</v>
      </c>
      <c r="Z69" s="0" t="n">
        <f aca="false">IF(E69-(0)&gt;Inputs!$B$19,1,0)</f>
        <v>0</v>
      </c>
      <c r="AA69" s="0" t="n">
        <f aca="false">IF((X69*C69+Y69*D69+Z69*E69)&gt;0,MIN(C69-(0),S69*X69*C69/(X69*C69+Y69*D69+Z69*E69)),0)</f>
        <v>0</v>
      </c>
      <c r="AB69" s="0" t="n">
        <f aca="false">IF((X69*C69+Y69*D69+Z69*E69)&gt;0,MIN(D69-(0),S69*Y69*D69/(X69*C69+Y69*D69+Z69*E69)),0)</f>
        <v>0</v>
      </c>
      <c r="AC69" s="0" t="n">
        <f aca="false">IF((X69*C69+Y69*D69+Z69*E69)&gt;0,MIN(E69-(0),S69*Z69*E69/(X69*C69+Y69*D69+Z69*E69)),0)</f>
        <v>0</v>
      </c>
      <c r="AD69" s="0" t="n">
        <f aca="false">IF(C69-(AA69)&gt;Inputs!$B$19,1,0)</f>
        <v>0</v>
      </c>
      <c r="AE69" s="0" t="n">
        <f aca="false">IF(D69-(AB69)&gt;Inputs!$B$19,1,0)</f>
        <v>0</v>
      </c>
      <c r="AF69" s="0" t="n">
        <f aca="false">IF(E69-(AC69)&gt;Inputs!$B$19,1,0)</f>
        <v>0</v>
      </c>
      <c r="AG69" s="0" t="n">
        <f aca="false">IF((AD69*C69+AE69*D69+AF69*E69)&gt;0,MIN(C69-(AA69),(S69-(AA69+AB69+AC69))*AD69*C69/(AD69*C69+AE69*D69+AF69*E69)),0)</f>
        <v>0</v>
      </c>
      <c r="AH69" s="0" t="n">
        <f aca="false">IF((AD69*C69+AE69*D69+AF69*E69)&gt;0,MIN(D69-(AB69),(S69-(AA69+AB69+AC69))*AE69*D69/(AD69*C69+AE69*D69+AF69*E69)),0)</f>
        <v>0</v>
      </c>
      <c r="AI69" s="0" t="n">
        <f aca="false">IF((AD69*C69+AE69*D69+AF69*E69)&gt;0,MIN(E69-(AC69),(S69-(AA69+AB69+AC69))*AF69*E69/(AD69*C69+AE69*D69+AF69*E69)),0)</f>
        <v>0</v>
      </c>
      <c r="AJ69" s="0" t="n">
        <f aca="false">IF(C69-(AA69+AG69)&gt;Inputs!$B$19,1,0)</f>
        <v>0</v>
      </c>
      <c r="AK69" s="0" t="n">
        <f aca="false">IF(D69-(AB69+AH69)&gt;Inputs!$B$19,1,0)</f>
        <v>0</v>
      </c>
      <c r="AL69" s="0" t="n">
        <f aca="false">IF(E69-(AC69+AI69)&gt;Inputs!$B$19,1,0)</f>
        <v>0</v>
      </c>
      <c r="AM69" s="0" t="n">
        <f aca="false">IF((AJ69*C69+AK69*D69+AL69*E69)&gt;0,MIN(C69-(AA69+AG69),(S69-(AA69+AB69+AC69+AG69+AH69+AI69))*AJ69*C69/(AJ69*C69+AK69*D69+AL69*E69)),0)</f>
        <v>0</v>
      </c>
      <c r="AN69" s="0" t="n">
        <f aca="false">IF((AJ69*C69+AK69*D69+AL69*E69)&gt;0,MIN(D69-(AB69+AH69),(S69-(AA69+AB69+AC69+AG69+AH69+AI69))*AK69*D69/(AJ69*C69+AK69*D69+AL69*E69)),0)</f>
        <v>0</v>
      </c>
      <c r="AO69" s="0" t="n">
        <f aca="false">IF((AJ69*C69+AK69*D69+AL69*E69)&gt;0,MIN(E69-(AC69+AI69),(S69-(AA69+AB69+AC69+AG69+AH69+AI69))*AL69*E69/(AJ69*C69+AK69*D69+AL69*E69)),0)</f>
        <v>0</v>
      </c>
      <c r="AP69" s="0" t="n">
        <f aca="false">IF(T69=1,U69,AA69+AG69+AM69)</f>
        <v>0</v>
      </c>
      <c r="AQ69" s="0" t="n">
        <f aca="false">IF(T69=1,V69,AB69+AH69+AN69)</f>
        <v>0</v>
      </c>
      <c r="AR69" s="0" t="n">
        <f aca="false">IF(T69=1,W69,AC69+AI69+AO69)</f>
        <v>0</v>
      </c>
      <c r="AS69" s="0" t="n">
        <f aca="false">S69-AP69-AQ69-AR69</f>
        <v>1379282.1745296</v>
      </c>
      <c r="AT69" s="0" t="n">
        <f aca="false">C69-AP69</f>
        <v>0</v>
      </c>
      <c r="AU69" s="0" t="n">
        <f aca="false">D69-AQ69</f>
        <v>0</v>
      </c>
      <c r="AV69" s="0" t="n">
        <f aca="false">E69-AR69</f>
        <v>0</v>
      </c>
      <c r="AW69" s="0" t="n">
        <f aca="false">Pool!CB69</f>
        <v>17718881.5892085</v>
      </c>
      <c r="AX69" s="0" t="n">
        <f aca="false">IF((AT69)&gt;Inputs!$B$19,AW69/(AT69),1000000000)</f>
        <v>1000000000</v>
      </c>
      <c r="AY69" s="0" t="n">
        <f aca="false">IF((J69)&gt;0.000000001,(R69-I69-MAX(-M69,0))/(J69),1000000000)</f>
        <v>1000000000</v>
      </c>
      <c r="AZ69" s="0" t="n">
        <f aca="false">IF(OR(AX69&lt;Inputs!$B$24,AY69&lt;Inputs!$B$25),1,0)</f>
        <v>0</v>
      </c>
      <c r="BA69" s="0" t="n">
        <f aca="false">IF((AT69+AU69)&gt;Inputs!$B$19,AW69/(AT69+AU69),1000000000)</f>
        <v>1000000000</v>
      </c>
      <c r="BB69" s="0" t="n">
        <f aca="false">IF((J69+K69)&gt;0.000000001,(R69-I69-MAX(-M69,0))/(J69+K69),1000000000)</f>
        <v>1000000000</v>
      </c>
      <c r="BC69" s="0" t="n">
        <f aca="false">IF(OR(BA69&lt;Inputs!$B$29,BB69&lt;Inputs!$B$30),1,0)</f>
        <v>0</v>
      </c>
      <c r="BD69" s="0" t="n">
        <f aca="false">IF((AT69+AU69+AV69)&gt;Inputs!$B$19,AW69/(AT69+AU69+AV69),1000000000)</f>
        <v>1000000000</v>
      </c>
      <c r="BE69" s="0" t="n">
        <f aca="false">IF((J69+K69+L69)&gt;0.000000001,(R69-I69-MAX(-M69,0))/(J69+K69+L69),1000000000)</f>
        <v>1000000000</v>
      </c>
      <c r="BF69" s="0" t="n">
        <f aca="false">IF(OR(BD69&lt;Inputs!$B$34,BE69&lt;Inputs!$B$35),1,0)</f>
        <v>0</v>
      </c>
      <c r="BG69" s="0" t="n">
        <f aca="false">MAX(AZ69,BC69,BF69)</f>
        <v>0</v>
      </c>
      <c r="BH69" s="0" t="n">
        <f aca="false">MIN(R69,N69)</f>
        <v>9916.52128800262</v>
      </c>
      <c r="BI69" s="0" t="n">
        <f aca="false">R69-BH69</f>
        <v>156556.664091878</v>
      </c>
      <c r="BJ69" s="0" t="n">
        <f aca="false">MIN(BI69,O69)</f>
        <v>0</v>
      </c>
      <c r="BK69" s="0" t="n">
        <f aca="false">BI69-BJ69</f>
        <v>156556.664091878</v>
      </c>
      <c r="BL69" s="0" t="n">
        <f aca="false">AZ69*MIN(AT69,BK69)</f>
        <v>0</v>
      </c>
      <c r="BM69" s="0" t="n">
        <f aca="false">AZ69*MIN(AU69,BK69-BL69)</f>
        <v>0</v>
      </c>
      <c r="BN69" s="0" t="n">
        <f aca="false">AZ69*MIN(AV69,BK69-BL69-BM69)</f>
        <v>0</v>
      </c>
      <c r="BO69" s="0" t="n">
        <f aca="false">BK69-BL69-BM69-BN69</f>
        <v>156556.664091878</v>
      </c>
      <c r="BP69" s="0" t="n">
        <f aca="false">MIN(BO69,P69)</f>
        <v>0</v>
      </c>
      <c r="BQ69" s="0" t="n">
        <f aca="false">BO69-BP69</f>
        <v>156556.664091878</v>
      </c>
      <c r="BR69" s="0" t="n">
        <f aca="false">BC69*MIN((AT69-BL69),BQ69)</f>
        <v>0</v>
      </c>
      <c r="BS69" s="0" t="n">
        <f aca="false">BC69*MIN((AU69-BM69),BQ69-BR69)</f>
        <v>0</v>
      </c>
      <c r="BT69" s="0" t="n">
        <f aca="false">BC69*MIN((AV69-BN69),BQ69-BR69-BS69)</f>
        <v>0</v>
      </c>
      <c r="BU69" s="0" t="n">
        <f aca="false">BQ69-BR69-BS69-BT69</f>
        <v>156556.664091878</v>
      </c>
      <c r="BV69" s="0" t="n">
        <f aca="false">MIN(BU69,Q69)</f>
        <v>0</v>
      </c>
      <c r="BW69" s="0" t="n">
        <f aca="false">BU69-BV69</f>
        <v>156556.664091878</v>
      </c>
      <c r="BX69" s="0" t="n">
        <f aca="false">BF69*MIN((AT69-BL69-BR69),BW69)</f>
        <v>0</v>
      </c>
      <c r="BY69" s="0" t="n">
        <f aca="false">BF69*MIN((AU69-BM69-BS69),BW69-BX69)</f>
        <v>0</v>
      </c>
      <c r="BZ69" s="0" t="n">
        <f aca="false">BF69*MIN((AV69-BN69-BT69),BW69-BX69-BY69)</f>
        <v>0</v>
      </c>
      <c r="CA69" s="0" t="n">
        <f aca="false">BW69-BX69-BY69-BZ69</f>
        <v>156556.664091878</v>
      </c>
      <c r="CB69" s="0" t="n">
        <f aca="false">MAX(0,AT69+AU69+AV69-BL69-BM69-BN69-BR69-BS69-BT69-BX69-BY69-BZ69-AW69)</f>
        <v>0</v>
      </c>
      <c r="CC69" s="0" t="n">
        <f aca="false">1*MIN((AT69-BL69-BR69-BX69),MIN(CA69,CB69))</f>
        <v>0</v>
      </c>
      <c r="CD69" s="0" t="n">
        <f aca="false">1*MIN((AU69-BM69-BS69-BY69),MIN(CA69,CB69)-CC69)</f>
        <v>0</v>
      </c>
      <c r="CE69" s="0" t="n">
        <f aca="false">1*MIN((AV69-BN69-BT69-BZ69),MIN(CA69,CB69)-CC69-CD69)</f>
        <v>0</v>
      </c>
      <c r="CF69" s="0" t="n">
        <f aca="false">CA69-CC69-CD69-CE69</f>
        <v>156556.664091878</v>
      </c>
      <c r="CG69" s="0" t="n">
        <f aca="false">IF(C69+D69+E69&gt;Inputs!$B$19,MIN(CF69,MAX(0,Inputs!$B$15-DO68)),0)</f>
        <v>0</v>
      </c>
      <c r="CH69" s="0" t="n">
        <f aca="false">CF69-CG69</f>
        <v>156556.664091878</v>
      </c>
      <c r="CI69" s="0" t="n">
        <f aca="false">DO68+CG69</f>
        <v>0</v>
      </c>
      <c r="CJ69" s="0" t="n">
        <f aca="false">MIN(MAX(N69-BH69,0),CI69)</f>
        <v>0</v>
      </c>
      <c r="CK69" s="0" t="n">
        <f aca="false">MIN(MAX(O69-BJ69,0),CI69-CJ69)</f>
        <v>0</v>
      </c>
      <c r="CL69" s="0" t="n">
        <f aca="false">MIN(MAX(P69-BP69,0),CI69-CJ69-CK69)</f>
        <v>0</v>
      </c>
      <c r="CM69" s="0" t="n">
        <f aca="false">CJ69+CK69+CL69</f>
        <v>0</v>
      </c>
      <c r="CN69" s="0" t="n">
        <f aca="false">CI69-CM69</f>
        <v>0</v>
      </c>
      <c r="CO69" s="0" t="n">
        <f aca="false">BH69+CJ69</f>
        <v>9916.52128800262</v>
      </c>
      <c r="CP69" s="0" t="n">
        <f aca="false">BJ69+CK69</f>
        <v>0</v>
      </c>
      <c r="CQ69" s="0" t="n">
        <f aca="false">BP69+CL69</f>
        <v>0</v>
      </c>
      <c r="CR69" s="0" t="n">
        <f aca="false">BV69</f>
        <v>0</v>
      </c>
      <c r="CS69" s="0" t="n">
        <f aca="false">AT69-BL69-BR69-BX69-CC69</f>
        <v>0</v>
      </c>
      <c r="CT69" s="0" t="n">
        <f aca="false">AU69-BM69-BS69-BY69-CD69</f>
        <v>0</v>
      </c>
      <c r="CU69" s="0" t="n">
        <f aca="false">AV69-BN69-BT69-BZ69-CE69</f>
        <v>0</v>
      </c>
      <c r="CV69" s="0" t="n">
        <f aca="false">MAX(0,CS69+CT69+CU69-AW69)</f>
        <v>0</v>
      </c>
      <c r="CW69" s="0" t="n">
        <f aca="false">MIN(CU69,CV69)</f>
        <v>0</v>
      </c>
      <c r="CX69" s="0" t="n">
        <f aca="false">MIN(CT69,CV69-CW69)</f>
        <v>0</v>
      </c>
      <c r="CY69" s="0" t="n">
        <f aca="false">MIN(CS69,CV69-CW69-CX69)</f>
        <v>0</v>
      </c>
      <c r="CZ69" s="0" t="n">
        <f aca="false">IF(CS69-CY69&lt;Inputs!$B$19,0,CS69-CY69)</f>
        <v>0</v>
      </c>
      <c r="DA69" s="0" t="n">
        <f aca="false">IF(CT69-CX69&lt;Inputs!$B$19,0,CT69-CX69)</f>
        <v>0</v>
      </c>
      <c r="DB69" s="0" t="n">
        <f aca="false">IF(CU69-CW69&lt;Inputs!$B$19,0,CU69-CW69)</f>
        <v>0</v>
      </c>
      <c r="DC69" s="0" t="n">
        <f aca="false">N69-CO69</f>
        <v>0</v>
      </c>
      <c r="DD69" s="0" t="n">
        <f aca="false">O69-CP69</f>
        <v>0</v>
      </c>
      <c r="DE69" s="0" t="n">
        <f aca="false">P69-CQ69</f>
        <v>0</v>
      </c>
      <c r="DF69" s="0" t="n">
        <f aca="false">Q69-CR69</f>
        <v>0</v>
      </c>
      <c r="DG69" s="0" t="n">
        <f aca="false">IF(CZ69+DA69+DB69&lt;=Inputs!$B$19,1,0)</f>
        <v>1</v>
      </c>
      <c r="DH69" s="0" t="n">
        <f aca="false">DG69*CN69</f>
        <v>0</v>
      </c>
      <c r="DI69" s="0" t="n">
        <f aca="false">DG69*(AS69+DH69)</f>
        <v>1379282.1745296</v>
      </c>
      <c r="DJ69" s="0" t="n">
        <f aca="false">DG69*MIN(DC69,DI69)</f>
        <v>0</v>
      </c>
      <c r="DK69" s="0" t="n">
        <f aca="false">DG69*MIN(DD69,DI69-DJ69)</f>
        <v>0</v>
      </c>
      <c r="DL69" s="0" t="n">
        <f aca="false">DG69*MIN(DE69,DI69-DJ69-DK69)</f>
        <v>0</v>
      </c>
      <c r="DM69" s="0" t="n">
        <f aca="false">DG69*MIN(DF69,DI69-DJ69-DK69-DL69)</f>
        <v>0</v>
      </c>
      <c r="DN69" s="0" t="n">
        <f aca="false">DJ69+DK69+DL69+DM69</f>
        <v>0</v>
      </c>
      <c r="DO69" s="0" t="n">
        <f aca="false">CN69-DH69</f>
        <v>0</v>
      </c>
      <c r="DP69" s="0" t="n">
        <f aca="false">DC69-DJ69</f>
        <v>0</v>
      </c>
      <c r="DQ69" s="0" t="n">
        <f aca="false">DD69-DK69</f>
        <v>0</v>
      </c>
      <c r="DR69" s="0" t="n">
        <f aca="false">DE69-DL69</f>
        <v>0</v>
      </c>
      <c r="DS69" s="0" t="n">
        <f aca="false">DF69-DM69</f>
        <v>0</v>
      </c>
      <c r="DT69" s="0" t="n">
        <f aca="false">CO69+DJ69</f>
        <v>9916.52128800262</v>
      </c>
      <c r="DU69" s="0" t="n">
        <f aca="false">CP69+DK69</f>
        <v>0</v>
      </c>
      <c r="DV69" s="0" t="n">
        <f aca="false">AP69+BL69+BR69+BX69+CC69</f>
        <v>0</v>
      </c>
      <c r="DW69" s="0" t="n">
        <f aca="false">CQ69+DL69</f>
        <v>0</v>
      </c>
      <c r="DX69" s="0" t="n">
        <f aca="false">AQ69+BM69+BS69+BY69+CD69</f>
        <v>0</v>
      </c>
      <c r="DY69" s="0" t="n">
        <f aca="false">CR69+DM69</f>
        <v>0</v>
      </c>
      <c r="DZ69" s="0" t="n">
        <f aca="false">AR69+BN69+BT69+BZ69+CE69</f>
        <v>0</v>
      </c>
      <c r="EA69" s="0" t="n">
        <f aca="false">DI69-DN69</f>
        <v>1379282.1745296</v>
      </c>
      <c r="EB69" s="0" t="n">
        <f aca="false">CH69+EA69</f>
        <v>1535838.83862147</v>
      </c>
      <c r="EC69" s="0" t="n">
        <f aca="false">R69-I69-MAX(-M69,0)-J69-K69-L69</f>
        <v>156556.664091878</v>
      </c>
      <c r="ED69" s="0" t="n">
        <f aca="false">R69+S69+CM69+DH69-CG69-DT69-DU69-DW69-DY69-DV69-DX69-DZ69-EB69</f>
        <v>0</v>
      </c>
      <c r="EE69" s="0" t="n">
        <f aca="false">IF(AND(EB69&gt;0.000001,DP69+DQ69+DR69+DS69&gt;0.000001),1,0)</f>
        <v>0</v>
      </c>
    </row>
    <row r="70" customFormat="false" ht="15" hidden="false" customHeight="false" outlineLevel="0" collapsed="false">
      <c r="A70" s="0" t="n">
        <f aca="false">ROW()-5</f>
        <v>65</v>
      </c>
      <c r="B70" s="0" t="n">
        <f aca="false">Inputs!$B$11+(Inputs!$B$12-Inputs!$B$11)*(1-EXP(-A70/Inputs!$B$13))+Inputs!$B$8</f>
        <v>0.0331998018354929</v>
      </c>
      <c r="C70" s="0" t="n">
        <f aca="false">CZ69</f>
        <v>0</v>
      </c>
      <c r="D70" s="0" t="n">
        <f aca="false">DA69</f>
        <v>0</v>
      </c>
      <c r="E70" s="0" t="n">
        <f aca="false">DB69</f>
        <v>0</v>
      </c>
      <c r="F70" s="0" t="n">
        <f aca="false">IF(Inputs!$B$22=1,B70+Inputs!$B$23,Inputs!$B$23)/12</f>
        <v>0.00368331681962441</v>
      </c>
      <c r="G70" s="0" t="n">
        <f aca="false">IF(Inputs!$B$27=1,B70+Inputs!$B$28,Inputs!$B$28)/12</f>
        <v>0.00464165015295774</v>
      </c>
      <c r="H70" s="0" t="n">
        <f aca="false">IF(Inputs!$B$32=1,B70+Inputs!$B$33,Inputs!$B$33)/12</f>
        <v>0.00625</v>
      </c>
      <c r="I70" s="0" t="n">
        <f aca="false">Pool!BT70*Inputs!$B$14/12</f>
        <v>9192.0779241577</v>
      </c>
      <c r="J70" s="0" t="n">
        <f aca="false">C70*F70</f>
        <v>0</v>
      </c>
      <c r="K70" s="0" t="n">
        <f aca="false">D70*G70</f>
        <v>0</v>
      </c>
      <c r="L70" s="0" t="n">
        <f aca="false">E70*H70</f>
        <v>0</v>
      </c>
      <c r="M70" s="0" t="n">
        <f aca="false">Inputs!$B$17*(C70*Inputs!$B$22+D70*Inputs!$B$27+E70*Inputs!$B$32)*(B70-Inputs!$B$18)/12</f>
        <v>-0</v>
      </c>
      <c r="N70" s="0" t="n">
        <f aca="false">DP69+I70+MAX(-M70,0)</f>
        <v>9192.0779241577</v>
      </c>
      <c r="O70" s="0" t="n">
        <f aca="false">DQ69+J70</f>
        <v>0</v>
      </c>
      <c r="P70" s="0" t="n">
        <f aca="false">DR69+K70</f>
        <v>0</v>
      </c>
      <c r="Q70" s="0" t="n">
        <f aca="false">DS69+L70</f>
        <v>0</v>
      </c>
      <c r="R70" s="0" t="n">
        <f aca="false">Pool!BV70+MAX(M70,0)</f>
        <v>154473.772200882</v>
      </c>
      <c r="S70" s="0" t="n">
        <f aca="false">Pool!BW70+Pool!BX70+Pool!BZ70</f>
        <v>1360068.46638333</v>
      </c>
      <c r="T70" s="0" t="n">
        <f aca="false">MAX(T69,BG69)</f>
        <v>1</v>
      </c>
      <c r="U70" s="0" t="n">
        <f aca="false">MIN(C70,S70)</f>
        <v>0</v>
      </c>
      <c r="V70" s="0" t="n">
        <f aca="false">MIN(D70,S70-U70)</f>
        <v>0</v>
      </c>
      <c r="W70" s="0" t="n">
        <f aca="false">MIN(E70,S70-U70-V70)</f>
        <v>0</v>
      </c>
      <c r="X70" s="0" t="n">
        <f aca="false">IF(C70-(0)&gt;Inputs!$B$19,1,0)</f>
        <v>0</v>
      </c>
      <c r="Y70" s="0" t="n">
        <f aca="false">IF(D70-(0)&gt;Inputs!$B$19,1,0)</f>
        <v>0</v>
      </c>
      <c r="Z70" s="0" t="n">
        <f aca="false">IF(E70-(0)&gt;Inputs!$B$19,1,0)</f>
        <v>0</v>
      </c>
      <c r="AA70" s="0" t="n">
        <f aca="false">IF((X70*C70+Y70*D70+Z70*E70)&gt;0,MIN(C70-(0),S70*X70*C70/(X70*C70+Y70*D70+Z70*E70)),0)</f>
        <v>0</v>
      </c>
      <c r="AB70" s="0" t="n">
        <f aca="false">IF((X70*C70+Y70*D70+Z70*E70)&gt;0,MIN(D70-(0),S70*Y70*D70/(X70*C70+Y70*D70+Z70*E70)),0)</f>
        <v>0</v>
      </c>
      <c r="AC70" s="0" t="n">
        <f aca="false">IF((X70*C70+Y70*D70+Z70*E70)&gt;0,MIN(E70-(0),S70*Z70*E70/(X70*C70+Y70*D70+Z70*E70)),0)</f>
        <v>0</v>
      </c>
      <c r="AD70" s="0" t="n">
        <f aca="false">IF(C70-(AA70)&gt;Inputs!$B$19,1,0)</f>
        <v>0</v>
      </c>
      <c r="AE70" s="0" t="n">
        <f aca="false">IF(D70-(AB70)&gt;Inputs!$B$19,1,0)</f>
        <v>0</v>
      </c>
      <c r="AF70" s="0" t="n">
        <f aca="false">IF(E70-(AC70)&gt;Inputs!$B$19,1,0)</f>
        <v>0</v>
      </c>
      <c r="AG70" s="0" t="n">
        <f aca="false">IF((AD70*C70+AE70*D70+AF70*E70)&gt;0,MIN(C70-(AA70),(S70-(AA70+AB70+AC70))*AD70*C70/(AD70*C70+AE70*D70+AF70*E70)),0)</f>
        <v>0</v>
      </c>
      <c r="AH70" s="0" t="n">
        <f aca="false">IF((AD70*C70+AE70*D70+AF70*E70)&gt;0,MIN(D70-(AB70),(S70-(AA70+AB70+AC70))*AE70*D70/(AD70*C70+AE70*D70+AF70*E70)),0)</f>
        <v>0</v>
      </c>
      <c r="AI70" s="0" t="n">
        <f aca="false">IF((AD70*C70+AE70*D70+AF70*E70)&gt;0,MIN(E70-(AC70),(S70-(AA70+AB70+AC70))*AF70*E70/(AD70*C70+AE70*D70+AF70*E70)),0)</f>
        <v>0</v>
      </c>
      <c r="AJ70" s="0" t="n">
        <f aca="false">IF(C70-(AA70+AG70)&gt;Inputs!$B$19,1,0)</f>
        <v>0</v>
      </c>
      <c r="AK70" s="0" t="n">
        <f aca="false">IF(D70-(AB70+AH70)&gt;Inputs!$B$19,1,0)</f>
        <v>0</v>
      </c>
      <c r="AL70" s="0" t="n">
        <f aca="false">IF(E70-(AC70+AI70)&gt;Inputs!$B$19,1,0)</f>
        <v>0</v>
      </c>
      <c r="AM70" s="0" t="n">
        <f aca="false">IF((AJ70*C70+AK70*D70+AL70*E70)&gt;0,MIN(C70-(AA70+AG70),(S70-(AA70+AB70+AC70+AG70+AH70+AI70))*AJ70*C70/(AJ70*C70+AK70*D70+AL70*E70)),0)</f>
        <v>0</v>
      </c>
      <c r="AN70" s="0" t="n">
        <f aca="false">IF((AJ70*C70+AK70*D70+AL70*E70)&gt;0,MIN(D70-(AB70+AH70),(S70-(AA70+AB70+AC70+AG70+AH70+AI70))*AK70*D70/(AJ70*C70+AK70*D70+AL70*E70)),0)</f>
        <v>0</v>
      </c>
      <c r="AO70" s="0" t="n">
        <f aca="false">IF((AJ70*C70+AK70*D70+AL70*E70)&gt;0,MIN(E70-(AC70+AI70),(S70-(AA70+AB70+AC70+AG70+AH70+AI70))*AL70*E70/(AJ70*C70+AK70*D70+AL70*E70)),0)</f>
        <v>0</v>
      </c>
      <c r="AP70" s="0" t="n">
        <f aca="false">IF(T70=1,U70,AA70+AG70+AM70)</f>
        <v>0</v>
      </c>
      <c r="AQ70" s="0" t="n">
        <f aca="false">IF(T70=1,V70,AB70+AH70+AN70)</f>
        <v>0</v>
      </c>
      <c r="AR70" s="0" t="n">
        <f aca="false">IF(T70=1,W70,AC70+AI70+AO70)</f>
        <v>0</v>
      </c>
      <c r="AS70" s="0" t="n">
        <f aca="false">S70-AP70-AQ70-AR70</f>
        <v>1360068.46638333</v>
      </c>
      <c r="AT70" s="0" t="n">
        <f aca="false">C70-AP70</f>
        <v>0</v>
      </c>
      <c r="AU70" s="0" t="n">
        <f aca="false">D70-AQ70</f>
        <v>0</v>
      </c>
      <c r="AV70" s="0" t="n">
        <f aca="false">E70-AR70</f>
        <v>0</v>
      </c>
      <c r="AW70" s="0" t="n">
        <f aca="false">Pool!CB70</f>
        <v>16341058.9404253</v>
      </c>
      <c r="AX70" s="0" t="n">
        <f aca="false">IF((AT70)&gt;Inputs!$B$19,AW70/(AT70),1000000000)</f>
        <v>1000000000</v>
      </c>
      <c r="AY70" s="0" t="n">
        <f aca="false">IF((J70)&gt;0.000000001,(R70-I70-MAX(-M70,0))/(J70),1000000000)</f>
        <v>1000000000</v>
      </c>
      <c r="AZ70" s="0" t="n">
        <f aca="false">IF(OR(AX70&lt;Inputs!$B$24,AY70&lt;Inputs!$B$25),1,0)</f>
        <v>0</v>
      </c>
      <c r="BA70" s="0" t="n">
        <f aca="false">IF((AT70+AU70)&gt;Inputs!$B$19,AW70/(AT70+AU70),1000000000)</f>
        <v>1000000000</v>
      </c>
      <c r="BB70" s="0" t="n">
        <f aca="false">IF((J70+K70)&gt;0.000000001,(R70-I70-MAX(-M70,0))/(J70+K70),1000000000)</f>
        <v>1000000000</v>
      </c>
      <c r="BC70" s="0" t="n">
        <f aca="false">IF(OR(BA70&lt;Inputs!$B$29,BB70&lt;Inputs!$B$30),1,0)</f>
        <v>0</v>
      </c>
      <c r="BD70" s="0" t="n">
        <f aca="false">IF((AT70+AU70+AV70)&gt;Inputs!$B$19,AW70/(AT70+AU70+AV70),1000000000)</f>
        <v>1000000000</v>
      </c>
      <c r="BE70" s="0" t="n">
        <f aca="false">IF((J70+K70+L70)&gt;0.000000001,(R70-I70-MAX(-M70,0))/(J70+K70+L70),1000000000)</f>
        <v>1000000000</v>
      </c>
      <c r="BF70" s="0" t="n">
        <f aca="false">IF(OR(BD70&lt;Inputs!$B$34,BE70&lt;Inputs!$B$35),1,0)</f>
        <v>0</v>
      </c>
      <c r="BG70" s="0" t="n">
        <f aca="false">MAX(AZ70,BC70,BF70)</f>
        <v>0</v>
      </c>
      <c r="BH70" s="0" t="n">
        <f aca="false">MIN(R70,N70)</f>
        <v>9192.0779241577</v>
      </c>
      <c r="BI70" s="0" t="n">
        <f aca="false">R70-BH70</f>
        <v>145281.694276725</v>
      </c>
      <c r="BJ70" s="0" t="n">
        <f aca="false">MIN(BI70,O70)</f>
        <v>0</v>
      </c>
      <c r="BK70" s="0" t="n">
        <f aca="false">BI70-BJ70</f>
        <v>145281.694276725</v>
      </c>
      <c r="BL70" s="0" t="n">
        <f aca="false">AZ70*MIN(AT70,BK70)</f>
        <v>0</v>
      </c>
      <c r="BM70" s="0" t="n">
        <f aca="false">AZ70*MIN(AU70,BK70-BL70)</f>
        <v>0</v>
      </c>
      <c r="BN70" s="0" t="n">
        <f aca="false">AZ70*MIN(AV70,BK70-BL70-BM70)</f>
        <v>0</v>
      </c>
      <c r="BO70" s="0" t="n">
        <f aca="false">BK70-BL70-BM70-BN70</f>
        <v>145281.694276725</v>
      </c>
      <c r="BP70" s="0" t="n">
        <f aca="false">MIN(BO70,P70)</f>
        <v>0</v>
      </c>
      <c r="BQ70" s="0" t="n">
        <f aca="false">BO70-BP70</f>
        <v>145281.694276725</v>
      </c>
      <c r="BR70" s="0" t="n">
        <f aca="false">BC70*MIN((AT70-BL70),BQ70)</f>
        <v>0</v>
      </c>
      <c r="BS70" s="0" t="n">
        <f aca="false">BC70*MIN((AU70-BM70),BQ70-BR70)</f>
        <v>0</v>
      </c>
      <c r="BT70" s="0" t="n">
        <f aca="false">BC70*MIN((AV70-BN70),BQ70-BR70-BS70)</f>
        <v>0</v>
      </c>
      <c r="BU70" s="0" t="n">
        <f aca="false">BQ70-BR70-BS70-BT70</f>
        <v>145281.694276725</v>
      </c>
      <c r="BV70" s="0" t="n">
        <f aca="false">MIN(BU70,Q70)</f>
        <v>0</v>
      </c>
      <c r="BW70" s="0" t="n">
        <f aca="false">BU70-BV70</f>
        <v>145281.694276725</v>
      </c>
      <c r="BX70" s="0" t="n">
        <f aca="false">BF70*MIN((AT70-BL70-BR70),BW70)</f>
        <v>0</v>
      </c>
      <c r="BY70" s="0" t="n">
        <f aca="false">BF70*MIN((AU70-BM70-BS70),BW70-BX70)</f>
        <v>0</v>
      </c>
      <c r="BZ70" s="0" t="n">
        <f aca="false">BF70*MIN((AV70-BN70-BT70),BW70-BX70-BY70)</f>
        <v>0</v>
      </c>
      <c r="CA70" s="0" t="n">
        <f aca="false">BW70-BX70-BY70-BZ70</f>
        <v>145281.694276725</v>
      </c>
      <c r="CB70" s="0" t="n">
        <f aca="false">MAX(0,AT70+AU70+AV70-BL70-BM70-BN70-BR70-BS70-BT70-BX70-BY70-BZ70-AW70)</f>
        <v>0</v>
      </c>
      <c r="CC70" s="0" t="n">
        <f aca="false">1*MIN((AT70-BL70-BR70-BX70),MIN(CA70,CB70))</f>
        <v>0</v>
      </c>
      <c r="CD70" s="0" t="n">
        <f aca="false">1*MIN((AU70-BM70-BS70-BY70),MIN(CA70,CB70)-CC70)</f>
        <v>0</v>
      </c>
      <c r="CE70" s="0" t="n">
        <f aca="false">1*MIN((AV70-BN70-BT70-BZ70),MIN(CA70,CB70)-CC70-CD70)</f>
        <v>0</v>
      </c>
      <c r="CF70" s="0" t="n">
        <f aca="false">CA70-CC70-CD70-CE70</f>
        <v>145281.694276725</v>
      </c>
      <c r="CG70" s="0" t="n">
        <f aca="false">IF(C70+D70+E70&gt;Inputs!$B$19,MIN(CF70,MAX(0,Inputs!$B$15-DO69)),0)</f>
        <v>0</v>
      </c>
      <c r="CH70" s="0" t="n">
        <f aca="false">CF70-CG70</f>
        <v>145281.694276725</v>
      </c>
      <c r="CI70" s="0" t="n">
        <f aca="false">DO69+CG70</f>
        <v>0</v>
      </c>
      <c r="CJ70" s="0" t="n">
        <f aca="false">MIN(MAX(N70-BH70,0),CI70)</f>
        <v>0</v>
      </c>
      <c r="CK70" s="0" t="n">
        <f aca="false">MIN(MAX(O70-BJ70,0),CI70-CJ70)</f>
        <v>0</v>
      </c>
      <c r="CL70" s="0" t="n">
        <f aca="false">MIN(MAX(P70-BP70,0),CI70-CJ70-CK70)</f>
        <v>0</v>
      </c>
      <c r="CM70" s="0" t="n">
        <f aca="false">CJ70+CK70+CL70</f>
        <v>0</v>
      </c>
      <c r="CN70" s="0" t="n">
        <f aca="false">CI70-CM70</f>
        <v>0</v>
      </c>
      <c r="CO70" s="0" t="n">
        <f aca="false">BH70+CJ70</f>
        <v>9192.0779241577</v>
      </c>
      <c r="CP70" s="0" t="n">
        <f aca="false">BJ70+CK70</f>
        <v>0</v>
      </c>
      <c r="CQ70" s="0" t="n">
        <f aca="false">BP70+CL70</f>
        <v>0</v>
      </c>
      <c r="CR70" s="0" t="n">
        <f aca="false">BV70</f>
        <v>0</v>
      </c>
      <c r="CS70" s="0" t="n">
        <f aca="false">AT70-BL70-BR70-BX70-CC70</f>
        <v>0</v>
      </c>
      <c r="CT70" s="0" t="n">
        <f aca="false">AU70-BM70-BS70-BY70-CD70</f>
        <v>0</v>
      </c>
      <c r="CU70" s="0" t="n">
        <f aca="false">AV70-BN70-BT70-BZ70-CE70</f>
        <v>0</v>
      </c>
      <c r="CV70" s="0" t="n">
        <f aca="false">MAX(0,CS70+CT70+CU70-AW70)</f>
        <v>0</v>
      </c>
      <c r="CW70" s="0" t="n">
        <f aca="false">MIN(CU70,CV70)</f>
        <v>0</v>
      </c>
      <c r="CX70" s="0" t="n">
        <f aca="false">MIN(CT70,CV70-CW70)</f>
        <v>0</v>
      </c>
      <c r="CY70" s="0" t="n">
        <f aca="false">MIN(CS70,CV70-CW70-CX70)</f>
        <v>0</v>
      </c>
      <c r="CZ70" s="0" t="n">
        <f aca="false">IF(CS70-CY70&lt;Inputs!$B$19,0,CS70-CY70)</f>
        <v>0</v>
      </c>
      <c r="DA70" s="0" t="n">
        <f aca="false">IF(CT70-CX70&lt;Inputs!$B$19,0,CT70-CX70)</f>
        <v>0</v>
      </c>
      <c r="DB70" s="0" t="n">
        <f aca="false">IF(CU70-CW70&lt;Inputs!$B$19,0,CU70-CW70)</f>
        <v>0</v>
      </c>
      <c r="DC70" s="0" t="n">
        <f aca="false">N70-CO70</f>
        <v>0</v>
      </c>
      <c r="DD70" s="0" t="n">
        <f aca="false">O70-CP70</f>
        <v>0</v>
      </c>
      <c r="DE70" s="0" t="n">
        <f aca="false">P70-CQ70</f>
        <v>0</v>
      </c>
      <c r="DF70" s="0" t="n">
        <f aca="false">Q70-CR70</f>
        <v>0</v>
      </c>
      <c r="DG70" s="0" t="n">
        <f aca="false">IF(CZ70+DA70+DB70&lt;=Inputs!$B$19,1,0)</f>
        <v>1</v>
      </c>
      <c r="DH70" s="0" t="n">
        <f aca="false">DG70*CN70</f>
        <v>0</v>
      </c>
      <c r="DI70" s="0" t="n">
        <f aca="false">DG70*(AS70+DH70)</f>
        <v>1360068.46638333</v>
      </c>
      <c r="DJ70" s="0" t="n">
        <f aca="false">DG70*MIN(DC70,DI70)</f>
        <v>0</v>
      </c>
      <c r="DK70" s="0" t="n">
        <f aca="false">DG70*MIN(DD70,DI70-DJ70)</f>
        <v>0</v>
      </c>
      <c r="DL70" s="0" t="n">
        <f aca="false">DG70*MIN(DE70,DI70-DJ70-DK70)</f>
        <v>0</v>
      </c>
      <c r="DM70" s="0" t="n">
        <f aca="false">DG70*MIN(DF70,DI70-DJ70-DK70-DL70)</f>
        <v>0</v>
      </c>
      <c r="DN70" s="0" t="n">
        <f aca="false">DJ70+DK70+DL70+DM70</f>
        <v>0</v>
      </c>
      <c r="DO70" s="0" t="n">
        <f aca="false">CN70-DH70</f>
        <v>0</v>
      </c>
      <c r="DP70" s="0" t="n">
        <f aca="false">DC70-DJ70</f>
        <v>0</v>
      </c>
      <c r="DQ70" s="0" t="n">
        <f aca="false">DD70-DK70</f>
        <v>0</v>
      </c>
      <c r="DR70" s="0" t="n">
        <f aca="false">DE70-DL70</f>
        <v>0</v>
      </c>
      <c r="DS70" s="0" t="n">
        <f aca="false">DF70-DM70</f>
        <v>0</v>
      </c>
      <c r="DT70" s="0" t="n">
        <f aca="false">CO70+DJ70</f>
        <v>9192.0779241577</v>
      </c>
      <c r="DU70" s="0" t="n">
        <f aca="false">CP70+DK70</f>
        <v>0</v>
      </c>
      <c r="DV70" s="0" t="n">
        <f aca="false">AP70+BL70+BR70+BX70+CC70</f>
        <v>0</v>
      </c>
      <c r="DW70" s="0" t="n">
        <f aca="false">CQ70+DL70</f>
        <v>0</v>
      </c>
      <c r="DX70" s="0" t="n">
        <f aca="false">AQ70+BM70+BS70+BY70+CD70</f>
        <v>0</v>
      </c>
      <c r="DY70" s="0" t="n">
        <f aca="false">CR70+DM70</f>
        <v>0</v>
      </c>
      <c r="DZ70" s="0" t="n">
        <f aca="false">AR70+BN70+BT70+BZ70+CE70</f>
        <v>0</v>
      </c>
      <c r="EA70" s="0" t="n">
        <f aca="false">DI70-DN70</f>
        <v>1360068.46638333</v>
      </c>
      <c r="EB70" s="0" t="n">
        <f aca="false">CH70+EA70</f>
        <v>1505350.16066006</v>
      </c>
      <c r="EC70" s="0" t="n">
        <f aca="false">R70-I70-MAX(-M70,0)-J70-K70-L70</f>
        <v>145281.694276725</v>
      </c>
      <c r="ED70" s="0" t="n">
        <f aca="false">R70+S70+CM70+DH70-CG70-DT70-DU70-DW70-DY70-DV70-DX70-DZ70-EB70</f>
        <v>0</v>
      </c>
      <c r="EE70" s="0" t="n">
        <f aca="false">IF(AND(EB70&gt;0.000001,DP70+DQ70+DR70+DS70&gt;0.000001),1,0)</f>
        <v>0</v>
      </c>
    </row>
    <row r="71" customFormat="false" ht="15" hidden="false" customHeight="false" outlineLevel="0" collapsed="false">
      <c r="A71" s="0" t="n">
        <f aca="false">ROW()-5</f>
        <v>66</v>
      </c>
      <c r="B71" s="0" t="n">
        <f aca="false">Inputs!$B$11+(Inputs!$B$12-Inputs!$B$11)*(1-EXP(-A71/Inputs!$B$13))+Inputs!$B$8</f>
        <v>0.0331712425426704</v>
      </c>
      <c r="C71" s="0" t="n">
        <f aca="false">CZ70</f>
        <v>0</v>
      </c>
      <c r="D71" s="0" t="n">
        <f aca="false">DA70</f>
        <v>0</v>
      </c>
      <c r="E71" s="0" t="n">
        <f aca="false">DB70</f>
        <v>0</v>
      </c>
      <c r="F71" s="0" t="n">
        <f aca="false">IF(Inputs!$B$22=1,B71+Inputs!$B$23,Inputs!$B$23)/12</f>
        <v>0.00368093687855587</v>
      </c>
      <c r="G71" s="0" t="n">
        <f aca="false">IF(Inputs!$B$27=1,B71+Inputs!$B$28,Inputs!$B$28)/12</f>
        <v>0.0046392702118892</v>
      </c>
      <c r="H71" s="0" t="n">
        <f aca="false">IF(Inputs!$B$32=1,B71+Inputs!$B$33,Inputs!$B$33)/12</f>
        <v>0.00625</v>
      </c>
      <c r="I71" s="0" t="n">
        <f aca="false">Pool!BT71*Inputs!$B$14/12</f>
        <v>8477.41539552201</v>
      </c>
      <c r="J71" s="0" t="n">
        <f aca="false">C71*F71</f>
        <v>0</v>
      </c>
      <c r="K71" s="0" t="n">
        <f aca="false">D71*G71</f>
        <v>0</v>
      </c>
      <c r="L71" s="0" t="n">
        <f aca="false">E71*H71</f>
        <v>0</v>
      </c>
      <c r="M71" s="0" t="n">
        <f aca="false">Inputs!$B$17*(C71*Inputs!$B$22+D71*Inputs!$B$27+E71*Inputs!$B$32)*(B71-Inputs!$B$18)/12</f>
        <v>-0</v>
      </c>
      <c r="N71" s="0" t="n">
        <f aca="false">DP70+I71+MAX(-M71,0)</f>
        <v>8477.41539552201</v>
      </c>
      <c r="O71" s="0" t="n">
        <f aca="false">DQ70+J71</f>
        <v>0</v>
      </c>
      <c r="P71" s="0" t="n">
        <f aca="false">DR70+K71</f>
        <v>0</v>
      </c>
      <c r="Q71" s="0" t="n">
        <f aca="false">DS70+L71</f>
        <v>0</v>
      </c>
      <c r="R71" s="0" t="n">
        <f aca="false">Pool!BV71+MAX(M71,0)</f>
        <v>142636.128124177</v>
      </c>
      <c r="S71" s="0" t="n">
        <f aca="false">Pool!BW71+Pool!BX71+Pool!BZ71</f>
        <v>1341082.97058863</v>
      </c>
      <c r="T71" s="0" t="n">
        <f aca="false">MAX(T70,BG70)</f>
        <v>1</v>
      </c>
      <c r="U71" s="0" t="n">
        <f aca="false">MIN(C71,S71)</f>
        <v>0</v>
      </c>
      <c r="V71" s="0" t="n">
        <f aca="false">MIN(D71,S71-U71)</f>
        <v>0</v>
      </c>
      <c r="W71" s="0" t="n">
        <f aca="false">MIN(E71,S71-U71-V71)</f>
        <v>0</v>
      </c>
      <c r="X71" s="0" t="n">
        <f aca="false">IF(C71-(0)&gt;Inputs!$B$19,1,0)</f>
        <v>0</v>
      </c>
      <c r="Y71" s="0" t="n">
        <f aca="false">IF(D71-(0)&gt;Inputs!$B$19,1,0)</f>
        <v>0</v>
      </c>
      <c r="Z71" s="0" t="n">
        <f aca="false">IF(E71-(0)&gt;Inputs!$B$19,1,0)</f>
        <v>0</v>
      </c>
      <c r="AA71" s="0" t="n">
        <f aca="false">IF((X71*C71+Y71*D71+Z71*E71)&gt;0,MIN(C71-(0),S71*X71*C71/(X71*C71+Y71*D71+Z71*E71)),0)</f>
        <v>0</v>
      </c>
      <c r="AB71" s="0" t="n">
        <f aca="false">IF((X71*C71+Y71*D71+Z71*E71)&gt;0,MIN(D71-(0),S71*Y71*D71/(X71*C71+Y71*D71+Z71*E71)),0)</f>
        <v>0</v>
      </c>
      <c r="AC71" s="0" t="n">
        <f aca="false">IF((X71*C71+Y71*D71+Z71*E71)&gt;0,MIN(E71-(0),S71*Z71*E71/(X71*C71+Y71*D71+Z71*E71)),0)</f>
        <v>0</v>
      </c>
      <c r="AD71" s="0" t="n">
        <f aca="false">IF(C71-(AA71)&gt;Inputs!$B$19,1,0)</f>
        <v>0</v>
      </c>
      <c r="AE71" s="0" t="n">
        <f aca="false">IF(D71-(AB71)&gt;Inputs!$B$19,1,0)</f>
        <v>0</v>
      </c>
      <c r="AF71" s="0" t="n">
        <f aca="false">IF(E71-(AC71)&gt;Inputs!$B$19,1,0)</f>
        <v>0</v>
      </c>
      <c r="AG71" s="0" t="n">
        <f aca="false">IF((AD71*C71+AE71*D71+AF71*E71)&gt;0,MIN(C71-(AA71),(S71-(AA71+AB71+AC71))*AD71*C71/(AD71*C71+AE71*D71+AF71*E71)),0)</f>
        <v>0</v>
      </c>
      <c r="AH71" s="0" t="n">
        <f aca="false">IF((AD71*C71+AE71*D71+AF71*E71)&gt;0,MIN(D71-(AB71),(S71-(AA71+AB71+AC71))*AE71*D71/(AD71*C71+AE71*D71+AF71*E71)),0)</f>
        <v>0</v>
      </c>
      <c r="AI71" s="0" t="n">
        <f aca="false">IF((AD71*C71+AE71*D71+AF71*E71)&gt;0,MIN(E71-(AC71),(S71-(AA71+AB71+AC71))*AF71*E71/(AD71*C71+AE71*D71+AF71*E71)),0)</f>
        <v>0</v>
      </c>
      <c r="AJ71" s="0" t="n">
        <f aca="false">IF(C71-(AA71+AG71)&gt;Inputs!$B$19,1,0)</f>
        <v>0</v>
      </c>
      <c r="AK71" s="0" t="n">
        <f aca="false">IF(D71-(AB71+AH71)&gt;Inputs!$B$19,1,0)</f>
        <v>0</v>
      </c>
      <c r="AL71" s="0" t="n">
        <f aca="false">IF(E71-(AC71+AI71)&gt;Inputs!$B$19,1,0)</f>
        <v>0</v>
      </c>
      <c r="AM71" s="0" t="n">
        <f aca="false">IF((AJ71*C71+AK71*D71+AL71*E71)&gt;0,MIN(C71-(AA71+AG71),(S71-(AA71+AB71+AC71+AG71+AH71+AI71))*AJ71*C71/(AJ71*C71+AK71*D71+AL71*E71)),0)</f>
        <v>0</v>
      </c>
      <c r="AN71" s="0" t="n">
        <f aca="false">IF((AJ71*C71+AK71*D71+AL71*E71)&gt;0,MIN(D71-(AB71+AH71),(S71-(AA71+AB71+AC71+AG71+AH71+AI71))*AK71*D71/(AJ71*C71+AK71*D71+AL71*E71)),0)</f>
        <v>0</v>
      </c>
      <c r="AO71" s="0" t="n">
        <f aca="false">IF((AJ71*C71+AK71*D71+AL71*E71)&gt;0,MIN(E71-(AC71+AI71),(S71-(AA71+AB71+AC71+AG71+AH71+AI71))*AL71*E71/(AJ71*C71+AK71*D71+AL71*E71)),0)</f>
        <v>0</v>
      </c>
      <c r="AP71" s="0" t="n">
        <f aca="false">IF(T71=1,U71,AA71+AG71+AM71)</f>
        <v>0</v>
      </c>
      <c r="AQ71" s="0" t="n">
        <f aca="false">IF(T71=1,V71,AB71+AH71+AN71)</f>
        <v>0</v>
      </c>
      <c r="AR71" s="0" t="n">
        <f aca="false">IF(T71=1,W71,AC71+AI71+AO71)</f>
        <v>0</v>
      </c>
      <c r="AS71" s="0" t="n">
        <f aca="false">S71-AP71-AQ71-AR71</f>
        <v>1341082.97058863</v>
      </c>
      <c r="AT71" s="0" t="n">
        <f aca="false">C71-AP71</f>
        <v>0</v>
      </c>
      <c r="AU71" s="0" t="n">
        <f aca="false">D71-AQ71</f>
        <v>0</v>
      </c>
      <c r="AV71" s="0" t="n">
        <f aca="false">E71-AR71</f>
        <v>0</v>
      </c>
      <c r="AW71" s="0" t="n">
        <f aca="false">Pool!CB71</f>
        <v>14983602.1335339</v>
      </c>
      <c r="AX71" s="0" t="n">
        <f aca="false">IF((AT71)&gt;Inputs!$B$19,AW71/(AT71),1000000000)</f>
        <v>1000000000</v>
      </c>
      <c r="AY71" s="0" t="n">
        <f aca="false">IF((J71)&gt;0.000000001,(R71-I71-MAX(-M71,0))/(J71),1000000000)</f>
        <v>1000000000</v>
      </c>
      <c r="AZ71" s="0" t="n">
        <f aca="false">IF(OR(AX71&lt;Inputs!$B$24,AY71&lt;Inputs!$B$25),1,0)</f>
        <v>0</v>
      </c>
      <c r="BA71" s="0" t="n">
        <f aca="false">IF((AT71+AU71)&gt;Inputs!$B$19,AW71/(AT71+AU71),1000000000)</f>
        <v>1000000000</v>
      </c>
      <c r="BB71" s="0" t="n">
        <f aca="false">IF((J71+K71)&gt;0.000000001,(R71-I71-MAX(-M71,0))/(J71+K71),1000000000)</f>
        <v>1000000000</v>
      </c>
      <c r="BC71" s="0" t="n">
        <f aca="false">IF(OR(BA71&lt;Inputs!$B$29,BB71&lt;Inputs!$B$30),1,0)</f>
        <v>0</v>
      </c>
      <c r="BD71" s="0" t="n">
        <f aca="false">IF((AT71+AU71+AV71)&gt;Inputs!$B$19,AW71/(AT71+AU71+AV71),1000000000)</f>
        <v>1000000000</v>
      </c>
      <c r="BE71" s="0" t="n">
        <f aca="false">IF((J71+K71+L71)&gt;0.000000001,(R71-I71-MAX(-M71,0))/(J71+K71+L71),1000000000)</f>
        <v>1000000000</v>
      </c>
      <c r="BF71" s="0" t="n">
        <f aca="false">IF(OR(BD71&lt;Inputs!$B$34,BE71&lt;Inputs!$B$35),1,0)</f>
        <v>0</v>
      </c>
      <c r="BG71" s="0" t="n">
        <f aca="false">MAX(AZ71,BC71,BF71)</f>
        <v>0</v>
      </c>
      <c r="BH71" s="0" t="n">
        <f aca="false">MIN(R71,N71)</f>
        <v>8477.41539552201</v>
      </c>
      <c r="BI71" s="0" t="n">
        <f aca="false">R71-BH71</f>
        <v>134158.712728655</v>
      </c>
      <c r="BJ71" s="0" t="n">
        <f aca="false">MIN(BI71,O71)</f>
        <v>0</v>
      </c>
      <c r="BK71" s="0" t="n">
        <f aca="false">BI71-BJ71</f>
        <v>134158.712728655</v>
      </c>
      <c r="BL71" s="0" t="n">
        <f aca="false">AZ71*MIN(AT71,BK71)</f>
        <v>0</v>
      </c>
      <c r="BM71" s="0" t="n">
        <f aca="false">AZ71*MIN(AU71,BK71-BL71)</f>
        <v>0</v>
      </c>
      <c r="BN71" s="0" t="n">
        <f aca="false">AZ71*MIN(AV71,BK71-BL71-BM71)</f>
        <v>0</v>
      </c>
      <c r="BO71" s="0" t="n">
        <f aca="false">BK71-BL71-BM71-BN71</f>
        <v>134158.712728655</v>
      </c>
      <c r="BP71" s="0" t="n">
        <f aca="false">MIN(BO71,P71)</f>
        <v>0</v>
      </c>
      <c r="BQ71" s="0" t="n">
        <f aca="false">BO71-BP71</f>
        <v>134158.712728655</v>
      </c>
      <c r="BR71" s="0" t="n">
        <f aca="false">BC71*MIN((AT71-BL71),BQ71)</f>
        <v>0</v>
      </c>
      <c r="BS71" s="0" t="n">
        <f aca="false">BC71*MIN((AU71-BM71),BQ71-BR71)</f>
        <v>0</v>
      </c>
      <c r="BT71" s="0" t="n">
        <f aca="false">BC71*MIN((AV71-BN71),BQ71-BR71-BS71)</f>
        <v>0</v>
      </c>
      <c r="BU71" s="0" t="n">
        <f aca="false">BQ71-BR71-BS71-BT71</f>
        <v>134158.712728655</v>
      </c>
      <c r="BV71" s="0" t="n">
        <f aca="false">MIN(BU71,Q71)</f>
        <v>0</v>
      </c>
      <c r="BW71" s="0" t="n">
        <f aca="false">BU71-BV71</f>
        <v>134158.712728655</v>
      </c>
      <c r="BX71" s="0" t="n">
        <f aca="false">BF71*MIN((AT71-BL71-BR71),BW71)</f>
        <v>0</v>
      </c>
      <c r="BY71" s="0" t="n">
        <f aca="false">BF71*MIN((AU71-BM71-BS71),BW71-BX71)</f>
        <v>0</v>
      </c>
      <c r="BZ71" s="0" t="n">
        <f aca="false">BF71*MIN((AV71-BN71-BT71),BW71-BX71-BY71)</f>
        <v>0</v>
      </c>
      <c r="CA71" s="0" t="n">
        <f aca="false">BW71-BX71-BY71-BZ71</f>
        <v>134158.712728655</v>
      </c>
      <c r="CB71" s="0" t="n">
        <f aca="false">MAX(0,AT71+AU71+AV71-BL71-BM71-BN71-BR71-BS71-BT71-BX71-BY71-BZ71-AW71)</f>
        <v>0</v>
      </c>
      <c r="CC71" s="0" t="n">
        <f aca="false">1*MIN((AT71-BL71-BR71-BX71),MIN(CA71,CB71))</f>
        <v>0</v>
      </c>
      <c r="CD71" s="0" t="n">
        <f aca="false">1*MIN((AU71-BM71-BS71-BY71),MIN(CA71,CB71)-CC71)</f>
        <v>0</v>
      </c>
      <c r="CE71" s="0" t="n">
        <f aca="false">1*MIN((AV71-BN71-BT71-BZ71),MIN(CA71,CB71)-CC71-CD71)</f>
        <v>0</v>
      </c>
      <c r="CF71" s="0" t="n">
        <f aca="false">CA71-CC71-CD71-CE71</f>
        <v>134158.712728655</v>
      </c>
      <c r="CG71" s="0" t="n">
        <f aca="false">IF(C71+D71+E71&gt;Inputs!$B$19,MIN(CF71,MAX(0,Inputs!$B$15-DO70)),0)</f>
        <v>0</v>
      </c>
      <c r="CH71" s="0" t="n">
        <f aca="false">CF71-CG71</f>
        <v>134158.712728655</v>
      </c>
      <c r="CI71" s="0" t="n">
        <f aca="false">DO70+CG71</f>
        <v>0</v>
      </c>
      <c r="CJ71" s="0" t="n">
        <f aca="false">MIN(MAX(N71-BH71,0),CI71)</f>
        <v>0</v>
      </c>
      <c r="CK71" s="0" t="n">
        <f aca="false">MIN(MAX(O71-BJ71,0),CI71-CJ71)</f>
        <v>0</v>
      </c>
      <c r="CL71" s="0" t="n">
        <f aca="false">MIN(MAX(P71-BP71,0),CI71-CJ71-CK71)</f>
        <v>0</v>
      </c>
      <c r="CM71" s="0" t="n">
        <f aca="false">CJ71+CK71+CL71</f>
        <v>0</v>
      </c>
      <c r="CN71" s="0" t="n">
        <f aca="false">CI71-CM71</f>
        <v>0</v>
      </c>
      <c r="CO71" s="0" t="n">
        <f aca="false">BH71+CJ71</f>
        <v>8477.41539552201</v>
      </c>
      <c r="CP71" s="0" t="n">
        <f aca="false">BJ71+CK71</f>
        <v>0</v>
      </c>
      <c r="CQ71" s="0" t="n">
        <f aca="false">BP71+CL71</f>
        <v>0</v>
      </c>
      <c r="CR71" s="0" t="n">
        <f aca="false">BV71</f>
        <v>0</v>
      </c>
      <c r="CS71" s="0" t="n">
        <f aca="false">AT71-BL71-BR71-BX71-CC71</f>
        <v>0</v>
      </c>
      <c r="CT71" s="0" t="n">
        <f aca="false">AU71-BM71-BS71-BY71-CD71</f>
        <v>0</v>
      </c>
      <c r="CU71" s="0" t="n">
        <f aca="false">AV71-BN71-BT71-BZ71-CE71</f>
        <v>0</v>
      </c>
      <c r="CV71" s="0" t="n">
        <f aca="false">MAX(0,CS71+CT71+CU71-AW71)</f>
        <v>0</v>
      </c>
      <c r="CW71" s="0" t="n">
        <f aca="false">MIN(CU71,CV71)</f>
        <v>0</v>
      </c>
      <c r="CX71" s="0" t="n">
        <f aca="false">MIN(CT71,CV71-CW71)</f>
        <v>0</v>
      </c>
      <c r="CY71" s="0" t="n">
        <f aca="false">MIN(CS71,CV71-CW71-CX71)</f>
        <v>0</v>
      </c>
      <c r="CZ71" s="0" t="n">
        <f aca="false">IF(CS71-CY71&lt;Inputs!$B$19,0,CS71-CY71)</f>
        <v>0</v>
      </c>
      <c r="DA71" s="0" t="n">
        <f aca="false">IF(CT71-CX71&lt;Inputs!$B$19,0,CT71-CX71)</f>
        <v>0</v>
      </c>
      <c r="DB71" s="0" t="n">
        <f aca="false">IF(CU71-CW71&lt;Inputs!$B$19,0,CU71-CW71)</f>
        <v>0</v>
      </c>
      <c r="DC71" s="0" t="n">
        <f aca="false">N71-CO71</f>
        <v>0</v>
      </c>
      <c r="DD71" s="0" t="n">
        <f aca="false">O71-CP71</f>
        <v>0</v>
      </c>
      <c r="DE71" s="0" t="n">
        <f aca="false">P71-CQ71</f>
        <v>0</v>
      </c>
      <c r="DF71" s="0" t="n">
        <f aca="false">Q71-CR71</f>
        <v>0</v>
      </c>
      <c r="DG71" s="0" t="n">
        <f aca="false">IF(CZ71+DA71+DB71&lt;=Inputs!$B$19,1,0)</f>
        <v>1</v>
      </c>
      <c r="DH71" s="0" t="n">
        <f aca="false">DG71*CN71</f>
        <v>0</v>
      </c>
      <c r="DI71" s="0" t="n">
        <f aca="false">DG71*(AS71+DH71)</f>
        <v>1341082.97058863</v>
      </c>
      <c r="DJ71" s="0" t="n">
        <f aca="false">DG71*MIN(DC71,DI71)</f>
        <v>0</v>
      </c>
      <c r="DK71" s="0" t="n">
        <f aca="false">DG71*MIN(DD71,DI71-DJ71)</f>
        <v>0</v>
      </c>
      <c r="DL71" s="0" t="n">
        <f aca="false">DG71*MIN(DE71,DI71-DJ71-DK71)</f>
        <v>0</v>
      </c>
      <c r="DM71" s="0" t="n">
        <f aca="false">DG71*MIN(DF71,DI71-DJ71-DK71-DL71)</f>
        <v>0</v>
      </c>
      <c r="DN71" s="0" t="n">
        <f aca="false">DJ71+DK71+DL71+DM71</f>
        <v>0</v>
      </c>
      <c r="DO71" s="0" t="n">
        <f aca="false">CN71-DH71</f>
        <v>0</v>
      </c>
      <c r="DP71" s="0" t="n">
        <f aca="false">DC71-DJ71</f>
        <v>0</v>
      </c>
      <c r="DQ71" s="0" t="n">
        <f aca="false">DD71-DK71</f>
        <v>0</v>
      </c>
      <c r="DR71" s="0" t="n">
        <f aca="false">DE71-DL71</f>
        <v>0</v>
      </c>
      <c r="DS71" s="0" t="n">
        <f aca="false">DF71-DM71</f>
        <v>0</v>
      </c>
      <c r="DT71" s="0" t="n">
        <f aca="false">CO71+DJ71</f>
        <v>8477.41539552201</v>
      </c>
      <c r="DU71" s="0" t="n">
        <f aca="false">CP71+DK71</f>
        <v>0</v>
      </c>
      <c r="DV71" s="0" t="n">
        <f aca="false">AP71+BL71+BR71+BX71+CC71</f>
        <v>0</v>
      </c>
      <c r="DW71" s="0" t="n">
        <f aca="false">CQ71+DL71</f>
        <v>0</v>
      </c>
      <c r="DX71" s="0" t="n">
        <f aca="false">AQ71+BM71+BS71+BY71+CD71</f>
        <v>0</v>
      </c>
      <c r="DY71" s="0" t="n">
        <f aca="false">CR71+DM71</f>
        <v>0</v>
      </c>
      <c r="DZ71" s="0" t="n">
        <f aca="false">AR71+BN71+BT71+BZ71+CE71</f>
        <v>0</v>
      </c>
      <c r="EA71" s="0" t="n">
        <f aca="false">DI71-DN71</f>
        <v>1341082.97058863</v>
      </c>
      <c r="EB71" s="0" t="n">
        <f aca="false">CH71+EA71</f>
        <v>1475241.68331729</v>
      </c>
      <c r="EC71" s="0" t="n">
        <f aca="false">R71-I71-MAX(-M71,0)-J71-K71-L71</f>
        <v>134158.712728655</v>
      </c>
      <c r="ED71" s="0" t="n">
        <f aca="false">R71+S71+CM71+DH71-CG71-DT71-DU71-DW71-DY71-DV71-DX71-DZ71-EB71</f>
        <v>0</v>
      </c>
      <c r="EE71" s="0" t="n">
        <f aca="false">IF(AND(EB71&gt;0.000001,DP71+DQ71+DR71+DS71&gt;0.000001),1,0)</f>
        <v>0</v>
      </c>
    </row>
    <row r="72" customFormat="false" ht="15" hidden="false" customHeight="false" outlineLevel="0" collapsed="false">
      <c r="A72" s="0" t="n">
        <f aca="false">ROW()-5</f>
        <v>67</v>
      </c>
      <c r="B72" s="0" t="n">
        <f aca="false">Inputs!$B$11+(Inputs!$B$12-Inputs!$B$11)*(1-EXP(-A72/Inputs!$B$13))+Inputs!$B$8</f>
        <v>0.0331438487700926</v>
      </c>
      <c r="C72" s="0" t="n">
        <f aca="false">CZ71</f>
        <v>0</v>
      </c>
      <c r="D72" s="0" t="n">
        <f aca="false">DA71</f>
        <v>0</v>
      </c>
      <c r="E72" s="0" t="n">
        <f aca="false">DB71</f>
        <v>0</v>
      </c>
      <c r="F72" s="0" t="n">
        <f aca="false">IF(Inputs!$B$22=1,B72+Inputs!$B$23,Inputs!$B$23)/12</f>
        <v>0.00367865406417438</v>
      </c>
      <c r="G72" s="0" t="n">
        <f aca="false">IF(Inputs!$B$27=1,B72+Inputs!$B$28,Inputs!$B$28)/12</f>
        <v>0.00463698739750772</v>
      </c>
      <c r="H72" s="0" t="n">
        <f aca="false">IF(Inputs!$B$32=1,B72+Inputs!$B$33,Inputs!$B$33)/12</f>
        <v>0.00625</v>
      </c>
      <c r="I72" s="0" t="n">
        <f aca="false">Pool!BT72*Inputs!$B$14/12</f>
        <v>7772.41921227243</v>
      </c>
      <c r="J72" s="0" t="n">
        <f aca="false">C72*F72</f>
        <v>0</v>
      </c>
      <c r="K72" s="0" t="n">
        <f aca="false">D72*G72</f>
        <v>0</v>
      </c>
      <c r="L72" s="0" t="n">
        <f aca="false">E72*H72</f>
        <v>0</v>
      </c>
      <c r="M72" s="0" t="n">
        <f aca="false">Inputs!$B$17*(C72*Inputs!$B$22+D72*Inputs!$B$27+E72*Inputs!$B$32)*(B72-Inputs!$B$18)/12</f>
        <v>-0</v>
      </c>
      <c r="N72" s="0" t="n">
        <f aca="false">DP71+I72+MAX(-M72,0)</f>
        <v>7772.41921227243</v>
      </c>
      <c r="O72" s="0" t="n">
        <f aca="false">DQ71+J72</f>
        <v>0</v>
      </c>
      <c r="P72" s="0" t="n">
        <f aca="false">DR71+K72</f>
        <v>0</v>
      </c>
      <c r="Q72" s="0" t="n">
        <f aca="false">DS71+L72</f>
        <v>0</v>
      </c>
      <c r="R72" s="0" t="n">
        <f aca="false">Pool!BV72+MAX(M72,0)</f>
        <v>130958.360537158</v>
      </c>
      <c r="S72" s="0" t="n">
        <f aca="false">Pool!BW72+Pool!BX72+Pool!BZ72</f>
        <v>1322323.07847832</v>
      </c>
      <c r="T72" s="0" t="n">
        <f aca="false">MAX(T71,BG71)</f>
        <v>1</v>
      </c>
      <c r="U72" s="0" t="n">
        <f aca="false">MIN(C72,S72)</f>
        <v>0</v>
      </c>
      <c r="V72" s="0" t="n">
        <f aca="false">MIN(D72,S72-U72)</f>
        <v>0</v>
      </c>
      <c r="W72" s="0" t="n">
        <f aca="false">MIN(E72,S72-U72-V72)</f>
        <v>0</v>
      </c>
      <c r="X72" s="0" t="n">
        <f aca="false">IF(C72-(0)&gt;Inputs!$B$19,1,0)</f>
        <v>0</v>
      </c>
      <c r="Y72" s="0" t="n">
        <f aca="false">IF(D72-(0)&gt;Inputs!$B$19,1,0)</f>
        <v>0</v>
      </c>
      <c r="Z72" s="0" t="n">
        <f aca="false">IF(E72-(0)&gt;Inputs!$B$19,1,0)</f>
        <v>0</v>
      </c>
      <c r="AA72" s="0" t="n">
        <f aca="false">IF((X72*C72+Y72*D72+Z72*E72)&gt;0,MIN(C72-(0),S72*X72*C72/(X72*C72+Y72*D72+Z72*E72)),0)</f>
        <v>0</v>
      </c>
      <c r="AB72" s="0" t="n">
        <f aca="false">IF((X72*C72+Y72*D72+Z72*E72)&gt;0,MIN(D72-(0),S72*Y72*D72/(X72*C72+Y72*D72+Z72*E72)),0)</f>
        <v>0</v>
      </c>
      <c r="AC72" s="0" t="n">
        <f aca="false">IF((X72*C72+Y72*D72+Z72*E72)&gt;0,MIN(E72-(0),S72*Z72*E72/(X72*C72+Y72*D72+Z72*E72)),0)</f>
        <v>0</v>
      </c>
      <c r="AD72" s="0" t="n">
        <f aca="false">IF(C72-(AA72)&gt;Inputs!$B$19,1,0)</f>
        <v>0</v>
      </c>
      <c r="AE72" s="0" t="n">
        <f aca="false">IF(D72-(AB72)&gt;Inputs!$B$19,1,0)</f>
        <v>0</v>
      </c>
      <c r="AF72" s="0" t="n">
        <f aca="false">IF(E72-(AC72)&gt;Inputs!$B$19,1,0)</f>
        <v>0</v>
      </c>
      <c r="AG72" s="0" t="n">
        <f aca="false">IF((AD72*C72+AE72*D72+AF72*E72)&gt;0,MIN(C72-(AA72),(S72-(AA72+AB72+AC72))*AD72*C72/(AD72*C72+AE72*D72+AF72*E72)),0)</f>
        <v>0</v>
      </c>
      <c r="AH72" s="0" t="n">
        <f aca="false">IF((AD72*C72+AE72*D72+AF72*E72)&gt;0,MIN(D72-(AB72),(S72-(AA72+AB72+AC72))*AE72*D72/(AD72*C72+AE72*D72+AF72*E72)),0)</f>
        <v>0</v>
      </c>
      <c r="AI72" s="0" t="n">
        <f aca="false">IF((AD72*C72+AE72*D72+AF72*E72)&gt;0,MIN(E72-(AC72),(S72-(AA72+AB72+AC72))*AF72*E72/(AD72*C72+AE72*D72+AF72*E72)),0)</f>
        <v>0</v>
      </c>
      <c r="AJ72" s="0" t="n">
        <f aca="false">IF(C72-(AA72+AG72)&gt;Inputs!$B$19,1,0)</f>
        <v>0</v>
      </c>
      <c r="AK72" s="0" t="n">
        <f aca="false">IF(D72-(AB72+AH72)&gt;Inputs!$B$19,1,0)</f>
        <v>0</v>
      </c>
      <c r="AL72" s="0" t="n">
        <f aca="false">IF(E72-(AC72+AI72)&gt;Inputs!$B$19,1,0)</f>
        <v>0</v>
      </c>
      <c r="AM72" s="0" t="n">
        <f aca="false">IF((AJ72*C72+AK72*D72+AL72*E72)&gt;0,MIN(C72-(AA72+AG72),(S72-(AA72+AB72+AC72+AG72+AH72+AI72))*AJ72*C72/(AJ72*C72+AK72*D72+AL72*E72)),0)</f>
        <v>0</v>
      </c>
      <c r="AN72" s="0" t="n">
        <f aca="false">IF((AJ72*C72+AK72*D72+AL72*E72)&gt;0,MIN(D72-(AB72+AH72),(S72-(AA72+AB72+AC72+AG72+AH72+AI72))*AK72*D72/(AJ72*C72+AK72*D72+AL72*E72)),0)</f>
        <v>0</v>
      </c>
      <c r="AO72" s="0" t="n">
        <f aca="false">IF((AJ72*C72+AK72*D72+AL72*E72)&gt;0,MIN(E72-(AC72+AI72),(S72-(AA72+AB72+AC72+AG72+AH72+AI72))*AL72*E72/(AJ72*C72+AK72*D72+AL72*E72)),0)</f>
        <v>0</v>
      </c>
      <c r="AP72" s="0" t="n">
        <f aca="false">IF(T72=1,U72,AA72+AG72+AM72)</f>
        <v>0</v>
      </c>
      <c r="AQ72" s="0" t="n">
        <f aca="false">IF(T72=1,V72,AB72+AH72+AN72)</f>
        <v>0</v>
      </c>
      <c r="AR72" s="0" t="n">
        <f aca="false">IF(T72=1,W72,AC72+AI72+AO72)</f>
        <v>0</v>
      </c>
      <c r="AS72" s="0" t="n">
        <f aca="false">S72-AP72-AQ72-AR72</f>
        <v>1322323.07847832</v>
      </c>
      <c r="AT72" s="0" t="n">
        <f aca="false">C72-AP72</f>
        <v>0</v>
      </c>
      <c r="AU72" s="0" t="n">
        <f aca="false">D72-AQ72</f>
        <v>0</v>
      </c>
      <c r="AV72" s="0" t="n">
        <f aca="false">E72-AR72</f>
        <v>0</v>
      </c>
      <c r="AW72" s="0" t="n">
        <f aca="false">Pool!CB72</f>
        <v>13646266.8946364</v>
      </c>
      <c r="AX72" s="0" t="n">
        <f aca="false">IF((AT72)&gt;Inputs!$B$19,AW72/(AT72),1000000000)</f>
        <v>1000000000</v>
      </c>
      <c r="AY72" s="0" t="n">
        <f aca="false">IF((J72)&gt;0.000000001,(R72-I72-MAX(-M72,0))/(J72),1000000000)</f>
        <v>1000000000</v>
      </c>
      <c r="AZ72" s="0" t="n">
        <f aca="false">IF(OR(AX72&lt;Inputs!$B$24,AY72&lt;Inputs!$B$25),1,0)</f>
        <v>0</v>
      </c>
      <c r="BA72" s="0" t="n">
        <f aca="false">IF((AT72+AU72)&gt;Inputs!$B$19,AW72/(AT72+AU72),1000000000)</f>
        <v>1000000000</v>
      </c>
      <c r="BB72" s="0" t="n">
        <f aca="false">IF((J72+K72)&gt;0.000000001,(R72-I72-MAX(-M72,0))/(J72+K72),1000000000)</f>
        <v>1000000000</v>
      </c>
      <c r="BC72" s="0" t="n">
        <f aca="false">IF(OR(BA72&lt;Inputs!$B$29,BB72&lt;Inputs!$B$30),1,0)</f>
        <v>0</v>
      </c>
      <c r="BD72" s="0" t="n">
        <f aca="false">IF((AT72+AU72+AV72)&gt;Inputs!$B$19,AW72/(AT72+AU72+AV72),1000000000)</f>
        <v>1000000000</v>
      </c>
      <c r="BE72" s="0" t="n">
        <f aca="false">IF((J72+K72+L72)&gt;0.000000001,(R72-I72-MAX(-M72,0))/(J72+K72+L72),1000000000)</f>
        <v>1000000000</v>
      </c>
      <c r="BF72" s="0" t="n">
        <f aca="false">IF(OR(BD72&lt;Inputs!$B$34,BE72&lt;Inputs!$B$35),1,0)</f>
        <v>0</v>
      </c>
      <c r="BG72" s="0" t="n">
        <f aca="false">MAX(AZ72,BC72,BF72)</f>
        <v>0</v>
      </c>
      <c r="BH72" s="0" t="n">
        <f aca="false">MIN(R72,N72)</f>
        <v>7772.41921227243</v>
      </c>
      <c r="BI72" s="0" t="n">
        <f aca="false">R72-BH72</f>
        <v>123185.941324885</v>
      </c>
      <c r="BJ72" s="0" t="n">
        <f aca="false">MIN(BI72,O72)</f>
        <v>0</v>
      </c>
      <c r="BK72" s="0" t="n">
        <f aca="false">BI72-BJ72</f>
        <v>123185.941324885</v>
      </c>
      <c r="BL72" s="0" t="n">
        <f aca="false">AZ72*MIN(AT72,BK72)</f>
        <v>0</v>
      </c>
      <c r="BM72" s="0" t="n">
        <f aca="false">AZ72*MIN(AU72,BK72-BL72)</f>
        <v>0</v>
      </c>
      <c r="BN72" s="0" t="n">
        <f aca="false">AZ72*MIN(AV72,BK72-BL72-BM72)</f>
        <v>0</v>
      </c>
      <c r="BO72" s="0" t="n">
        <f aca="false">BK72-BL72-BM72-BN72</f>
        <v>123185.941324885</v>
      </c>
      <c r="BP72" s="0" t="n">
        <f aca="false">MIN(BO72,P72)</f>
        <v>0</v>
      </c>
      <c r="BQ72" s="0" t="n">
        <f aca="false">BO72-BP72</f>
        <v>123185.941324885</v>
      </c>
      <c r="BR72" s="0" t="n">
        <f aca="false">BC72*MIN((AT72-BL72),BQ72)</f>
        <v>0</v>
      </c>
      <c r="BS72" s="0" t="n">
        <f aca="false">BC72*MIN((AU72-BM72),BQ72-BR72)</f>
        <v>0</v>
      </c>
      <c r="BT72" s="0" t="n">
        <f aca="false">BC72*MIN((AV72-BN72),BQ72-BR72-BS72)</f>
        <v>0</v>
      </c>
      <c r="BU72" s="0" t="n">
        <f aca="false">BQ72-BR72-BS72-BT72</f>
        <v>123185.941324885</v>
      </c>
      <c r="BV72" s="0" t="n">
        <f aca="false">MIN(BU72,Q72)</f>
        <v>0</v>
      </c>
      <c r="BW72" s="0" t="n">
        <f aca="false">BU72-BV72</f>
        <v>123185.941324885</v>
      </c>
      <c r="BX72" s="0" t="n">
        <f aca="false">BF72*MIN((AT72-BL72-BR72),BW72)</f>
        <v>0</v>
      </c>
      <c r="BY72" s="0" t="n">
        <f aca="false">BF72*MIN((AU72-BM72-BS72),BW72-BX72)</f>
        <v>0</v>
      </c>
      <c r="BZ72" s="0" t="n">
        <f aca="false">BF72*MIN((AV72-BN72-BT72),BW72-BX72-BY72)</f>
        <v>0</v>
      </c>
      <c r="CA72" s="0" t="n">
        <f aca="false">BW72-BX72-BY72-BZ72</f>
        <v>123185.941324885</v>
      </c>
      <c r="CB72" s="0" t="n">
        <f aca="false">MAX(0,AT72+AU72+AV72-BL72-BM72-BN72-BR72-BS72-BT72-BX72-BY72-BZ72-AW72)</f>
        <v>0</v>
      </c>
      <c r="CC72" s="0" t="n">
        <f aca="false">1*MIN((AT72-BL72-BR72-BX72),MIN(CA72,CB72))</f>
        <v>0</v>
      </c>
      <c r="CD72" s="0" t="n">
        <f aca="false">1*MIN((AU72-BM72-BS72-BY72),MIN(CA72,CB72)-CC72)</f>
        <v>0</v>
      </c>
      <c r="CE72" s="0" t="n">
        <f aca="false">1*MIN((AV72-BN72-BT72-BZ72),MIN(CA72,CB72)-CC72-CD72)</f>
        <v>0</v>
      </c>
      <c r="CF72" s="0" t="n">
        <f aca="false">CA72-CC72-CD72-CE72</f>
        <v>123185.941324885</v>
      </c>
      <c r="CG72" s="0" t="n">
        <f aca="false">IF(C72+D72+E72&gt;Inputs!$B$19,MIN(CF72,MAX(0,Inputs!$B$15-DO71)),0)</f>
        <v>0</v>
      </c>
      <c r="CH72" s="0" t="n">
        <f aca="false">CF72-CG72</f>
        <v>123185.941324885</v>
      </c>
      <c r="CI72" s="0" t="n">
        <f aca="false">DO71+CG72</f>
        <v>0</v>
      </c>
      <c r="CJ72" s="0" t="n">
        <f aca="false">MIN(MAX(N72-BH72,0),CI72)</f>
        <v>0</v>
      </c>
      <c r="CK72" s="0" t="n">
        <f aca="false">MIN(MAX(O72-BJ72,0),CI72-CJ72)</f>
        <v>0</v>
      </c>
      <c r="CL72" s="0" t="n">
        <f aca="false">MIN(MAX(P72-BP72,0),CI72-CJ72-CK72)</f>
        <v>0</v>
      </c>
      <c r="CM72" s="0" t="n">
        <f aca="false">CJ72+CK72+CL72</f>
        <v>0</v>
      </c>
      <c r="CN72" s="0" t="n">
        <f aca="false">CI72-CM72</f>
        <v>0</v>
      </c>
      <c r="CO72" s="0" t="n">
        <f aca="false">BH72+CJ72</f>
        <v>7772.41921227243</v>
      </c>
      <c r="CP72" s="0" t="n">
        <f aca="false">BJ72+CK72</f>
        <v>0</v>
      </c>
      <c r="CQ72" s="0" t="n">
        <f aca="false">BP72+CL72</f>
        <v>0</v>
      </c>
      <c r="CR72" s="0" t="n">
        <f aca="false">BV72</f>
        <v>0</v>
      </c>
      <c r="CS72" s="0" t="n">
        <f aca="false">AT72-BL72-BR72-BX72-CC72</f>
        <v>0</v>
      </c>
      <c r="CT72" s="0" t="n">
        <f aca="false">AU72-BM72-BS72-BY72-CD72</f>
        <v>0</v>
      </c>
      <c r="CU72" s="0" t="n">
        <f aca="false">AV72-BN72-BT72-BZ72-CE72</f>
        <v>0</v>
      </c>
      <c r="CV72" s="0" t="n">
        <f aca="false">MAX(0,CS72+CT72+CU72-AW72)</f>
        <v>0</v>
      </c>
      <c r="CW72" s="0" t="n">
        <f aca="false">MIN(CU72,CV72)</f>
        <v>0</v>
      </c>
      <c r="CX72" s="0" t="n">
        <f aca="false">MIN(CT72,CV72-CW72)</f>
        <v>0</v>
      </c>
      <c r="CY72" s="0" t="n">
        <f aca="false">MIN(CS72,CV72-CW72-CX72)</f>
        <v>0</v>
      </c>
      <c r="CZ72" s="0" t="n">
        <f aca="false">IF(CS72-CY72&lt;Inputs!$B$19,0,CS72-CY72)</f>
        <v>0</v>
      </c>
      <c r="DA72" s="0" t="n">
        <f aca="false">IF(CT72-CX72&lt;Inputs!$B$19,0,CT72-CX72)</f>
        <v>0</v>
      </c>
      <c r="DB72" s="0" t="n">
        <f aca="false">IF(CU72-CW72&lt;Inputs!$B$19,0,CU72-CW72)</f>
        <v>0</v>
      </c>
      <c r="DC72" s="0" t="n">
        <f aca="false">N72-CO72</f>
        <v>0</v>
      </c>
      <c r="DD72" s="0" t="n">
        <f aca="false">O72-CP72</f>
        <v>0</v>
      </c>
      <c r="DE72" s="0" t="n">
        <f aca="false">P72-CQ72</f>
        <v>0</v>
      </c>
      <c r="DF72" s="0" t="n">
        <f aca="false">Q72-CR72</f>
        <v>0</v>
      </c>
      <c r="DG72" s="0" t="n">
        <f aca="false">IF(CZ72+DA72+DB72&lt;=Inputs!$B$19,1,0)</f>
        <v>1</v>
      </c>
      <c r="DH72" s="0" t="n">
        <f aca="false">DG72*CN72</f>
        <v>0</v>
      </c>
      <c r="DI72" s="0" t="n">
        <f aca="false">DG72*(AS72+DH72)</f>
        <v>1322323.07847832</v>
      </c>
      <c r="DJ72" s="0" t="n">
        <f aca="false">DG72*MIN(DC72,DI72)</f>
        <v>0</v>
      </c>
      <c r="DK72" s="0" t="n">
        <f aca="false">DG72*MIN(DD72,DI72-DJ72)</f>
        <v>0</v>
      </c>
      <c r="DL72" s="0" t="n">
        <f aca="false">DG72*MIN(DE72,DI72-DJ72-DK72)</f>
        <v>0</v>
      </c>
      <c r="DM72" s="0" t="n">
        <f aca="false">DG72*MIN(DF72,DI72-DJ72-DK72-DL72)</f>
        <v>0</v>
      </c>
      <c r="DN72" s="0" t="n">
        <f aca="false">DJ72+DK72+DL72+DM72</f>
        <v>0</v>
      </c>
      <c r="DO72" s="0" t="n">
        <f aca="false">CN72-DH72</f>
        <v>0</v>
      </c>
      <c r="DP72" s="0" t="n">
        <f aca="false">DC72-DJ72</f>
        <v>0</v>
      </c>
      <c r="DQ72" s="0" t="n">
        <f aca="false">DD72-DK72</f>
        <v>0</v>
      </c>
      <c r="DR72" s="0" t="n">
        <f aca="false">DE72-DL72</f>
        <v>0</v>
      </c>
      <c r="DS72" s="0" t="n">
        <f aca="false">DF72-DM72</f>
        <v>0</v>
      </c>
      <c r="DT72" s="0" t="n">
        <f aca="false">CO72+DJ72</f>
        <v>7772.41921227243</v>
      </c>
      <c r="DU72" s="0" t="n">
        <f aca="false">CP72+DK72</f>
        <v>0</v>
      </c>
      <c r="DV72" s="0" t="n">
        <f aca="false">AP72+BL72+BR72+BX72+CC72</f>
        <v>0</v>
      </c>
      <c r="DW72" s="0" t="n">
        <f aca="false">CQ72+DL72</f>
        <v>0</v>
      </c>
      <c r="DX72" s="0" t="n">
        <f aca="false">AQ72+BM72+BS72+BY72+CD72</f>
        <v>0</v>
      </c>
      <c r="DY72" s="0" t="n">
        <f aca="false">CR72+DM72</f>
        <v>0</v>
      </c>
      <c r="DZ72" s="0" t="n">
        <f aca="false">AR72+BN72+BT72+BZ72+CE72</f>
        <v>0</v>
      </c>
      <c r="EA72" s="0" t="n">
        <f aca="false">DI72-DN72</f>
        <v>1322323.07847832</v>
      </c>
      <c r="EB72" s="0" t="n">
        <f aca="false">CH72+EA72</f>
        <v>1445509.0198032</v>
      </c>
      <c r="EC72" s="0" t="n">
        <f aca="false">R72-I72-MAX(-M72,0)-J72-K72-L72</f>
        <v>123185.941324885</v>
      </c>
      <c r="ED72" s="0" t="n">
        <f aca="false">R72+S72+CM72+DH72-CG72-DT72-DU72-DW72-DY72-DV72-DX72-DZ72-EB72</f>
        <v>0</v>
      </c>
      <c r="EE72" s="0" t="n">
        <f aca="false">IF(AND(EB72&gt;0.000001,DP72+DQ72+DR72+DS72&gt;0.000001),1,0)</f>
        <v>0</v>
      </c>
    </row>
    <row r="73" customFormat="false" ht="15" hidden="false" customHeight="false" outlineLevel="0" collapsed="false">
      <c r="A73" s="0" t="n">
        <f aca="false">ROW()-5</f>
        <v>68</v>
      </c>
      <c r="B73" s="0" t="n">
        <f aca="false">Inputs!$B$11+(Inputs!$B$12-Inputs!$B$11)*(1-EXP(-A73/Inputs!$B$13))+Inputs!$B$8</f>
        <v>0.0331175729522455</v>
      </c>
      <c r="C73" s="0" t="n">
        <f aca="false">CZ72</f>
        <v>0</v>
      </c>
      <c r="D73" s="0" t="n">
        <f aca="false">DA72</f>
        <v>0</v>
      </c>
      <c r="E73" s="0" t="n">
        <f aca="false">DB72</f>
        <v>0</v>
      </c>
      <c r="F73" s="0" t="n">
        <f aca="false">IF(Inputs!$B$22=1,B73+Inputs!$B$23,Inputs!$B$23)/12</f>
        <v>0.00367646441268713</v>
      </c>
      <c r="G73" s="0" t="n">
        <f aca="false">IF(Inputs!$B$27=1,B73+Inputs!$B$28,Inputs!$B$28)/12</f>
        <v>0.00463479774602046</v>
      </c>
      <c r="H73" s="0" t="n">
        <f aca="false">IF(Inputs!$B$32=1,B73+Inputs!$B$33,Inputs!$B$33)/12</f>
        <v>0.00625</v>
      </c>
      <c r="I73" s="0" t="n">
        <f aca="false">Pool!BT73*Inputs!$B$14/12</f>
        <v>7076.97618529944</v>
      </c>
      <c r="J73" s="0" t="n">
        <f aca="false">C73*F73</f>
        <v>0</v>
      </c>
      <c r="K73" s="0" t="n">
        <f aca="false">D73*G73</f>
        <v>0</v>
      </c>
      <c r="L73" s="0" t="n">
        <f aca="false">E73*H73</f>
        <v>0</v>
      </c>
      <c r="M73" s="0" t="n">
        <f aca="false">Inputs!$B$17*(C73*Inputs!$B$22+D73*Inputs!$B$27+E73*Inputs!$B$32)*(B73-Inputs!$B$18)/12</f>
        <v>-0</v>
      </c>
      <c r="N73" s="0" t="n">
        <f aca="false">DP72+I73+MAX(-M73,0)</f>
        <v>7076.97618529944</v>
      </c>
      <c r="O73" s="0" t="n">
        <f aca="false">DQ72+J73</f>
        <v>0</v>
      </c>
      <c r="P73" s="0" t="n">
        <f aca="false">DR72+K73</f>
        <v>0</v>
      </c>
      <c r="Q73" s="0" t="n">
        <f aca="false">DS72+L73</f>
        <v>0</v>
      </c>
      <c r="R73" s="0" t="n">
        <f aca="false">Pool!BV73+MAX(M73,0)</f>
        <v>119438.598325347</v>
      </c>
      <c r="S73" s="0" t="n">
        <f aca="false">Pool!BW73+Pool!BX73+Pool!BZ73</f>
        <v>1305511.90400484</v>
      </c>
      <c r="T73" s="0" t="n">
        <f aca="false">MAX(T72,BG72)</f>
        <v>1</v>
      </c>
      <c r="U73" s="0" t="n">
        <f aca="false">MIN(C73,S73)</f>
        <v>0</v>
      </c>
      <c r="V73" s="0" t="n">
        <f aca="false">MIN(D73,S73-U73)</f>
        <v>0</v>
      </c>
      <c r="W73" s="0" t="n">
        <f aca="false">MIN(E73,S73-U73-V73)</f>
        <v>0</v>
      </c>
      <c r="X73" s="0" t="n">
        <f aca="false">IF(C73-(0)&gt;Inputs!$B$19,1,0)</f>
        <v>0</v>
      </c>
      <c r="Y73" s="0" t="n">
        <f aca="false">IF(D73-(0)&gt;Inputs!$B$19,1,0)</f>
        <v>0</v>
      </c>
      <c r="Z73" s="0" t="n">
        <f aca="false">IF(E73-(0)&gt;Inputs!$B$19,1,0)</f>
        <v>0</v>
      </c>
      <c r="AA73" s="0" t="n">
        <f aca="false">IF((X73*C73+Y73*D73+Z73*E73)&gt;0,MIN(C73-(0),S73*X73*C73/(X73*C73+Y73*D73+Z73*E73)),0)</f>
        <v>0</v>
      </c>
      <c r="AB73" s="0" t="n">
        <f aca="false">IF((X73*C73+Y73*D73+Z73*E73)&gt;0,MIN(D73-(0),S73*Y73*D73/(X73*C73+Y73*D73+Z73*E73)),0)</f>
        <v>0</v>
      </c>
      <c r="AC73" s="0" t="n">
        <f aca="false">IF((X73*C73+Y73*D73+Z73*E73)&gt;0,MIN(E73-(0),S73*Z73*E73/(X73*C73+Y73*D73+Z73*E73)),0)</f>
        <v>0</v>
      </c>
      <c r="AD73" s="0" t="n">
        <f aca="false">IF(C73-(AA73)&gt;Inputs!$B$19,1,0)</f>
        <v>0</v>
      </c>
      <c r="AE73" s="0" t="n">
        <f aca="false">IF(D73-(AB73)&gt;Inputs!$B$19,1,0)</f>
        <v>0</v>
      </c>
      <c r="AF73" s="0" t="n">
        <f aca="false">IF(E73-(AC73)&gt;Inputs!$B$19,1,0)</f>
        <v>0</v>
      </c>
      <c r="AG73" s="0" t="n">
        <f aca="false">IF((AD73*C73+AE73*D73+AF73*E73)&gt;0,MIN(C73-(AA73),(S73-(AA73+AB73+AC73))*AD73*C73/(AD73*C73+AE73*D73+AF73*E73)),0)</f>
        <v>0</v>
      </c>
      <c r="AH73" s="0" t="n">
        <f aca="false">IF((AD73*C73+AE73*D73+AF73*E73)&gt;0,MIN(D73-(AB73),(S73-(AA73+AB73+AC73))*AE73*D73/(AD73*C73+AE73*D73+AF73*E73)),0)</f>
        <v>0</v>
      </c>
      <c r="AI73" s="0" t="n">
        <f aca="false">IF((AD73*C73+AE73*D73+AF73*E73)&gt;0,MIN(E73-(AC73),(S73-(AA73+AB73+AC73))*AF73*E73/(AD73*C73+AE73*D73+AF73*E73)),0)</f>
        <v>0</v>
      </c>
      <c r="AJ73" s="0" t="n">
        <f aca="false">IF(C73-(AA73+AG73)&gt;Inputs!$B$19,1,0)</f>
        <v>0</v>
      </c>
      <c r="AK73" s="0" t="n">
        <f aca="false">IF(D73-(AB73+AH73)&gt;Inputs!$B$19,1,0)</f>
        <v>0</v>
      </c>
      <c r="AL73" s="0" t="n">
        <f aca="false">IF(E73-(AC73+AI73)&gt;Inputs!$B$19,1,0)</f>
        <v>0</v>
      </c>
      <c r="AM73" s="0" t="n">
        <f aca="false">IF((AJ73*C73+AK73*D73+AL73*E73)&gt;0,MIN(C73-(AA73+AG73),(S73-(AA73+AB73+AC73+AG73+AH73+AI73))*AJ73*C73/(AJ73*C73+AK73*D73+AL73*E73)),0)</f>
        <v>0</v>
      </c>
      <c r="AN73" s="0" t="n">
        <f aca="false">IF((AJ73*C73+AK73*D73+AL73*E73)&gt;0,MIN(D73-(AB73+AH73),(S73-(AA73+AB73+AC73+AG73+AH73+AI73))*AK73*D73/(AJ73*C73+AK73*D73+AL73*E73)),0)</f>
        <v>0</v>
      </c>
      <c r="AO73" s="0" t="n">
        <f aca="false">IF((AJ73*C73+AK73*D73+AL73*E73)&gt;0,MIN(E73-(AC73+AI73),(S73-(AA73+AB73+AC73+AG73+AH73+AI73))*AL73*E73/(AJ73*C73+AK73*D73+AL73*E73)),0)</f>
        <v>0</v>
      </c>
      <c r="AP73" s="0" t="n">
        <f aca="false">IF(T73=1,U73,AA73+AG73+AM73)</f>
        <v>0</v>
      </c>
      <c r="AQ73" s="0" t="n">
        <f aca="false">IF(T73=1,V73,AB73+AH73+AN73)</f>
        <v>0</v>
      </c>
      <c r="AR73" s="0" t="n">
        <f aca="false">IF(T73=1,W73,AC73+AI73+AO73)</f>
        <v>0</v>
      </c>
      <c r="AS73" s="0" t="n">
        <f aca="false">S73-AP73-AQ73-AR73</f>
        <v>1305511.90400484</v>
      </c>
      <c r="AT73" s="0" t="n">
        <f aca="false">C73-AP73</f>
        <v>0</v>
      </c>
      <c r="AU73" s="0" t="n">
        <f aca="false">D73-AQ73</f>
        <v>0</v>
      </c>
      <c r="AV73" s="0" t="n">
        <f aca="false">E73-AR73</f>
        <v>0</v>
      </c>
      <c r="AW73" s="0" t="n">
        <f aca="false">Pool!CB73</f>
        <v>12327086.054503</v>
      </c>
      <c r="AX73" s="0" t="n">
        <f aca="false">IF((AT73)&gt;Inputs!$B$19,AW73/(AT73),1000000000)</f>
        <v>1000000000</v>
      </c>
      <c r="AY73" s="0" t="n">
        <f aca="false">IF((J73)&gt;0.000000001,(R73-I73-MAX(-M73,0))/(J73),1000000000)</f>
        <v>1000000000</v>
      </c>
      <c r="AZ73" s="0" t="n">
        <f aca="false">IF(OR(AX73&lt;Inputs!$B$24,AY73&lt;Inputs!$B$25),1,0)</f>
        <v>0</v>
      </c>
      <c r="BA73" s="0" t="n">
        <f aca="false">IF((AT73+AU73)&gt;Inputs!$B$19,AW73/(AT73+AU73),1000000000)</f>
        <v>1000000000</v>
      </c>
      <c r="BB73" s="0" t="n">
        <f aca="false">IF((J73+K73)&gt;0.000000001,(R73-I73-MAX(-M73,0))/(J73+K73),1000000000)</f>
        <v>1000000000</v>
      </c>
      <c r="BC73" s="0" t="n">
        <f aca="false">IF(OR(BA73&lt;Inputs!$B$29,BB73&lt;Inputs!$B$30),1,0)</f>
        <v>0</v>
      </c>
      <c r="BD73" s="0" t="n">
        <f aca="false">IF((AT73+AU73+AV73)&gt;Inputs!$B$19,AW73/(AT73+AU73+AV73),1000000000)</f>
        <v>1000000000</v>
      </c>
      <c r="BE73" s="0" t="n">
        <f aca="false">IF((J73+K73+L73)&gt;0.000000001,(R73-I73-MAX(-M73,0))/(J73+K73+L73),1000000000)</f>
        <v>1000000000</v>
      </c>
      <c r="BF73" s="0" t="n">
        <f aca="false">IF(OR(BD73&lt;Inputs!$B$34,BE73&lt;Inputs!$B$35),1,0)</f>
        <v>0</v>
      </c>
      <c r="BG73" s="0" t="n">
        <f aca="false">MAX(AZ73,BC73,BF73)</f>
        <v>0</v>
      </c>
      <c r="BH73" s="0" t="n">
        <f aca="false">MIN(R73,N73)</f>
        <v>7076.97618529944</v>
      </c>
      <c r="BI73" s="0" t="n">
        <f aca="false">R73-BH73</f>
        <v>112361.622140047</v>
      </c>
      <c r="BJ73" s="0" t="n">
        <f aca="false">MIN(BI73,O73)</f>
        <v>0</v>
      </c>
      <c r="BK73" s="0" t="n">
        <f aca="false">BI73-BJ73</f>
        <v>112361.622140047</v>
      </c>
      <c r="BL73" s="0" t="n">
        <f aca="false">AZ73*MIN(AT73,BK73)</f>
        <v>0</v>
      </c>
      <c r="BM73" s="0" t="n">
        <f aca="false">AZ73*MIN(AU73,BK73-BL73)</f>
        <v>0</v>
      </c>
      <c r="BN73" s="0" t="n">
        <f aca="false">AZ73*MIN(AV73,BK73-BL73-BM73)</f>
        <v>0</v>
      </c>
      <c r="BO73" s="0" t="n">
        <f aca="false">BK73-BL73-BM73-BN73</f>
        <v>112361.622140047</v>
      </c>
      <c r="BP73" s="0" t="n">
        <f aca="false">MIN(BO73,P73)</f>
        <v>0</v>
      </c>
      <c r="BQ73" s="0" t="n">
        <f aca="false">BO73-BP73</f>
        <v>112361.622140047</v>
      </c>
      <c r="BR73" s="0" t="n">
        <f aca="false">BC73*MIN((AT73-BL73),BQ73)</f>
        <v>0</v>
      </c>
      <c r="BS73" s="0" t="n">
        <f aca="false">BC73*MIN((AU73-BM73),BQ73-BR73)</f>
        <v>0</v>
      </c>
      <c r="BT73" s="0" t="n">
        <f aca="false">BC73*MIN((AV73-BN73),BQ73-BR73-BS73)</f>
        <v>0</v>
      </c>
      <c r="BU73" s="0" t="n">
        <f aca="false">BQ73-BR73-BS73-BT73</f>
        <v>112361.622140047</v>
      </c>
      <c r="BV73" s="0" t="n">
        <f aca="false">MIN(BU73,Q73)</f>
        <v>0</v>
      </c>
      <c r="BW73" s="0" t="n">
        <f aca="false">BU73-BV73</f>
        <v>112361.622140047</v>
      </c>
      <c r="BX73" s="0" t="n">
        <f aca="false">BF73*MIN((AT73-BL73-BR73),BW73)</f>
        <v>0</v>
      </c>
      <c r="BY73" s="0" t="n">
        <f aca="false">BF73*MIN((AU73-BM73-BS73),BW73-BX73)</f>
        <v>0</v>
      </c>
      <c r="BZ73" s="0" t="n">
        <f aca="false">BF73*MIN((AV73-BN73-BT73),BW73-BX73-BY73)</f>
        <v>0</v>
      </c>
      <c r="CA73" s="0" t="n">
        <f aca="false">BW73-BX73-BY73-BZ73</f>
        <v>112361.622140047</v>
      </c>
      <c r="CB73" s="0" t="n">
        <f aca="false">MAX(0,AT73+AU73+AV73-BL73-BM73-BN73-BR73-BS73-BT73-BX73-BY73-BZ73-AW73)</f>
        <v>0</v>
      </c>
      <c r="CC73" s="0" t="n">
        <f aca="false">1*MIN((AT73-BL73-BR73-BX73),MIN(CA73,CB73))</f>
        <v>0</v>
      </c>
      <c r="CD73" s="0" t="n">
        <f aca="false">1*MIN((AU73-BM73-BS73-BY73),MIN(CA73,CB73)-CC73)</f>
        <v>0</v>
      </c>
      <c r="CE73" s="0" t="n">
        <f aca="false">1*MIN((AV73-BN73-BT73-BZ73),MIN(CA73,CB73)-CC73-CD73)</f>
        <v>0</v>
      </c>
      <c r="CF73" s="0" t="n">
        <f aca="false">CA73-CC73-CD73-CE73</f>
        <v>112361.622140047</v>
      </c>
      <c r="CG73" s="0" t="n">
        <f aca="false">IF(C73+D73+E73&gt;Inputs!$B$19,MIN(CF73,MAX(0,Inputs!$B$15-DO72)),0)</f>
        <v>0</v>
      </c>
      <c r="CH73" s="0" t="n">
        <f aca="false">CF73-CG73</f>
        <v>112361.622140047</v>
      </c>
      <c r="CI73" s="0" t="n">
        <f aca="false">DO72+CG73</f>
        <v>0</v>
      </c>
      <c r="CJ73" s="0" t="n">
        <f aca="false">MIN(MAX(N73-BH73,0),CI73)</f>
        <v>0</v>
      </c>
      <c r="CK73" s="0" t="n">
        <f aca="false">MIN(MAX(O73-BJ73,0),CI73-CJ73)</f>
        <v>0</v>
      </c>
      <c r="CL73" s="0" t="n">
        <f aca="false">MIN(MAX(P73-BP73,0),CI73-CJ73-CK73)</f>
        <v>0</v>
      </c>
      <c r="CM73" s="0" t="n">
        <f aca="false">CJ73+CK73+CL73</f>
        <v>0</v>
      </c>
      <c r="CN73" s="0" t="n">
        <f aca="false">CI73-CM73</f>
        <v>0</v>
      </c>
      <c r="CO73" s="0" t="n">
        <f aca="false">BH73+CJ73</f>
        <v>7076.97618529944</v>
      </c>
      <c r="CP73" s="0" t="n">
        <f aca="false">BJ73+CK73</f>
        <v>0</v>
      </c>
      <c r="CQ73" s="0" t="n">
        <f aca="false">BP73+CL73</f>
        <v>0</v>
      </c>
      <c r="CR73" s="0" t="n">
        <f aca="false">BV73</f>
        <v>0</v>
      </c>
      <c r="CS73" s="0" t="n">
        <f aca="false">AT73-BL73-BR73-BX73-CC73</f>
        <v>0</v>
      </c>
      <c r="CT73" s="0" t="n">
        <f aca="false">AU73-BM73-BS73-BY73-CD73</f>
        <v>0</v>
      </c>
      <c r="CU73" s="0" t="n">
        <f aca="false">AV73-BN73-BT73-BZ73-CE73</f>
        <v>0</v>
      </c>
      <c r="CV73" s="0" t="n">
        <f aca="false">MAX(0,CS73+CT73+CU73-AW73)</f>
        <v>0</v>
      </c>
      <c r="CW73" s="0" t="n">
        <f aca="false">MIN(CU73,CV73)</f>
        <v>0</v>
      </c>
      <c r="CX73" s="0" t="n">
        <f aca="false">MIN(CT73,CV73-CW73)</f>
        <v>0</v>
      </c>
      <c r="CY73" s="0" t="n">
        <f aca="false">MIN(CS73,CV73-CW73-CX73)</f>
        <v>0</v>
      </c>
      <c r="CZ73" s="0" t="n">
        <f aca="false">IF(CS73-CY73&lt;Inputs!$B$19,0,CS73-CY73)</f>
        <v>0</v>
      </c>
      <c r="DA73" s="0" t="n">
        <f aca="false">IF(CT73-CX73&lt;Inputs!$B$19,0,CT73-CX73)</f>
        <v>0</v>
      </c>
      <c r="DB73" s="0" t="n">
        <f aca="false">IF(CU73-CW73&lt;Inputs!$B$19,0,CU73-CW73)</f>
        <v>0</v>
      </c>
      <c r="DC73" s="0" t="n">
        <f aca="false">N73-CO73</f>
        <v>0</v>
      </c>
      <c r="DD73" s="0" t="n">
        <f aca="false">O73-CP73</f>
        <v>0</v>
      </c>
      <c r="DE73" s="0" t="n">
        <f aca="false">P73-CQ73</f>
        <v>0</v>
      </c>
      <c r="DF73" s="0" t="n">
        <f aca="false">Q73-CR73</f>
        <v>0</v>
      </c>
      <c r="DG73" s="0" t="n">
        <f aca="false">IF(CZ73+DA73+DB73&lt;=Inputs!$B$19,1,0)</f>
        <v>1</v>
      </c>
      <c r="DH73" s="0" t="n">
        <f aca="false">DG73*CN73</f>
        <v>0</v>
      </c>
      <c r="DI73" s="0" t="n">
        <f aca="false">DG73*(AS73+DH73)</f>
        <v>1305511.90400484</v>
      </c>
      <c r="DJ73" s="0" t="n">
        <f aca="false">DG73*MIN(DC73,DI73)</f>
        <v>0</v>
      </c>
      <c r="DK73" s="0" t="n">
        <f aca="false">DG73*MIN(DD73,DI73-DJ73)</f>
        <v>0</v>
      </c>
      <c r="DL73" s="0" t="n">
        <f aca="false">DG73*MIN(DE73,DI73-DJ73-DK73)</f>
        <v>0</v>
      </c>
      <c r="DM73" s="0" t="n">
        <f aca="false">DG73*MIN(DF73,DI73-DJ73-DK73-DL73)</f>
        <v>0</v>
      </c>
      <c r="DN73" s="0" t="n">
        <f aca="false">DJ73+DK73+DL73+DM73</f>
        <v>0</v>
      </c>
      <c r="DO73" s="0" t="n">
        <f aca="false">CN73-DH73</f>
        <v>0</v>
      </c>
      <c r="DP73" s="0" t="n">
        <f aca="false">DC73-DJ73</f>
        <v>0</v>
      </c>
      <c r="DQ73" s="0" t="n">
        <f aca="false">DD73-DK73</f>
        <v>0</v>
      </c>
      <c r="DR73" s="0" t="n">
        <f aca="false">DE73-DL73</f>
        <v>0</v>
      </c>
      <c r="DS73" s="0" t="n">
        <f aca="false">DF73-DM73</f>
        <v>0</v>
      </c>
      <c r="DT73" s="0" t="n">
        <f aca="false">CO73+DJ73</f>
        <v>7076.97618529944</v>
      </c>
      <c r="DU73" s="0" t="n">
        <f aca="false">CP73+DK73</f>
        <v>0</v>
      </c>
      <c r="DV73" s="0" t="n">
        <f aca="false">AP73+BL73+BR73+BX73+CC73</f>
        <v>0</v>
      </c>
      <c r="DW73" s="0" t="n">
        <f aca="false">CQ73+DL73</f>
        <v>0</v>
      </c>
      <c r="DX73" s="0" t="n">
        <f aca="false">AQ73+BM73+BS73+BY73+CD73</f>
        <v>0</v>
      </c>
      <c r="DY73" s="0" t="n">
        <f aca="false">CR73+DM73</f>
        <v>0</v>
      </c>
      <c r="DZ73" s="0" t="n">
        <f aca="false">AR73+BN73+BT73+BZ73+CE73</f>
        <v>0</v>
      </c>
      <c r="EA73" s="0" t="n">
        <f aca="false">DI73-DN73</f>
        <v>1305511.90400484</v>
      </c>
      <c r="EB73" s="0" t="n">
        <f aca="false">CH73+EA73</f>
        <v>1417873.52614489</v>
      </c>
      <c r="EC73" s="0" t="n">
        <f aca="false">R73-I73-MAX(-M73,0)-J73-K73-L73</f>
        <v>112361.622140047</v>
      </c>
      <c r="ED73" s="0" t="n">
        <f aca="false">R73+S73+CM73+DH73-CG73-DT73-DU73-DW73-DY73-DV73-DX73-DZ73-EB73</f>
        <v>0</v>
      </c>
      <c r="EE73" s="0" t="n">
        <f aca="false">IF(AND(EB73&gt;0.000001,DP73+DQ73+DR73+DS73&gt;0.000001),1,0)</f>
        <v>0</v>
      </c>
    </row>
    <row r="74" customFormat="false" ht="15" hidden="false" customHeight="false" outlineLevel="0" collapsed="false">
      <c r="A74" s="0" t="n">
        <f aca="false">ROW()-5</f>
        <v>69</v>
      </c>
      <c r="B74" s="0" t="n">
        <f aca="false">Inputs!$B$11+(Inputs!$B$12-Inputs!$B$11)*(1-EXP(-A74/Inputs!$B$13))+Inputs!$B$8</f>
        <v>0.0330923694647897</v>
      </c>
      <c r="C74" s="0" t="n">
        <f aca="false">CZ73</f>
        <v>0</v>
      </c>
      <c r="D74" s="0" t="n">
        <f aca="false">DA73</f>
        <v>0</v>
      </c>
      <c r="E74" s="0" t="n">
        <f aca="false">DB73</f>
        <v>0</v>
      </c>
      <c r="F74" s="0" t="n">
        <f aca="false">IF(Inputs!$B$22=1,B74+Inputs!$B$23,Inputs!$B$23)/12</f>
        <v>0.00367436412206581</v>
      </c>
      <c r="G74" s="0" t="n">
        <f aca="false">IF(Inputs!$B$27=1,B74+Inputs!$B$28,Inputs!$B$28)/12</f>
        <v>0.00463269745539914</v>
      </c>
      <c r="H74" s="0" t="n">
        <f aca="false">IF(Inputs!$B$32=1,B74+Inputs!$B$33,Inputs!$B$33)/12</f>
        <v>0.00625</v>
      </c>
      <c r="I74" s="0" t="n">
        <f aca="false">Pool!BT74*Inputs!$B$14/12</f>
        <v>6390.9744115339</v>
      </c>
      <c r="J74" s="0" t="n">
        <f aca="false">C74*F74</f>
        <v>0</v>
      </c>
      <c r="K74" s="0" t="n">
        <f aca="false">D74*G74</f>
        <v>0</v>
      </c>
      <c r="L74" s="0" t="n">
        <f aca="false">E74*H74</f>
        <v>0</v>
      </c>
      <c r="M74" s="0" t="n">
        <f aca="false">Inputs!$B$17*(C74*Inputs!$B$22+D74*Inputs!$B$27+E74*Inputs!$B$32)*(B74-Inputs!$B$18)/12</f>
        <v>-0</v>
      </c>
      <c r="N74" s="0" t="n">
        <f aca="false">DP73+I74+MAX(-M74,0)</f>
        <v>6390.9744115339</v>
      </c>
      <c r="O74" s="0" t="n">
        <f aca="false">DQ73+J74</f>
        <v>0</v>
      </c>
      <c r="P74" s="0" t="n">
        <f aca="false">DR73+K74</f>
        <v>0</v>
      </c>
      <c r="Q74" s="0" t="n">
        <f aca="false">DS73+L74</f>
        <v>0</v>
      </c>
      <c r="R74" s="0" t="n">
        <f aca="false">Pool!BV74+MAX(M74,0)</f>
        <v>108074.991629892</v>
      </c>
      <c r="S74" s="0" t="n">
        <f aca="false">Pool!BW74+Pool!BX74+Pool!BZ74</f>
        <v>1288895.22279053</v>
      </c>
      <c r="T74" s="0" t="n">
        <f aca="false">MAX(T73,BG73)</f>
        <v>1</v>
      </c>
      <c r="U74" s="0" t="n">
        <f aca="false">MIN(C74,S74)</f>
        <v>0</v>
      </c>
      <c r="V74" s="0" t="n">
        <f aca="false">MIN(D74,S74-U74)</f>
        <v>0</v>
      </c>
      <c r="W74" s="0" t="n">
        <f aca="false">MIN(E74,S74-U74-V74)</f>
        <v>0</v>
      </c>
      <c r="X74" s="0" t="n">
        <f aca="false">IF(C74-(0)&gt;Inputs!$B$19,1,0)</f>
        <v>0</v>
      </c>
      <c r="Y74" s="0" t="n">
        <f aca="false">IF(D74-(0)&gt;Inputs!$B$19,1,0)</f>
        <v>0</v>
      </c>
      <c r="Z74" s="0" t="n">
        <f aca="false">IF(E74-(0)&gt;Inputs!$B$19,1,0)</f>
        <v>0</v>
      </c>
      <c r="AA74" s="0" t="n">
        <f aca="false">IF((X74*C74+Y74*D74+Z74*E74)&gt;0,MIN(C74-(0),S74*X74*C74/(X74*C74+Y74*D74+Z74*E74)),0)</f>
        <v>0</v>
      </c>
      <c r="AB74" s="0" t="n">
        <f aca="false">IF((X74*C74+Y74*D74+Z74*E74)&gt;0,MIN(D74-(0),S74*Y74*D74/(X74*C74+Y74*D74+Z74*E74)),0)</f>
        <v>0</v>
      </c>
      <c r="AC74" s="0" t="n">
        <f aca="false">IF((X74*C74+Y74*D74+Z74*E74)&gt;0,MIN(E74-(0),S74*Z74*E74/(X74*C74+Y74*D74+Z74*E74)),0)</f>
        <v>0</v>
      </c>
      <c r="AD74" s="0" t="n">
        <f aca="false">IF(C74-(AA74)&gt;Inputs!$B$19,1,0)</f>
        <v>0</v>
      </c>
      <c r="AE74" s="0" t="n">
        <f aca="false">IF(D74-(AB74)&gt;Inputs!$B$19,1,0)</f>
        <v>0</v>
      </c>
      <c r="AF74" s="0" t="n">
        <f aca="false">IF(E74-(AC74)&gt;Inputs!$B$19,1,0)</f>
        <v>0</v>
      </c>
      <c r="AG74" s="0" t="n">
        <f aca="false">IF((AD74*C74+AE74*D74+AF74*E74)&gt;0,MIN(C74-(AA74),(S74-(AA74+AB74+AC74))*AD74*C74/(AD74*C74+AE74*D74+AF74*E74)),0)</f>
        <v>0</v>
      </c>
      <c r="AH74" s="0" t="n">
        <f aca="false">IF((AD74*C74+AE74*D74+AF74*E74)&gt;0,MIN(D74-(AB74),(S74-(AA74+AB74+AC74))*AE74*D74/(AD74*C74+AE74*D74+AF74*E74)),0)</f>
        <v>0</v>
      </c>
      <c r="AI74" s="0" t="n">
        <f aca="false">IF((AD74*C74+AE74*D74+AF74*E74)&gt;0,MIN(E74-(AC74),(S74-(AA74+AB74+AC74))*AF74*E74/(AD74*C74+AE74*D74+AF74*E74)),0)</f>
        <v>0</v>
      </c>
      <c r="AJ74" s="0" t="n">
        <f aca="false">IF(C74-(AA74+AG74)&gt;Inputs!$B$19,1,0)</f>
        <v>0</v>
      </c>
      <c r="AK74" s="0" t="n">
        <f aca="false">IF(D74-(AB74+AH74)&gt;Inputs!$B$19,1,0)</f>
        <v>0</v>
      </c>
      <c r="AL74" s="0" t="n">
        <f aca="false">IF(E74-(AC74+AI74)&gt;Inputs!$B$19,1,0)</f>
        <v>0</v>
      </c>
      <c r="AM74" s="0" t="n">
        <f aca="false">IF((AJ74*C74+AK74*D74+AL74*E74)&gt;0,MIN(C74-(AA74+AG74),(S74-(AA74+AB74+AC74+AG74+AH74+AI74))*AJ74*C74/(AJ74*C74+AK74*D74+AL74*E74)),0)</f>
        <v>0</v>
      </c>
      <c r="AN74" s="0" t="n">
        <f aca="false">IF((AJ74*C74+AK74*D74+AL74*E74)&gt;0,MIN(D74-(AB74+AH74),(S74-(AA74+AB74+AC74+AG74+AH74+AI74))*AK74*D74/(AJ74*C74+AK74*D74+AL74*E74)),0)</f>
        <v>0</v>
      </c>
      <c r="AO74" s="0" t="n">
        <f aca="false">IF((AJ74*C74+AK74*D74+AL74*E74)&gt;0,MIN(E74-(AC74+AI74),(S74-(AA74+AB74+AC74+AG74+AH74+AI74))*AL74*E74/(AJ74*C74+AK74*D74+AL74*E74)),0)</f>
        <v>0</v>
      </c>
      <c r="AP74" s="0" t="n">
        <f aca="false">IF(T74=1,U74,AA74+AG74+AM74)</f>
        <v>0</v>
      </c>
      <c r="AQ74" s="0" t="n">
        <f aca="false">IF(T74=1,V74,AB74+AH74+AN74)</f>
        <v>0</v>
      </c>
      <c r="AR74" s="0" t="n">
        <f aca="false">IF(T74=1,W74,AC74+AI74+AO74)</f>
        <v>0</v>
      </c>
      <c r="AS74" s="0" t="n">
        <f aca="false">S74-AP74-AQ74-AR74</f>
        <v>1288895.22279053</v>
      </c>
      <c r="AT74" s="0" t="n">
        <f aca="false">C74-AP74</f>
        <v>0</v>
      </c>
      <c r="AU74" s="0" t="n">
        <f aca="false">D74-AQ74</f>
        <v>0</v>
      </c>
      <c r="AV74" s="0" t="n">
        <f aca="false">E74-AR74</f>
        <v>0</v>
      </c>
      <c r="AW74" s="0" t="n">
        <f aca="false">Pool!CB74</f>
        <v>11025846.8844187</v>
      </c>
      <c r="AX74" s="0" t="n">
        <f aca="false">IF((AT74)&gt;Inputs!$B$19,AW74/(AT74),1000000000)</f>
        <v>1000000000</v>
      </c>
      <c r="AY74" s="0" t="n">
        <f aca="false">IF((J74)&gt;0.000000001,(R74-I74-MAX(-M74,0))/(J74),1000000000)</f>
        <v>1000000000</v>
      </c>
      <c r="AZ74" s="0" t="n">
        <f aca="false">IF(OR(AX74&lt;Inputs!$B$24,AY74&lt;Inputs!$B$25),1,0)</f>
        <v>0</v>
      </c>
      <c r="BA74" s="0" t="n">
        <f aca="false">IF((AT74+AU74)&gt;Inputs!$B$19,AW74/(AT74+AU74),1000000000)</f>
        <v>1000000000</v>
      </c>
      <c r="BB74" s="0" t="n">
        <f aca="false">IF((J74+K74)&gt;0.000000001,(R74-I74-MAX(-M74,0))/(J74+K74),1000000000)</f>
        <v>1000000000</v>
      </c>
      <c r="BC74" s="0" t="n">
        <f aca="false">IF(OR(BA74&lt;Inputs!$B$29,BB74&lt;Inputs!$B$30),1,0)</f>
        <v>0</v>
      </c>
      <c r="BD74" s="0" t="n">
        <f aca="false">IF((AT74+AU74+AV74)&gt;Inputs!$B$19,AW74/(AT74+AU74+AV74),1000000000)</f>
        <v>1000000000</v>
      </c>
      <c r="BE74" s="0" t="n">
        <f aca="false">IF((J74+K74+L74)&gt;0.000000001,(R74-I74-MAX(-M74,0))/(J74+K74+L74),1000000000)</f>
        <v>1000000000</v>
      </c>
      <c r="BF74" s="0" t="n">
        <f aca="false">IF(OR(BD74&lt;Inputs!$B$34,BE74&lt;Inputs!$B$35),1,0)</f>
        <v>0</v>
      </c>
      <c r="BG74" s="0" t="n">
        <f aca="false">MAX(AZ74,BC74,BF74)</f>
        <v>0</v>
      </c>
      <c r="BH74" s="0" t="n">
        <f aca="false">MIN(R74,N74)</f>
        <v>6390.9744115339</v>
      </c>
      <c r="BI74" s="0" t="n">
        <f aca="false">R74-BH74</f>
        <v>101684.017218358</v>
      </c>
      <c r="BJ74" s="0" t="n">
        <f aca="false">MIN(BI74,O74)</f>
        <v>0</v>
      </c>
      <c r="BK74" s="0" t="n">
        <f aca="false">BI74-BJ74</f>
        <v>101684.017218358</v>
      </c>
      <c r="BL74" s="0" t="n">
        <f aca="false">AZ74*MIN(AT74,BK74)</f>
        <v>0</v>
      </c>
      <c r="BM74" s="0" t="n">
        <f aca="false">AZ74*MIN(AU74,BK74-BL74)</f>
        <v>0</v>
      </c>
      <c r="BN74" s="0" t="n">
        <f aca="false">AZ74*MIN(AV74,BK74-BL74-BM74)</f>
        <v>0</v>
      </c>
      <c r="BO74" s="0" t="n">
        <f aca="false">BK74-BL74-BM74-BN74</f>
        <v>101684.017218358</v>
      </c>
      <c r="BP74" s="0" t="n">
        <f aca="false">MIN(BO74,P74)</f>
        <v>0</v>
      </c>
      <c r="BQ74" s="0" t="n">
        <f aca="false">BO74-BP74</f>
        <v>101684.017218358</v>
      </c>
      <c r="BR74" s="0" t="n">
        <f aca="false">BC74*MIN((AT74-BL74),BQ74)</f>
        <v>0</v>
      </c>
      <c r="BS74" s="0" t="n">
        <f aca="false">BC74*MIN((AU74-BM74),BQ74-BR74)</f>
        <v>0</v>
      </c>
      <c r="BT74" s="0" t="n">
        <f aca="false">BC74*MIN((AV74-BN74),BQ74-BR74-BS74)</f>
        <v>0</v>
      </c>
      <c r="BU74" s="0" t="n">
        <f aca="false">BQ74-BR74-BS74-BT74</f>
        <v>101684.017218358</v>
      </c>
      <c r="BV74" s="0" t="n">
        <f aca="false">MIN(BU74,Q74)</f>
        <v>0</v>
      </c>
      <c r="BW74" s="0" t="n">
        <f aca="false">BU74-BV74</f>
        <v>101684.017218358</v>
      </c>
      <c r="BX74" s="0" t="n">
        <f aca="false">BF74*MIN((AT74-BL74-BR74),BW74)</f>
        <v>0</v>
      </c>
      <c r="BY74" s="0" t="n">
        <f aca="false">BF74*MIN((AU74-BM74-BS74),BW74-BX74)</f>
        <v>0</v>
      </c>
      <c r="BZ74" s="0" t="n">
        <f aca="false">BF74*MIN((AV74-BN74-BT74),BW74-BX74-BY74)</f>
        <v>0</v>
      </c>
      <c r="CA74" s="0" t="n">
        <f aca="false">BW74-BX74-BY74-BZ74</f>
        <v>101684.017218358</v>
      </c>
      <c r="CB74" s="0" t="n">
        <f aca="false">MAX(0,AT74+AU74+AV74-BL74-BM74-BN74-BR74-BS74-BT74-BX74-BY74-BZ74-AW74)</f>
        <v>0</v>
      </c>
      <c r="CC74" s="0" t="n">
        <f aca="false">1*MIN((AT74-BL74-BR74-BX74),MIN(CA74,CB74))</f>
        <v>0</v>
      </c>
      <c r="CD74" s="0" t="n">
        <f aca="false">1*MIN((AU74-BM74-BS74-BY74),MIN(CA74,CB74)-CC74)</f>
        <v>0</v>
      </c>
      <c r="CE74" s="0" t="n">
        <f aca="false">1*MIN((AV74-BN74-BT74-BZ74),MIN(CA74,CB74)-CC74-CD74)</f>
        <v>0</v>
      </c>
      <c r="CF74" s="0" t="n">
        <f aca="false">CA74-CC74-CD74-CE74</f>
        <v>101684.017218358</v>
      </c>
      <c r="CG74" s="0" t="n">
        <f aca="false">IF(C74+D74+E74&gt;Inputs!$B$19,MIN(CF74,MAX(0,Inputs!$B$15-DO73)),0)</f>
        <v>0</v>
      </c>
      <c r="CH74" s="0" t="n">
        <f aca="false">CF74-CG74</f>
        <v>101684.017218358</v>
      </c>
      <c r="CI74" s="0" t="n">
        <f aca="false">DO73+CG74</f>
        <v>0</v>
      </c>
      <c r="CJ74" s="0" t="n">
        <f aca="false">MIN(MAX(N74-BH74,0),CI74)</f>
        <v>0</v>
      </c>
      <c r="CK74" s="0" t="n">
        <f aca="false">MIN(MAX(O74-BJ74,0),CI74-CJ74)</f>
        <v>0</v>
      </c>
      <c r="CL74" s="0" t="n">
        <f aca="false">MIN(MAX(P74-BP74,0),CI74-CJ74-CK74)</f>
        <v>0</v>
      </c>
      <c r="CM74" s="0" t="n">
        <f aca="false">CJ74+CK74+CL74</f>
        <v>0</v>
      </c>
      <c r="CN74" s="0" t="n">
        <f aca="false">CI74-CM74</f>
        <v>0</v>
      </c>
      <c r="CO74" s="0" t="n">
        <f aca="false">BH74+CJ74</f>
        <v>6390.9744115339</v>
      </c>
      <c r="CP74" s="0" t="n">
        <f aca="false">BJ74+CK74</f>
        <v>0</v>
      </c>
      <c r="CQ74" s="0" t="n">
        <f aca="false">BP74+CL74</f>
        <v>0</v>
      </c>
      <c r="CR74" s="0" t="n">
        <f aca="false">BV74</f>
        <v>0</v>
      </c>
      <c r="CS74" s="0" t="n">
        <f aca="false">AT74-BL74-BR74-BX74-CC74</f>
        <v>0</v>
      </c>
      <c r="CT74" s="0" t="n">
        <f aca="false">AU74-BM74-BS74-BY74-CD74</f>
        <v>0</v>
      </c>
      <c r="CU74" s="0" t="n">
        <f aca="false">AV74-BN74-BT74-BZ74-CE74</f>
        <v>0</v>
      </c>
      <c r="CV74" s="0" t="n">
        <f aca="false">MAX(0,CS74+CT74+CU74-AW74)</f>
        <v>0</v>
      </c>
      <c r="CW74" s="0" t="n">
        <f aca="false">MIN(CU74,CV74)</f>
        <v>0</v>
      </c>
      <c r="CX74" s="0" t="n">
        <f aca="false">MIN(CT74,CV74-CW74)</f>
        <v>0</v>
      </c>
      <c r="CY74" s="0" t="n">
        <f aca="false">MIN(CS74,CV74-CW74-CX74)</f>
        <v>0</v>
      </c>
      <c r="CZ74" s="0" t="n">
        <f aca="false">IF(CS74-CY74&lt;Inputs!$B$19,0,CS74-CY74)</f>
        <v>0</v>
      </c>
      <c r="DA74" s="0" t="n">
        <f aca="false">IF(CT74-CX74&lt;Inputs!$B$19,0,CT74-CX74)</f>
        <v>0</v>
      </c>
      <c r="DB74" s="0" t="n">
        <f aca="false">IF(CU74-CW74&lt;Inputs!$B$19,0,CU74-CW74)</f>
        <v>0</v>
      </c>
      <c r="DC74" s="0" t="n">
        <f aca="false">N74-CO74</f>
        <v>0</v>
      </c>
      <c r="DD74" s="0" t="n">
        <f aca="false">O74-CP74</f>
        <v>0</v>
      </c>
      <c r="DE74" s="0" t="n">
        <f aca="false">P74-CQ74</f>
        <v>0</v>
      </c>
      <c r="DF74" s="0" t="n">
        <f aca="false">Q74-CR74</f>
        <v>0</v>
      </c>
      <c r="DG74" s="0" t="n">
        <f aca="false">IF(CZ74+DA74+DB74&lt;=Inputs!$B$19,1,0)</f>
        <v>1</v>
      </c>
      <c r="DH74" s="0" t="n">
        <f aca="false">DG74*CN74</f>
        <v>0</v>
      </c>
      <c r="DI74" s="0" t="n">
        <f aca="false">DG74*(AS74+DH74)</f>
        <v>1288895.22279053</v>
      </c>
      <c r="DJ74" s="0" t="n">
        <f aca="false">DG74*MIN(DC74,DI74)</f>
        <v>0</v>
      </c>
      <c r="DK74" s="0" t="n">
        <f aca="false">DG74*MIN(DD74,DI74-DJ74)</f>
        <v>0</v>
      </c>
      <c r="DL74" s="0" t="n">
        <f aca="false">DG74*MIN(DE74,DI74-DJ74-DK74)</f>
        <v>0</v>
      </c>
      <c r="DM74" s="0" t="n">
        <f aca="false">DG74*MIN(DF74,DI74-DJ74-DK74-DL74)</f>
        <v>0</v>
      </c>
      <c r="DN74" s="0" t="n">
        <f aca="false">DJ74+DK74+DL74+DM74</f>
        <v>0</v>
      </c>
      <c r="DO74" s="0" t="n">
        <f aca="false">CN74-DH74</f>
        <v>0</v>
      </c>
      <c r="DP74" s="0" t="n">
        <f aca="false">DC74-DJ74</f>
        <v>0</v>
      </c>
      <c r="DQ74" s="0" t="n">
        <f aca="false">DD74-DK74</f>
        <v>0</v>
      </c>
      <c r="DR74" s="0" t="n">
        <f aca="false">DE74-DL74</f>
        <v>0</v>
      </c>
      <c r="DS74" s="0" t="n">
        <f aca="false">DF74-DM74</f>
        <v>0</v>
      </c>
      <c r="DT74" s="0" t="n">
        <f aca="false">CO74+DJ74</f>
        <v>6390.9744115339</v>
      </c>
      <c r="DU74" s="0" t="n">
        <f aca="false">CP74+DK74</f>
        <v>0</v>
      </c>
      <c r="DV74" s="0" t="n">
        <f aca="false">AP74+BL74+BR74+BX74+CC74</f>
        <v>0</v>
      </c>
      <c r="DW74" s="0" t="n">
        <f aca="false">CQ74+DL74</f>
        <v>0</v>
      </c>
      <c r="DX74" s="0" t="n">
        <f aca="false">AQ74+BM74+BS74+BY74+CD74</f>
        <v>0</v>
      </c>
      <c r="DY74" s="0" t="n">
        <f aca="false">CR74+DM74</f>
        <v>0</v>
      </c>
      <c r="DZ74" s="0" t="n">
        <f aca="false">AR74+BN74+BT74+BZ74+CE74</f>
        <v>0</v>
      </c>
      <c r="EA74" s="0" t="n">
        <f aca="false">DI74-DN74</f>
        <v>1288895.22279053</v>
      </c>
      <c r="EB74" s="0" t="n">
        <f aca="false">CH74+EA74</f>
        <v>1390579.24000889</v>
      </c>
      <c r="EC74" s="0" t="n">
        <f aca="false">R74-I74-MAX(-M74,0)-J74-K74-L74</f>
        <v>101684.017218358</v>
      </c>
      <c r="ED74" s="0" t="n">
        <f aca="false">R74+S74+CM74+DH74-CG74-DT74-DU74-DW74-DY74-DV74-DX74-DZ74-EB74</f>
        <v>0</v>
      </c>
      <c r="EE74" s="0" t="n">
        <f aca="false">IF(AND(EB74&gt;0.000001,DP74+DQ74+DR74+DS74&gt;0.000001),1,0)</f>
        <v>0</v>
      </c>
    </row>
    <row r="75" customFormat="false" ht="15" hidden="false" customHeight="false" outlineLevel="0" collapsed="false">
      <c r="A75" s="0" t="n">
        <f aca="false">ROW()-5</f>
        <v>70</v>
      </c>
      <c r="B75" s="0" t="n">
        <f aca="false">Inputs!$B$11+(Inputs!$B$12-Inputs!$B$11)*(1-EXP(-A75/Inputs!$B$13))+Inputs!$B$8</f>
        <v>0.0330681945453396</v>
      </c>
      <c r="C75" s="0" t="n">
        <f aca="false">CZ74</f>
        <v>0</v>
      </c>
      <c r="D75" s="0" t="n">
        <f aca="false">DA74</f>
        <v>0</v>
      </c>
      <c r="E75" s="0" t="n">
        <f aca="false">DB74</f>
        <v>0</v>
      </c>
      <c r="F75" s="0" t="n">
        <f aca="false">IF(Inputs!$B$22=1,B75+Inputs!$B$23,Inputs!$B$23)/12</f>
        <v>0.00367234954544497</v>
      </c>
      <c r="G75" s="0" t="n">
        <f aca="false">IF(Inputs!$B$27=1,B75+Inputs!$B$28,Inputs!$B$28)/12</f>
        <v>0.0046306828787783</v>
      </c>
      <c r="H75" s="0" t="n">
        <f aca="false">IF(Inputs!$B$32=1,B75+Inputs!$B$33,Inputs!$B$33)/12</f>
        <v>0.00625</v>
      </c>
      <c r="I75" s="0" t="n">
        <f aca="false">Pool!BT75*Inputs!$B$14/12</f>
        <v>5714.30325943918</v>
      </c>
      <c r="J75" s="0" t="n">
        <f aca="false">C75*F75</f>
        <v>0</v>
      </c>
      <c r="K75" s="0" t="n">
        <f aca="false">D75*G75</f>
        <v>0</v>
      </c>
      <c r="L75" s="0" t="n">
        <f aca="false">E75*H75</f>
        <v>0</v>
      </c>
      <c r="M75" s="0" t="n">
        <f aca="false">Inputs!$B$17*(C75*Inputs!$B$22+D75*Inputs!$B$27+E75*Inputs!$B$32)*(B75-Inputs!$B$18)/12</f>
        <v>-0</v>
      </c>
      <c r="N75" s="0" t="n">
        <f aca="false">DP74+I75+MAX(-M75,0)</f>
        <v>5714.30325943918</v>
      </c>
      <c r="O75" s="0" t="n">
        <f aca="false">DQ74+J75</f>
        <v>0</v>
      </c>
      <c r="P75" s="0" t="n">
        <f aca="false">DR74+K75</f>
        <v>0</v>
      </c>
      <c r="Q75" s="0" t="n">
        <f aca="false">DS74+L75</f>
        <v>0</v>
      </c>
      <c r="R75" s="0" t="n">
        <f aca="false">Pool!BV75+MAX(M75,0)</f>
        <v>96865.7116077934</v>
      </c>
      <c r="S75" s="0" t="n">
        <f aca="false">Pool!BW75+Pool!BX75+Pool!BZ75</f>
        <v>1272470.83112923</v>
      </c>
      <c r="T75" s="0" t="n">
        <f aca="false">MAX(T74,BG74)</f>
        <v>1</v>
      </c>
      <c r="U75" s="0" t="n">
        <f aca="false">MIN(C75,S75)</f>
        <v>0</v>
      </c>
      <c r="V75" s="0" t="n">
        <f aca="false">MIN(D75,S75-U75)</f>
        <v>0</v>
      </c>
      <c r="W75" s="0" t="n">
        <f aca="false">MIN(E75,S75-U75-V75)</f>
        <v>0</v>
      </c>
      <c r="X75" s="0" t="n">
        <f aca="false">IF(C75-(0)&gt;Inputs!$B$19,1,0)</f>
        <v>0</v>
      </c>
      <c r="Y75" s="0" t="n">
        <f aca="false">IF(D75-(0)&gt;Inputs!$B$19,1,0)</f>
        <v>0</v>
      </c>
      <c r="Z75" s="0" t="n">
        <f aca="false">IF(E75-(0)&gt;Inputs!$B$19,1,0)</f>
        <v>0</v>
      </c>
      <c r="AA75" s="0" t="n">
        <f aca="false">IF((X75*C75+Y75*D75+Z75*E75)&gt;0,MIN(C75-(0),S75*X75*C75/(X75*C75+Y75*D75+Z75*E75)),0)</f>
        <v>0</v>
      </c>
      <c r="AB75" s="0" t="n">
        <f aca="false">IF((X75*C75+Y75*D75+Z75*E75)&gt;0,MIN(D75-(0),S75*Y75*D75/(X75*C75+Y75*D75+Z75*E75)),0)</f>
        <v>0</v>
      </c>
      <c r="AC75" s="0" t="n">
        <f aca="false">IF((X75*C75+Y75*D75+Z75*E75)&gt;0,MIN(E75-(0),S75*Z75*E75/(X75*C75+Y75*D75+Z75*E75)),0)</f>
        <v>0</v>
      </c>
      <c r="AD75" s="0" t="n">
        <f aca="false">IF(C75-(AA75)&gt;Inputs!$B$19,1,0)</f>
        <v>0</v>
      </c>
      <c r="AE75" s="0" t="n">
        <f aca="false">IF(D75-(AB75)&gt;Inputs!$B$19,1,0)</f>
        <v>0</v>
      </c>
      <c r="AF75" s="0" t="n">
        <f aca="false">IF(E75-(AC75)&gt;Inputs!$B$19,1,0)</f>
        <v>0</v>
      </c>
      <c r="AG75" s="0" t="n">
        <f aca="false">IF((AD75*C75+AE75*D75+AF75*E75)&gt;0,MIN(C75-(AA75),(S75-(AA75+AB75+AC75))*AD75*C75/(AD75*C75+AE75*D75+AF75*E75)),0)</f>
        <v>0</v>
      </c>
      <c r="AH75" s="0" t="n">
        <f aca="false">IF((AD75*C75+AE75*D75+AF75*E75)&gt;0,MIN(D75-(AB75),(S75-(AA75+AB75+AC75))*AE75*D75/(AD75*C75+AE75*D75+AF75*E75)),0)</f>
        <v>0</v>
      </c>
      <c r="AI75" s="0" t="n">
        <f aca="false">IF((AD75*C75+AE75*D75+AF75*E75)&gt;0,MIN(E75-(AC75),(S75-(AA75+AB75+AC75))*AF75*E75/(AD75*C75+AE75*D75+AF75*E75)),0)</f>
        <v>0</v>
      </c>
      <c r="AJ75" s="0" t="n">
        <f aca="false">IF(C75-(AA75+AG75)&gt;Inputs!$B$19,1,0)</f>
        <v>0</v>
      </c>
      <c r="AK75" s="0" t="n">
        <f aca="false">IF(D75-(AB75+AH75)&gt;Inputs!$B$19,1,0)</f>
        <v>0</v>
      </c>
      <c r="AL75" s="0" t="n">
        <f aca="false">IF(E75-(AC75+AI75)&gt;Inputs!$B$19,1,0)</f>
        <v>0</v>
      </c>
      <c r="AM75" s="0" t="n">
        <f aca="false">IF((AJ75*C75+AK75*D75+AL75*E75)&gt;0,MIN(C75-(AA75+AG75),(S75-(AA75+AB75+AC75+AG75+AH75+AI75))*AJ75*C75/(AJ75*C75+AK75*D75+AL75*E75)),0)</f>
        <v>0</v>
      </c>
      <c r="AN75" s="0" t="n">
        <f aca="false">IF((AJ75*C75+AK75*D75+AL75*E75)&gt;0,MIN(D75-(AB75+AH75),(S75-(AA75+AB75+AC75+AG75+AH75+AI75))*AK75*D75/(AJ75*C75+AK75*D75+AL75*E75)),0)</f>
        <v>0</v>
      </c>
      <c r="AO75" s="0" t="n">
        <f aca="false">IF((AJ75*C75+AK75*D75+AL75*E75)&gt;0,MIN(E75-(AC75+AI75),(S75-(AA75+AB75+AC75+AG75+AH75+AI75))*AL75*E75/(AJ75*C75+AK75*D75+AL75*E75)),0)</f>
        <v>0</v>
      </c>
      <c r="AP75" s="0" t="n">
        <f aca="false">IF(T75=1,U75,AA75+AG75+AM75)</f>
        <v>0</v>
      </c>
      <c r="AQ75" s="0" t="n">
        <f aca="false">IF(T75=1,V75,AB75+AH75+AN75)</f>
        <v>0</v>
      </c>
      <c r="AR75" s="0" t="n">
        <f aca="false">IF(T75=1,W75,AC75+AI75+AO75)</f>
        <v>0</v>
      </c>
      <c r="AS75" s="0" t="n">
        <f aca="false">S75-AP75-AQ75-AR75</f>
        <v>1272470.83112923</v>
      </c>
      <c r="AT75" s="0" t="n">
        <f aca="false">C75-AP75</f>
        <v>0</v>
      </c>
      <c r="AU75" s="0" t="n">
        <f aca="false">D75-AQ75</f>
        <v>0</v>
      </c>
      <c r="AV75" s="0" t="n">
        <f aca="false">E75-AR75</f>
        <v>0</v>
      </c>
      <c r="AW75" s="0" t="n">
        <f aca="false">Pool!CB75</f>
        <v>9742339.0730557</v>
      </c>
      <c r="AX75" s="0" t="n">
        <f aca="false">IF((AT75)&gt;Inputs!$B$19,AW75/(AT75),1000000000)</f>
        <v>1000000000</v>
      </c>
      <c r="AY75" s="0" t="n">
        <f aca="false">IF((J75)&gt;0.000000001,(R75-I75-MAX(-M75,0))/(J75),1000000000)</f>
        <v>1000000000</v>
      </c>
      <c r="AZ75" s="0" t="n">
        <f aca="false">IF(OR(AX75&lt;Inputs!$B$24,AY75&lt;Inputs!$B$25),1,0)</f>
        <v>0</v>
      </c>
      <c r="BA75" s="0" t="n">
        <f aca="false">IF((AT75+AU75)&gt;Inputs!$B$19,AW75/(AT75+AU75),1000000000)</f>
        <v>1000000000</v>
      </c>
      <c r="BB75" s="0" t="n">
        <f aca="false">IF((J75+K75)&gt;0.000000001,(R75-I75-MAX(-M75,0))/(J75+K75),1000000000)</f>
        <v>1000000000</v>
      </c>
      <c r="BC75" s="0" t="n">
        <f aca="false">IF(OR(BA75&lt;Inputs!$B$29,BB75&lt;Inputs!$B$30),1,0)</f>
        <v>0</v>
      </c>
      <c r="BD75" s="0" t="n">
        <f aca="false">IF((AT75+AU75+AV75)&gt;Inputs!$B$19,AW75/(AT75+AU75+AV75),1000000000)</f>
        <v>1000000000</v>
      </c>
      <c r="BE75" s="0" t="n">
        <f aca="false">IF((J75+K75+L75)&gt;0.000000001,(R75-I75-MAX(-M75,0))/(J75+K75+L75),1000000000)</f>
        <v>1000000000</v>
      </c>
      <c r="BF75" s="0" t="n">
        <f aca="false">IF(OR(BD75&lt;Inputs!$B$34,BE75&lt;Inputs!$B$35),1,0)</f>
        <v>0</v>
      </c>
      <c r="BG75" s="0" t="n">
        <f aca="false">MAX(AZ75,BC75,BF75)</f>
        <v>0</v>
      </c>
      <c r="BH75" s="0" t="n">
        <f aca="false">MIN(R75,N75)</f>
        <v>5714.30325943918</v>
      </c>
      <c r="BI75" s="0" t="n">
        <f aca="false">R75-BH75</f>
        <v>91151.4083483542</v>
      </c>
      <c r="BJ75" s="0" t="n">
        <f aca="false">MIN(BI75,O75)</f>
        <v>0</v>
      </c>
      <c r="BK75" s="0" t="n">
        <f aca="false">BI75-BJ75</f>
        <v>91151.4083483542</v>
      </c>
      <c r="BL75" s="0" t="n">
        <f aca="false">AZ75*MIN(AT75,BK75)</f>
        <v>0</v>
      </c>
      <c r="BM75" s="0" t="n">
        <f aca="false">AZ75*MIN(AU75,BK75-BL75)</f>
        <v>0</v>
      </c>
      <c r="BN75" s="0" t="n">
        <f aca="false">AZ75*MIN(AV75,BK75-BL75-BM75)</f>
        <v>0</v>
      </c>
      <c r="BO75" s="0" t="n">
        <f aca="false">BK75-BL75-BM75-BN75</f>
        <v>91151.4083483542</v>
      </c>
      <c r="BP75" s="0" t="n">
        <f aca="false">MIN(BO75,P75)</f>
        <v>0</v>
      </c>
      <c r="BQ75" s="0" t="n">
        <f aca="false">BO75-BP75</f>
        <v>91151.4083483542</v>
      </c>
      <c r="BR75" s="0" t="n">
        <f aca="false">BC75*MIN((AT75-BL75),BQ75)</f>
        <v>0</v>
      </c>
      <c r="BS75" s="0" t="n">
        <f aca="false">BC75*MIN((AU75-BM75),BQ75-BR75)</f>
        <v>0</v>
      </c>
      <c r="BT75" s="0" t="n">
        <f aca="false">BC75*MIN((AV75-BN75),BQ75-BR75-BS75)</f>
        <v>0</v>
      </c>
      <c r="BU75" s="0" t="n">
        <f aca="false">BQ75-BR75-BS75-BT75</f>
        <v>91151.4083483542</v>
      </c>
      <c r="BV75" s="0" t="n">
        <f aca="false">MIN(BU75,Q75)</f>
        <v>0</v>
      </c>
      <c r="BW75" s="0" t="n">
        <f aca="false">BU75-BV75</f>
        <v>91151.4083483542</v>
      </c>
      <c r="BX75" s="0" t="n">
        <f aca="false">BF75*MIN((AT75-BL75-BR75),BW75)</f>
        <v>0</v>
      </c>
      <c r="BY75" s="0" t="n">
        <f aca="false">BF75*MIN((AU75-BM75-BS75),BW75-BX75)</f>
        <v>0</v>
      </c>
      <c r="BZ75" s="0" t="n">
        <f aca="false">BF75*MIN((AV75-BN75-BT75),BW75-BX75-BY75)</f>
        <v>0</v>
      </c>
      <c r="CA75" s="0" t="n">
        <f aca="false">BW75-BX75-BY75-BZ75</f>
        <v>91151.4083483542</v>
      </c>
      <c r="CB75" s="0" t="n">
        <f aca="false">MAX(0,AT75+AU75+AV75-BL75-BM75-BN75-BR75-BS75-BT75-BX75-BY75-BZ75-AW75)</f>
        <v>0</v>
      </c>
      <c r="CC75" s="0" t="n">
        <f aca="false">1*MIN((AT75-BL75-BR75-BX75),MIN(CA75,CB75))</f>
        <v>0</v>
      </c>
      <c r="CD75" s="0" t="n">
        <f aca="false">1*MIN((AU75-BM75-BS75-BY75),MIN(CA75,CB75)-CC75)</f>
        <v>0</v>
      </c>
      <c r="CE75" s="0" t="n">
        <f aca="false">1*MIN((AV75-BN75-BT75-BZ75),MIN(CA75,CB75)-CC75-CD75)</f>
        <v>0</v>
      </c>
      <c r="CF75" s="0" t="n">
        <f aca="false">CA75-CC75-CD75-CE75</f>
        <v>91151.4083483542</v>
      </c>
      <c r="CG75" s="0" t="n">
        <f aca="false">IF(C75+D75+E75&gt;Inputs!$B$19,MIN(CF75,MAX(0,Inputs!$B$15-DO74)),0)</f>
        <v>0</v>
      </c>
      <c r="CH75" s="0" t="n">
        <f aca="false">CF75-CG75</f>
        <v>91151.4083483542</v>
      </c>
      <c r="CI75" s="0" t="n">
        <f aca="false">DO74+CG75</f>
        <v>0</v>
      </c>
      <c r="CJ75" s="0" t="n">
        <f aca="false">MIN(MAX(N75-BH75,0),CI75)</f>
        <v>0</v>
      </c>
      <c r="CK75" s="0" t="n">
        <f aca="false">MIN(MAX(O75-BJ75,0),CI75-CJ75)</f>
        <v>0</v>
      </c>
      <c r="CL75" s="0" t="n">
        <f aca="false">MIN(MAX(P75-BP75,0),CI75-CJ75-CK75)</f>
        <v>0</v>
      </c>
      <c r="CM75" s="0" t="n">
        <f aca="false">CJ75+CK75+CL75</f>
        <v>0</v>
      </c>
      <c r="CN75" s="0" t="n">
        <f aca="false">CI75-CM75</f>
        <v>0</v>
      </c>
      <c r="CO75" s="0" t="n">
        <f aca="false">BH75+CJ75</f>
        <v>5714.30325943918</v>
      </c>
      <c r="CP75" s="0" t="n">
        <f aca="false">BJ75+CK75</f>
        <v>0</v>
      </c>
      <c r="CQ75" s="0" t="n">
        <f aca="false">BP75+CL75</f>
        <v>0</v>
      </c>
      <c r="CR75" s="0" t="n">
        <f aca="false">BV75</f>
        <v>0</v>
      </c>
      <c r="CS75" s="0" t="n">
        <f aca="false">AT75-BL75-BR75-BX75-CC75</f>
        <v>0</v>
      </c>
      <c r="CT75" s="0" t="n">
        <f aca="false">AU75-BM75-BS75-BY75-CD75</f>
        <v>0</v>
      </c>
      <c r="CU75" s="0" t="n">
        <f aca="false">AV75-BN75-BT75-BZ75-CE75</f>
        <v>0</v>
      </c>
      <c r="CV75" s="0" t="n">
        <f aca="false">MAX(0,CS75+CT75+CU75-AW75)</f>
        <v>0</v>
      </c>
      <c r="CW75" s="0" t="n">
        <f aca="false">MIN(CU75,CV75)</f>
        <v>0</v>
      </c>
      <c r="CX75" s="0" t="n">
        <f aca="false">MIN(CT75,CV75-CW75)</f>
        <v>0</v>
      </c>
      <c r="CY75" s="0" t="n">
        <f aca="false">MIN(CS75,CV75-CW75-CX75)</f>
        <v>0</v>
      </c>
      <c r="CZ75" s="0" t="n">
        <f aca="false">IF(CS75-CY75&lt;Inputs!$B$19,0,CS75-CY75)</f>
        <v>0</v>
      </c>
      <c r="DA75" s="0" t="n">
        <f aca="false">IF(CT75-CX75&lt;Inputs!$B$19,0,CT75-CX75)</f>
        <v>0</v>
      </c>
      <c r="DB75" s="0" t="n">
        <f aca="false">IF(CU75-CW75&lt;Inputs!$B$19,0,CU75-CW75)</f>
        <v>0</v>
      </c>
      <c r="DC75" s="0" t="n">
        <f aca="false">N75-CO75</f>
        <v>0</v>
      </c>
      <c r="DD75" s="0" t="n">
        <f aca="false">O75-CP75</f>
        <v>0</v>
      </c>
      <c r="DE75" s="0" t="n">
        <f aca="false">P75-CQ75</f>
        <v>0</v>
      </c>
      <c r="DF75" s="0" t="n">
        <f aca="false">Q75-CR75</f>
        <v>0</v>
      </c>
      <c r="DG75" s="0" t="n">
        <f aca="false">IF(CZ75+DA75+DB75&lt;=Inputs!$B$19,1,0)</f>
        <v>1</v>
      </c>
      <c r="DH75" s="0" t="n">
        <f aca="false">DG75*CN75</f>
        <v>0</v>
      </c>
      <c r="DI75" s="0" t="n">
        <f aca="false">DG75*(AS75+DH75)</f>
        <v>1272470.83112923</v>
      </c>
      <c r="DJ75" s="0" t="n">
        <f aca="false">DG75*MIN(DC75,DI75)</f>
        <v>0</v>
      </c>
      <c r="DK75" s="0" t="n">
        <f aca="false">DG75*MIN(DD75,DI75-DJ75)</f>
        <v>0</v>
      </c>
      <c r="DL75" s="0" t="n">
        <f aca="false">DG75*MIN(DE75,DI75-DJ75-DK75)</f>
        <v>0</v>
      </c>
      <c r="DM75" s="0" t="n">
        <f aca="false">DG75*MIN(DF75,DI75-DJ75-DK75-DL75)</f>
        <v>0</v>
      </c>
      <c r="DN75" s="0" t="n">
        <f aca="false">DJ75+DK75+DL75+DM75</f>
        <v>0</v>
      </c>
      <c r="DO75" s="0" t="n">
        <f aca="false">CN75-DH75</f>
        <v>0</v>
      </c>
      <c r="DP75" s="0" t="n">
        <f aca="false">DC75-DJ75</f>
        <v>0</v>
      </c>
      <c r="DQ75" s="0" t="n">
        <f aca="false">DD75-DK75</f>
        <v>0</v>
      </c>
      <c r="DR75" s="0" t="n">
        <f aca="false">DE75-DL75</f>
        <v>0</v>
      </c>
      <c r="DS75" s="0" t="n">
        <f aca="false">DF75-DM75</f>
        <v>0</v>
      </c>
      <c r="DT75" s="0" t="n">
        <f aca="false">CO75+DJ75</f>
        <v>5714.30325943918</v>
      </c>
      <c r="DU75" s="0" t="n">
        <f aca="false">CP75+DK75</f>
        <v>0</v>
      </c>
      <c r="DV75" s="0" t="n">
        <f aca="false">AP75+BL75+BR75+BX75+CC75</f>
        <v>0</v>
      </c>
      <c r="DW75" s="0" t="n">
        <f aca="false">CQ75+DL75</f>
        <v>0</v>
      </c>
      <c r="DX75" s="0" t="n">
        <f aca="false">AQ75+BM75+BS75+BY75+CD75</f>
        <v>0</v>
      </c>
      <c r="DY75" s="0" t="n">
        <f aca="false">CR75+DM75</f>
        <v>0</v>
      </c>
      <c r="DZ75" s="0" t="n">
        <f aca="false">AR75+BN75+BT75+BZ75+CE75</f>
        <v>0</v>
      </c>
      <c r="EA75" s="0" t="n">
        <f aca="false">DI75-DN75</f>
        <v>1272470.83112923</v>
      </c>
      <c r="EB75" s="0" t="n">
        <f aca="false">CH75+EA75</f>
        <v>1363622.23947758</v>
      </c>
      <c r="EC75" s="0" t="n">
        <f aca="false">R75-I75-MAX(-M75,0)-J75-K75-L75</f>
        <v>91151.4083483542</v>
      </c>
      <c r="ED75" s="0" t="n">
        <f aca="false">R75+S75+CM75+DH75-CG75-DT75-DU75-DW75-DY75-DV75-DX75-DZ75-EB75</f>
        <v>0</v>
      </c>
      <c r="EE75" s="0" t="n">
        <f aca="false">IF(AND(EB75&gt;0.000001,DP75+DQ75+DR75+DS75&gt;0.000001),1,0)</f>
        <v>0</v>
      </c>
    </row>
    <row r="76" customFormat="false" ht="15" hidden="false" customHeight="false" outlineLevel="0" collapsed="false">
      <c r="A76" s="0" t="n">
        <f aca="false">ROW()-5</f>
        <v>71</v>
      </c>
      <c r="B76" s="0" t="n">
        <f aca="false">Inputs!$B$11+(Inputs!$B$12-Inputs!$B$11)*(1-EXP(-A76/Inputs!$B$13))+Inputs!$B$8</f>
        <v>0.0330450062174767</v>
      </c>
      <c r="C76" s="0" t="n">
        <f aca="false">CZ75</f>
        <v>0</v>
      </c>
      <c r="D76" s="0" t="n">
        <f aca="false">DA75</f>
        <v>0</v>
      </c>
      <c r="E76" s="0" t="n">
        <f aca="false">DB75</f>
        <v>0</v>
      </c>
      <c r="F76" s="0" t="n">
        <f aca="false">IF(Inputs!$B$22=1,B76+Inputs!$B$23,Inputs!$B$23)/12</f>
        <v>0.00367041718478972</v>
      </c>
      <c r="G76" s="0" t="n">
        <f aca="false">IF(Inputs!$B$27=1,B76+Inputs!$B$28,Inputs!$B$28)/12</f>
        <v>0.00462875051812306</v>
      </c>
      <c r="H76" s="0" t="n">
        <f aca="false">IF(Inputs!$B$32=1,B76+Inputs!$B$33,Inputs!$B$33)/12</f>
        <v>0.00625</v>
      </c>
      <c r="I76" s="0" t="n">
        <f aca="false">Pool!BT76*Inputs!$B$14/12</f>
        <v>5046.85335466659</v>
      </c>
      <c r="J76" s="0" t="n">
        <f aca="false">C76*F76</f>
        <v>0</v>
      </c>
      <c r="K76" s="0" t="n">
        <f aca="false">D76*G76</f>
        <v>0</v>
      </c>
      <c r="L76" s="0" t="n">
        <f aca="false">E76*H76</f>
        <v>0</v>
      </c>
      <c r="M76" s="0" t="n">
        <f aca="false">Inputs!$B$17*(C76*Inputs!$B$22+D76*Inputs!$B$27+E76*Inputs!$B$32)*(B76-Inputs!$B$18)/12</f>
        <v>-0</v>
      </c>
      <c r="N76" s="0" t="n">
        <f aca="false">DP75+I76+MAX(-M76,0)</f>
        <v>5046.85335466659</v>
      </c>
      <c r="O76" s="0" t="n">
        <f aca="false">DQ75+J76</f>
        <v>0</v>
      </c>
      <c r="P76" s="0" t="n">
        <f aca="false">DR75+K76</f>
        <v>0</v>
      </c>
      <c r="Q76" s="0" t="n">
        <f aca="false">DS75+L76</f>
        <v>0</v>
      </c>
      <c r="R76" s="0" t="n">
        <f aca="false">Pool!BV76+MAX(M76,0)</f>
        <v>85808.9501948314</v>
      </c>
      <c r="S76" s="0" t="n">
        <f aca="false">Pool!BW76+Pool!BX76+Pool!BZ76</f>
        <v>1256236.55015838</v>
      </c>
      <c r="T76" s="0" t="n">
        <f aca="false">MAX(T75,BG75)</f>
        <v>1</v>
      </c>
      <c r="U76" s="0" t="n">
        <f aca="false">MIN(C76,S76)</f>
        <v>0</v>
      </c>
      <c r="V76" s="0" t="n">
        <f aca="false">MIN(D76,S76-U76)</f>
        <v>0</v>
      </c>
      <c r="W76" s="0" t="n">
        <f aca="false">MIN(E76,S76-U76-V76)</f>
        <v>0</v>
      </c>
      <c r="X76" s="0" t="n">
        <f aca="false">IF(C76-(0)&gt;Inputs!$B$19,1,0)</f>
        <v>0</v>
      </c>
      <c r="Y76" s="0" t="n">
        <f aca="false">IF(D76-(0)&gt;Inputs!$B$19,1,0)</f>
        <v>0</v>
      </c>
      <c r="Z76" s="0" t="n">
        <f aca="false">IF(E76-(0)&gt;Inputs!$B$19,1,0)</f>
        <v>0</v>
      </c>
      <c r="AA76" s="0" t="n">
        <f aca="false">IF((X76*C76+Y76*D76+Z76*E76)&gt;0,MIN(C76-(0),S76*X76*C76/(X76*C76+Y76*D76+Z76*E76)),0)</f>
        <v>0</v>
      </c>
      <c r="AB76" s="0" t="n">
        <f aca="false">IF((X76*C76+Y76*D76+Z76*E76)&gt;0,MIN(D76-(0),S76*Y76*D76/(X76*C76+Y76*D76+Z76*E76)),0)</f>
        <v>0</v>
      </c>
      <c r="AC76" s="0" t="n">
        <f aca="false">IF((X76*C76+Y76*D76+Z76*E76)&gt;0,MIN(E76-(0),S76*Z76*E76/(X76*C76+Y76*D76+Z76*E76)),0)</f>
        <v>0</v>
      </c>
      <c r="AD76" s="0" t="n">
        <f aca="false">IF(C76-(AA76)&gt;Inputs!$B$19,1,0)</f>
        <v>0</v>
      </c>
      <c r="AE76" s="0" t="n">
        <f aca="false">IF(D76-(AB76)&gt;Inputs!$B$19,1,0)</f>
        <v>0</v>
      </c>
      <c r="AF76" s="0" t="n">
        <f aca="false">IF(E76-(AC76)&gt;Inputs!$B$19,1,0)</f>
        <v>0</v>
      </c>
      <c r="AG76" s="0" t="n">
        <f aca="false">IF((AD76*C76+AE76*D76+AF76*E76)&gt;0,MIN(C76-(AA76),(S76-(AA76+AB76+AC76))*AD76*C76/(AD76*C76+AE76*D76+AF76*E76)),0)</f>
        <v>0</v>
      </c>
      <c r="AH76" s="0" t="n">
        <f aca="false">IF((AD76*C76+AE76*D76+AF76*E76)&gt;0,MIN(D76-(AB76),(S76-(AA76+AB76+AC76))*AE76*D76/(AD76*C76+AE76*D76+AF76*E76)),0)</f>
        <v>0</v>
      </c>
      <c r="AI76" s="0" t="n">
        <f aca="false">IF((AD76*C76+AE76*D76+AF76*E76)&gt;0,MIN(E76-(AC76),(S76-(AA76+AB76+AC76))*AF76*E76/(AD76*C76+AE76*D76+AF76*E76)),0)</f>
        <v>0</v>
      </c>
      <c r="AJ76" s="0" t="n">
        <f aca="false">IF(C76-(AA76+AG76)&gt;Inputs!$B$19,1,0)</f>
        <v>0</v>
      </c>
      <c r="AK76" s="0" t="n">
        <f aca="false">IF(D76-(AB76+AH76)&gt;Inputs!$B$19,1,0)</f>
        <v>0</v>
      </c>
      <c r="AL76" s="0" t="n">
        <f aca="false">IF(E76-(AC76+AI76)&gt;Inputs!$B$19,1,0)</f>
        <v>0</v>
      </c>
      <c r="AM76" s="0" t="n">
        <f aca="false">IF((AJ76*C76+AK76*D76+AL76*E76)&gt;0,MIN(C76-(AA76+AG76),(S76-(AA76+AB76+AC76+AG76+AH76+AI76))*AJ76*C76/(AJ76*C76+AK76*D76+AL76*E76)),0)</f>
        <v>0</v>
      </c>
      <c r="AN76" s="0" t="n">
        <f aca="false">IF((AJ76*C76+AK76*D76+AL76*E76)&gt;0,MIN(D76-(AB76+AH76),(S76-(AA76+AB76+AC76+AG76+AH76+AI76))*AK76*D76/(AJ76*C76+AK76*D76+AL76*E76)),0)</f>
        <v>0</v>
      </c>
      <c r="AO76" s="0" t="n">
        <f aca="false">IF((AJ76*C76+AK76*D76+AL76*E76)&gt;0,MIN(E76-(AC76+AI76),(S76-(AA76+AB76+AC76+AG76+AH76+AI76))*AL76*E76/(AJ76*C76+AK76*D76+AL76*E76)),0)</f>
        <v>0</v>
      </c>
      <c r="AP76" s="0" t="n">
        <f aca="false">IF(T76=1,U76,AA76+AG76+AM76)</f>
        <v>0</v>
      </c>
      <c r="AQ76" s="0" t="n">
        <f aca="false">IF(T76=1,V76,AB76+AH76+AN76)</f>
        <v>0</v>
      </c>
      <c r="AR76" s="0" t="n">
        <f aca="false">IF(T76=1,W76,AC76+AI76+AO76)</f>
        <v>0</v>
      </c>
      <c r="AS76" s="0" t="n">
        <f aca="false">S76-AP76-AQ76-AR76</f>
        <v>1256236.55015838</v>
      </c>
      <c r="AT76" s="0" t="n">
        <f aca="false">C76-AP76</f>
        <v>0</v>
      </c>
      <c r="AU76" s="0" t="n">
        <f aca="false">D76-AQ76</f>
        <v>0</v>
      </c>
      <c r="AV76" s="0" t="n">
        <f aca="false">E76-AR76</f>
        <v>0</v>
      </c>
      <c r="AW76" s="0" t="n">
        <f aca="false">Pool!CB76</f>
        <v>8476354.69920133</v>
      </c>
      <c r="AX76" s="0" t="n">
        <f aca="false">IF((AT76)&gt;Inputs!$B$19,AW76/(AT76),1000000000)</f>
        <v>1000000000</v>
      </c>
      <c r="AY76" s="0" t="n">
        <f aca="false">IF((J76)&gt;0.000000001,(R76-I76-MAX(-M76,0))/(J76),1000000000)</f>
        <v>1000000000</v>
      </c>
      <c r="AZ76" s="0" t="n">
        <f aca="false">IF(OR(AX76&lt;Inputs!$B$24,AY76&lt;Inputs!$B$25),1,0)</f>
        <v>0</v>
      </c>
      <c r="BA76" s="0" t="n">
        <f aca="false">IF((AT76+AU76)&gt;Inputs!$B$19,AW76/(AT76+AU76),1000000000)</f>
        <v>1000000000</v>
      </c>
      <c r="BB76" s="0" t="n">
        <f aca="false">IF((J76+K76)&gt;0.000000001,(R76-I76-MAX(-M76,0))/(J76+K76),1000000000)</f>
        <v>1000000000</v>
      </c>
      <c r="BC76" s="0" t="n">
        <f aca="false">IF(OR(BA76&lt;Inputs!$B$29,BB76&lt;Inputs!$B$30),1,0)</f>
        <v>0</v>
      </c>
      <c r="BD76" s="0" t="n">
        <f aca="false">IF((AT76+AU76+AV76)&gt;Inputs!$B$19,AW76/(AT76+AU76+AV76),1000000000)</f>
        <v>1000000000</v>
      </c>
      <c r="BE76" s="0" t="n">
        <f aca="false">IF((J76+K76+L76)&gt;0.000000001,(R76-I76-MAX(-M76,0))/(J76+K76+L76),1000000000)</f>
        <v>1000000000</v>
      </c>
      <c r="BF76" s="0" t="n">
        <f aca="false">IF(OR(BD76&lt;Inputs!$B$34,BE76&lt;Inputs!$B$35),1,0)</f>
        <v>0</v>
      </c>
      <c r="BG76" s="0" t="n">
        <f aca="false">MAX(AZ76,BC76,BF76)</f>
        <v>0</v>
      </c>
      <c r="BH76" s="0" t="n">
        <f aca="false">MIN(R76,N76)</f>
        <v>5046.85335466659</v>
      </c>
      <c r="BI76" s="0" t="n">
        <f aca="false">R76-BH76</f>
        <v>80762.0968401648</v>
      </c>
      <c r="BJ76" s="0" t="n">
        <f aca="false">MIN(BI76,O76)</f>
        <v>0</v>
      </c>
      <c r="BK76" s="0" t="n">
        <f aca="false">BI76-BJ76</f>
        <v>80762.0968401648</v>
      </c>
      <c r="BL76" s="0" t="n">
        <f aca="false">AZ76*MIN(AT76,BK76)</f>
        <v>0</v>
      </c>
      <c r="BM76" s="0" t="n">
        <f aca="false">AZ76*MIN(AU76,BK76-BL76)</f>
        <v>0</v>
      </c>
      <c r="BN76" s="0" t="n">
        <f aca="false">AZ76*MIN(AV76,BK76-BL76-BM76)</f>
        <v>0</v>
      </c>
      <c r="BO76" s="0" t="n">
        <f aca="false">BK76-BL76-BM76-BN76</f>
        <v>80762.0968401648</v>
      </c>
      <c r="BP76" s="0" t="n">
        <f aca="false">MIN(BO76,P76)</f>
        <v>0</v>
      </c>
      <c r="BQ76" s="0" t="n">
        <f aca="false">BO76-BP76</f>
        <v>80762.0968401648</v>
      </c>
      <c r="BR76" s="0" t="n">
        <f aca="false">BC76*MIN((AT76-BL76),BQ76)</f>
        <v>0</v>
      </c>
      <c r="BS76" s="0" t="n">
        <f aca="false">BC76*MIN((AU76-BM76),BQ76-BR76)</f>
        <v>0</v>
      </c>
      <c r="BT76" s="0" t="n">
        <f aca="false">BC76*MIN((AV76-BN76),BQ76-BR76-BS76)</f>
        <v>0</v>
      </c>
      <c r="BU76" s="0" t="n">
        <f aca="false">BQ76-BR76-BS76-BT76</f>
        <v>80762.0968401648</v>
      </c>
      <c r="BV76" s="0" t="n">
        <f aca="false">MIN(BU76,Q76)</f>
        <v>0</v>
      </c>
      <c r="BW76" s="0" t="n">
        <f aca="false">BU76-BV76</f>
        <v>80762.0968401648</v>
      </c>
      <c r="BX76" s="0" t="n">
        <f aca="false">BF76*MIN((AT76-BL76-BR76),BW76)</f>
        <v>0</v>
      </c>
      <c r="BY76" s="0" t="n">
        <f aca="false">BF76*MIN((AU76-BM76-BS76),BW76-BX76)</f>
        <v>0</v>
      </c>
      <c r="BZ76" s="0" t="n">
        <f aca="false">BF76*MIN((AV76-BN76-BT76),BW76-BX76-BY76)</f>
        <v>0</v>
      </c>
      <c r="CA76" s="0" t="n">
        <f aca="false">BW76-BX76-BY76-BZ76</f>
        <v>80762.0968401648</v>
      </c>
      <c r="CB76" s="0" t="n">
        <f aca="false">MAX(0,AT76+AU76+AV76-BL76-BM76-BN76-BR76-BS76-BT76-BX76-BY76-BZ76-AW76)</f>
        <v>0</v>
      </c>
      <c r="CC76" s="0" t="n">
        <f aca="false">1*MIN((AT76-BL76-BR76-BX76),MIN(CA76,CB76))</f>
        <v>0</v>
      </c>
      <c r="CD76" s="0" t="n">
        <f aca="false">1*MIN((AU76-BM76-BS76-BY76),MIN(CA76,CB76)-CC76)</f>
        <v>0</v>
      </c>
      <c r="CE76" s="0" t="n">
        <f aca="false">1*MIN((AV76-BN76-BT76-BZ76),MIN(CA76,CB76)-CC76-CD76)</f>
        <v>0</v>
      </c>
      <c r="CF76" s="0" t="n">
        <f aca="false">CA76-CC76-CD76-CE76</f>
        <v>80762.0968401648</v>
      </c>
      <c r="CG76" s="0" t="n">
        <f aca="false">IF(C76+D76+E76&gt;Inputs!$B$19,MIN(CF76,MAX(0,Inputs!$B$15-DO75)),0)</f>
        <v>0</v>
      </c>
      <c r="CH76" s="0" t="n">
        <f aca="false">CF76-CG76</f>
        <v>80762.0968401648</v>
      </c>
      <c r="CI76" s="0" t="n">
        <f aca="false">DO75+CG76</f>
        <v>0</v>
      </c>
      <c r="CJ76" s="0" t="n">
        <f aca="false">MIN(MAX(N76-BH76,0),CI76)</f>
        <v>0</v>
      </c>
      <c r="CK76" s="0" t="n">
        <f aca="false">MIN(MAX(O76-BJ76,0),CI76-CJ76)</f>
        <v>0</v>
      </c>
      <c r="CL76" s="0" t="n">
        <f aca="false">MIN(MAX(P76-BP76,0),CI76-CJ76-CK76)</f>
        <v>0</v>
      </c>
      <c r="CM76" s="0" t="n">
        <f aca="false">CJ76+CK76+CL76</f>
        <v>0</v>
      </c>
      <c r="CN76" s="0" t="n">
        <f aca="false">CI76-CM76</f>
        <v>0</v>
      </c>
      <c r="CO76" s="0" t="n">
        <f aca="false">BH76+CJ76</f>
        <v>5046.85335466659</v>
      </c>
      <c r="CP76" s="0" t="n">
        <f aca="false">BJ76+CK76</f>
        <v>0</v>
      </c>
      <c r="CQ76" s="0" t="n">
        <f aca="false">BP76+CL76</f>
        <v>0</v>
      </c>
      <c r="CR76" s="0" t="n">
        <f aca="false">BV76</f>
        <v>0</v>
      </c>
      <c r="CS76" s="0" t="n">
        <f aca="false">AT76-BL76-BR76-BX76-CC76</f>
        <v>0</v>
      </c>
      <c r="CT76" s="0" t="n">
        <f aca="false">AU76-BM76-BS76-BY76-CD76</f>
        <v>0</v>
      </c>
      <c r="CU76" s="0" t="n">
        <f aca="false">AV76-BN76-BT76-BZ76-CE76</f>
        <v>0</v>
      </c>
      <c r="CV76" s="0" t="n">
        <f aca="false">MAX(0,CS76+CT76+CU76-AW76)</f>
        <v>0</v>
      </c>
      <c r="CW76" s="0" t="n">
        <f aca="false">MIN(CU76,CV76)</f>
        <v>0</v>
      </c>
      <c r="CX76" s="0" t="n">
        <f aca="false">MIN(CT76,CV76-CW76)</f>
        <v>0</v>
      </c>
      <c r="CY76" s="0" t="n">
        <f aca="false">MIN(CS76,CV76-CW76-CX76)</f>
        <v>0</v>
      </c>
      <c r="CZ76" s="0" t="n">
        <f aca="false">IF(CS76-CY76&lt;Inputs!$B$19,0,CS76-CY76)</f>
        <v>0</v>
      </c>
      <c r="DA76" s="0" t="n">
        <f aca="false">IF(CT76-CX76&lt;Inputs!$B$19,0,CT76-CX76)</f>
        <v>0</v>
      </c>
      <c r="DB76" s="0" t="n">
        <f aca="false">IF(CU76-CW76&lt;Inputs!$B$19,0,CU76-CW76)</f>
        <v>0</v>
      </c>
      <c r="DC76" s="0" t="n">
        <f aca="false">N76-CO76</f>
        <v>0</v>
      </c>
      <c r="DD76" s="0" t="n">
        <f aca="false">O76-CP76</f>
        <v>0</v>
      </c>
      <c r="DE76" s="0" t="n">
        <f aca="false">P76-CQ76</f>
        <v>0</v>
      </c>
      <c r="DF76" s="0" t="n">
        <f aca="false">Q76-CR76</f>
        <v>0</v>
      </c>
      <c r="DG76" s="0" t="n">
        <f aca="false">IF(CZ76+DA76+DB76&lt;=Inputs!$B$19,1,0)</f>
        <v>1</v>
      </c>
      <c r="DH76" s="0" t="n">
        <f aca="false">DG76*CN76</f>
        <v>0</v>
      </c>
      <c r="DI76" s="0" t="n">
        <f aca="false">DG76*(AS76+DH76)</f>
        <v>1256236.55015838</v>
      </c>
      <c r="DJ76" s="0" t="n">
        <f aca="false">DG76*MIN(DC76,DI76)</f>
        <v>0</v>
      </c>
      <c r="DK76" s="0" t="n">
        <f aca="false">DG76*MIN(DD76,DI76-DJ76)</f>
        <v>0</v>
      </c>
      <c r="DL76" s="0" t="n">
        <f aca="false">DG76*MIN(DE76,DI76-DJ76-DK76)</f>
        <v>0</v>
      </c>
      <c r="DM76" s="0" t="n">
        <f aca="false">DG76*MIN(DF76,DI76-DJ76-DK76-DL76)</f>
        <v>0</v>
      </c>
      <c r="DN76" s="0" t="n">
        <f aca="false">DJ76+DK76+DL76+DM76</f>
        <v>0</v>
      </c>
      <c r="DO76" s="0" t="n">
        <f aca="false">CN76-DH76</f>
        <v>0</v>
      </c>
      <c r="DP76" s="0" t="n">
        <f aca="false">DC76-DJ76</f>
        <v>0</v>
      </c>
      <c r="DQ76" s="0" t="n">
        <f aca="false">DD76-DK76</f>
        <v>0</v>
      </c>
      <c r="DR76" s="0" t="n">
        <f aca="false">DE76-DL76</f>
        <v>0</v>
      </c>
      <c r="DS76" s="0" t="n">
        <f aca="false">DF76-DM76</f>
        <v>0</v>
      </c>
      <c r="DT76" s="0" t="n">
        <f aca="false">CO76+DJ76</f>
        <v>5046.85335466659</v>
      </c>
      <c r="DU76" s="0" t="n">
        <f aca="false">CP76+DK76</f>
        <v>0</v>
      </c>
      <c r="DV76" s="0" t="n">
        <f aca="false">AP76+BL76+BR76+BX76+CC76</f>
        <v>0</v>
      </c>
      <c r="DW76" s="0" t="n">
        <f aca="false">CQ76+DL76</f>
        <v>0</v>
      </c>
      <c r="DX76" s="0" t="n">
        <f aca="false">AQ76+BM76+BS76+BY76+CD76</f>
        <v>0</v>
      </c>
      <c r="DY76" s="0" t="n">
        <f aca="false">CR76+DM76</f>
        <v>0</v>
      </c>
      <c r="DZ76" s="0" t="n">
        <f aca="false">AR76+BN76+BT76+BZ76+CE76</f>
        <v>0</v>
      </c>
      <c r="EA76" s="0" t="n">
        <f aca="false">DI76-DN76</f>
        <v>1256236.55015838</v>
      </c>
      <c r="EB76" s="0" t="n">
        <f aca="false">CH76+EA76</f>
        <v>1336998.64699855</v>
      </c>
      <c r="EC76" s="0" t="n">
        <f aca="false">R76-I76-MAX(-M76,0)-J76-K76-L76</f>
        <v>80762.0968401648</v>
      </c>
      <c r="ED76" s="0" t="n">
        <f aca="false">R76+S76+CM76+DH76-CG76-DT76-DU76-DW76-DY76-DV76-DX76-DZ76-EB76</f>
        <v>0</v>
      </c>
      <c r="EE76" s="0" t="n">
        <f aca="false">IF(AND(EB76&gt;0.000001,DP76+DQ76+DR76+DS76&gt;0.000001),1,0)</f>
        <v>0</v>
      </c>
    </row>
    <row r="77" customFormat="false" ht="15" hidden="false" customHeight="false" outlineLevel="0" collapsed="false">
      <c r="A77" s="0" t="n">
        <f aca="false">ROW()-5</f>
        <v>72</v>
      </c>
      <c r="B77" s="0" t="n">
        <f aca="false">Inputs!$B$11+(Inputs!$B$12-Inputs!$B$11)*(1-EXP(-A77/Inputs!$B$13))+Inputs!$B$8</f>
        <v>0.0330227642178626</v>
      </c>
      <c r="C77" s="0" t="n">
        <f aca="false">CZ76</f>
        <v>0</v>
      </c>
      <c r="D77" s="0" t="n">
        <f aca="false">DA76</f>
        <v>0</v>
      </c>
      <c r="E77" s="0" t="n">
        <f aca="false">DB76</f>
        <v>0</v>
      </c>
      <c r="F77" s="0" t="n">
        <f aca="false">IF(Inputs!$B$22=1,B77+Inputs!$B$23,Inputs!$B$23)/12</f>
        <v>0.00366856368482188</v>
      </c>
      <c r="G77" s="0" t="n">
        <f aca="false">IF(Inputs!$B$27=1,B77+Inputs!$B$28,Inputs!$B$28)/12</f>
        <v>0.00462689701815521</v>
      </c>
      <c r="H77" s="0" t="n">
        <f aca="false">IF(Inputs!$B$32=1,B77+Inputs!$B$33,Inputs!$B$33)/12</f>
        <v>0.00625</v>
      </c>
      <c r="I77" s="0" t="n">
        <f aca="false">Pool!BT77*Inputs!$B$14/12</f>
        <v>4388.5165658724</v>
      </c>
      <c r="J77" s="0" t="n">
        <f aca="false">C77*F77</f>
        <v>0</v>
      </c>
      <c r="K77" s="0" t="n">
        <f aca="false">D77*G77</f>
        <v>0</v>
      </c>
      <c r="L77" s="0" t="n">
        <f aca="false">E77*H77</f>
        <v>0</v>
      </c>
      <c r="M77" s="0" t="n">
        <f aca="false">Inputs!$B$17*(C77*Inputs!$B$22+D77*Inputs!$B$27+E77*Inputs!$B$32)*(B77-Inputs!$B$18)/12</f>
        <v>-0</v>
      </c>
      <c r="N77" s="0" t="n">
        <f aca="false">DP76+I77+MAX(-M77,0)</f>
        <v>4388.5165658724</v>
      </c>
      <c r="O77" s="0" t="n">
        <f aca="false">DQ76+J77</f>
        <v>0</v>
      </c>
      <c r="P77" s="0" t="n">
        <f aca="false">DR76+K77</f>
        <v>0</v>
      </c>
      <c r="Q77" s="0" t="n">
        <f aca="false">DS76+L77</f>
        <v>0</v>
      </c>
      <c r="R77" s="0" t="n">
        <f aca="false">Pool!BV77+MAX(M77,0)</f>
        <v>74902.9198711626</v>
      </c>
      <c r="S77" s="0" t="n">
        <f aca="false">Pool!BW77+Pool!BX77+Pool!BZ77</f>
        <v>1240190.2255793</v>
      </c>
      <c r="T77" s="0" t="n">
        <f aca="false">MAX(T76,BG76)</f>
        <v>1</v>
      </c>
      <c r="U77" s="0" t="n">
        <f aca="false">MIN(C77,S77)</f>
        <v>0</v>
      </c>
      <c r="V77" s="0" t="n">
        <f aca="false">MIN(D77,S77-U77)</f>
        <v>0</v>
      </c>
      <c r="W77" s="0" t="n">
        <f aca="false">MIN(E77,S77-U77-V77)</f>
        <v>0</v>
      </c>
      <c r="X77" s="0" t="n">
        <f aca="false">IF(C77-(0)&gt;Inputs!$B$19,1,0)</f>
        <v>0</v>
      </c>
      <c r="Y77" s="0" t="n">
        <f aca="false">IF(D77-(0)&gt;Inputs!$B$19,1,0)</f>
        <v>0</v>
      </c>
      <c r="Z77" s="0" t="n">
        <f aca="false">IF(E77-(0)&gt;Inputs!$B$19,1,0)</f>
        <v>0</v>
      </c>
      <c r="AA77" s="0" t="n">
        <f aca="false">IF((X77*C77+Y77*D77+Z77*E77)&gt;0,MIN(C77-(0),S77*X77*C77/(X77*C77+Y77*D77+Z77*E77)),0)</f>
        <v>0</v>
      </c>
      <c r="AB77" s="0" t="n">
        <f aca="false">IF((X77*C77+Y77*D77+Z77*E77)&gt;0,MIN(D77-(0),S77*Y77*D77/(X77*C77+Y77*D77+Z77*E77)),0)</f>
        <v>0</v>
      </c>
      <c r="AC77" s="0" t="n">
        <f aca="false">IF((X77*C77+Y77*D77+Z77*E77)&gt;0,MIN(E77-(0),S77*Z77*E77/(X77*C77+Y77*D77+Z77*E77)),0)</f>
        <v>0</v>
      </c>
      <c r="AD77" s="0" t="n">
        <f aca="false">IF(C77-(AA77)&gt;Inputs!$B$19,1,0)</f>
        <v>0</v>
      </c>
      <c r="AE77" s="0" t="n">
        <f aca="false">IF(D77-(AB77)&gt;Inputs!$B$19,1,0)</f>
        <v>0</v>
      </c>
      <c r="AF77" s="0" t="n">
        <f aca="false">IF(E77-(AC77)&gt;Inputs!$B$19,1,0)</f>
        <v>0</v>
      </c>
      <c r="AG77" s="0" t="n">
        <f aca="false">IF((AD77*C77+AE77*D77+AF77*E77)&gt;0,MIN(C77-(AA77),(S77-(AA77+AB77+AC77))*AD77*C77/(AD77*C77+AE77*D77+AF77*E77)),0)</f>
        <v>0</v>
      </c>
      <c r="AH77" s="0" t="n">
        <f aca="false">IF((AD77*C77+AE77*D77+AF77*E77)&gt;0,MIN(D77-(AB77),(S77-(AA77+AB77+AC77))*AE77*D77/(AD77*C77+AE77*D77+AF77*E77)),0)</f>
        <v>0</v>
      </c>
      <c r="AI77" s="0" t="n">
        <f aca="false">IF((AD77*C77+AE77*D77+AF77*E77)&gt;0,MIN(E77-(AC77),(S77-(AA77+AB77+AC77))*AF77*E77/(AD77*C77+AE77*D77+AF77*E77)),0)</f>
        <v>0</v>
      </c>
      <c r="AJ77" s="0" t="n">
        <f aca="false">IF(C77-(AA77+AG77)&gt;Inputs!$B$19,1,0)</f>
        <v>0</v>
      </c>
      <c r="AK77" s="0" t="n">
        <f aca="false">IF(D77-(AB77+AH77)&gt;Inputs!$B$19,1,0)</f>
        <v>0</v>
      </c>
      <c r="AL77" s="0" t="n">
        <f aca="false">IF(E77-(AC77+AI77)&gt;Inputs!$B$19,1,0)</f>
        <v>0</v>
      </c>
      <c r="AM77" s="0" t="n">
        <f aca="false">IF((AJ77*C77+AK77*D77+AL77*E77)&gt;0,MIN(C77-(AA77+AG77),(S77-(AA77+AB77+AC77+AG77+AH77+AI77))*AJ77*C77/(AJ77*C77+AK77*D77+AL77*E77)),0)</f>
        <v>0</v>
      </c>
      <c r="AN77" s="0" t="n">
        <f aca="false">IF((AJ77*C77+AK77*D77+AL77*E77)&gt;0,MIN(D77-(AB77+AH77),(S77-(AA77+AB77+AC77+AG77+AH77+AI77))*AK77*D77/(AJ77*C77+AK77*D77+AL77*E77)),0)</f>
        <v>0</v>
      </c>
      <c r="AO77" s="0" t="n">
        <f aca="false">IF((AJ77*C77+AK77*D77+AL77*E77)&gt;0,MIN(E77-(AC77+AI77),(S77-(AA77+AB77+AC77+AG77+AH77+AI77))*AL77*E77/(AJ77*C77+AK77*D77+AL77*E77)),0)</f>
        <v>0</v>
      </c>
      <c r="AP77" s="0" t="n">
        <f aca="false">IF(T77=1,U77,AA77+AG77+AM77)</f>
        <v>0</v>
      </c>
      <c r="AQ77" s="0" t="n">
        <f aca="false">IF(T77=1,V77,AB77+AH77+AN77)</f>
        <v>0</v>
      </c>
      <c r="AR77" s="0" t="n">
        <f aca="false">IF(T77=1,W77,AC77+AI77+AO77)</f>
        <v>0</v>
      </c>
      <c r="AS77" s="0" t="n">
        <f aca="false">S77-AP77-AQ77-AR77</f>
        <v>1240190.2255793</v>
      </c>
      <c r="AT77" s="0" t="n">
        <f aca="false">C77-AP77</f>
        <v>0</v>
      </c>
      <c r="AU77" s="0" t="n">
        <f aca="false">D77-AQ77</f>
        <v>0</v>
      </c>
      <c r="AV77" s="0" t="n">
        <f aca="false">E77-AR77</f>
        <v>0</v>
      </c>
      <c r="AW77" s="0" t="n">
        <f aca="false">Pool!CB77</f>
        <v>7227688.20479375</v>
      </c>
      <c r="AX77" s="0" t="n">
        <f aca="false">IF((AT77)&gt;Inputs!$B$19,AW77/(AT77),1000000000)</f>
        <v>1000000000</v>
      </c>
      <c r="AY77" s="0" t="n">
        <f aca="false">IF((J77)&gt;0.000000001,(R77-I77-MAX(-M77,0))/(J77),1000000000)</f>
        <v>1000000000</v>
      </c>
      <c r="AZ77" s="0" t="n">
        <f aca="false">IF(OR(AX77&lt;Inputs!$B$24,AY77&lt;Inputs!$B$25),1,0)</f>
        <v>0</v>
      </c>
      <c r="BA77" s="0" t="n">
        <f aca="false">IF((AT77+AU77)&gt;Inputs!$B$19,AW77/(AT77+AU77),1000000000)</f>
        <v>1000000000</v>
      </c>
      <c r="BB77" s="0" t="n">
        <f aca="false">IF((J77+K77)&gt;0.000000001,(R77-I77-MAX(-M77,0))/(J77+K77),1000000000)</f>
        <v>1000000000</v>
      </c>
      <c r="BC77" s="0" t="n">
        <f aca="false">IF(OR(BA77&lt;Inputs!$B$29,BB77&lt;Inputs!$B$30),1,0)</f>
        <v>0</v>
      </c>
      <c r="BD77" s="0" t="n">
        <f aca="false">IF((AT77+AU77+AV77)&gt;Inputs!$B$19,AW77/(AT77+AU77+AV77),1000000000)</f>
        <v>1000000000</v>
      </c>
      <c r="BE77" s="0" t="n">
        <f aca="false">IF((J77+K77+L77)&gt;0.000000001,(R77-I77-MAX(-M77,0))/(J77+K77+L77),1000000000)</f>
        <v>1000000000</v>
      </c>
      <c r="BF77" s="0" t="n">
        <f aca="false">IF(OR(BD77&lt;Inputs!$B$34,BE77&lt;Inputs!$B$35),1,0)</f>
        <v>0</v>
      </c>
      <c r="BG77" s="0" t="n">
        <f aca="false">MAX(AZ77,BC77,BF77)</f>
        <v>0</v>
      </c>
      <c r="BH77" s="0" t="n">
        <f aca="false">MIN(R77,N77)</f>
        <v>4388.5165658724</v>
      </c>
      <c r="BI77" s="0" t="n">
        <f aca="false">R77-BH77</f>
        <v>70514.4033052902</v>
      </c>
      <c r="BJ77" s="0" t="n">
        <f aca="false">MIN(BI77,O77)</f>
        <v>0</v>
      </c>
      <c r="BK77" s="0" t="n">
        <f aca="false">BI77-BJ77</f>
        <v>70514.4033052902</v>
      </c>
      <c r="BL77" s="0" t="n">
        <f aca="false">AZ77*MIN(AT77,BK77)</f>
        <v>0</v>
      </c>
      <c r="BM77" s="0" t="n">
        <f aca="false">AZ77*MIN(AU77,BK77-BL77)</f>
        <v>0</v>
      </c>
      <c r="BN77" s="0" t="n">
        <f aca="false">AZ77*MIN(AV77,BK77-BL77-BM77)</f>
        <v>0</v>
      </c>
      <c r="BO77" s="0" t="n">
        <f aca="false">BK77-BL77-BM77-BN77</f>
        <v>70514.4033052902</v>
      </c>
      <c r="BP77" s="0" t="n">
        <f aca="false">MIN(BO77,P77)</f>
        <v>0</v>
      </c>
      <c r="BQ77" s="0" t="n">
        <f aca="false">BO77-BP77</f>
        <v>70514.4033052902</v>
      </c>
      <c r="BR77" s="0" t="n">
        <f aca="false">BC77*MIN((AT77-BL77),BQ77)</f>
        <v>0</v>
      </c>
      <c r="BS77" s="0" t="n">
        <f aca="false">BC77*MIN((AU77-BM77),BQ77-BR77)</f>
        <v>0</v>
      </c>
      <c r="BT77" s="0" t="n">
        <f aca="false">BC77*MIN((AV77-BN77),BQ77-BR77-BS77)</f>
        <v>0</v>
      </c>
      <c r="BU77" s="0" t="n">
        <f aca="false">BQ77-BR77-BS77-BT77</f>
        <v>70514.4033052902</v>
      </c>
      <c r="BV77" s="0" t="n">
        <f aca="false">MIN(BU77,Q77)</f>
        <v>0</v>
      </c>
      <c r="BW77" s="0" t="n">
        <f aca="false">BU77-BV77</f>
        <v>70514.4033052902</v>
      </c>
      <c r="BX77" s="0" t="n">
        <f aca="false">BF77*MIN((AT77-BL77-BR77),BW77)</f>
        <v>0</v>
      </c>
      <c r="BY77" s="0" t="n">
        <f aca="false">BF77*MIN((AU77-BM77-BS77),BW77-BX77)</f>
        <v>0</v>
      </c>
      <c r="BZ77" s="0" t="n">
        <f aca="false">BF77*MIN((AV77-BN77-BT77),BW77-BX77-BY77)</f>
        <v>0</v>
      </c>
      <c r="CA77" s="0" t="n">
        <f aca="false">BW77-BX77-BY77-BZ77</f>
        <v>70514.4033052902</v>
      </c>
      <c r="CB77" s="0" t="n">
        <f aca="false">MAX(0,AT77+AU77+AV77-BL77-BM77-BN77-BR77-BS77-BT77-BX77-BY77-BZ77-AW77)</f>
        <v>0</v>
      </c>
      <c r="CC77" s="0" t="n">
        <f aca="false">1*MIN((AT77-BL77-BR77-BX77),MIN(CA77,CB77))</f>
        <v>0</v>
      </c>
      <c r="CD77" s="0" t="n">
        <f aca="false">1*MIN((AU77-BM77-BS77-BY77),MIN(CA77,CB77)-CC77)</f>
        <v>0</v>
      </c>
      <c r="CE77" s="0" t="n">
        <f aca="false">1*MIN((AV77-BN77-BT77-BZ77),MIN(CA77,CB77)-CC77-CD77)</f>
        <v>0</v>
      </c>
      <c r="CF77" s="0" t="n">
        <f aca="false">CA77-CC77-CD77-CE77</f>
        <v>70514.4033052902</v>
      </c>
      <c r="CG77" s="0" t="n">
        <f aca="false">IF(C77+D77+E77&gt;Inputs!$B$19,MIN(CF77,MAX(0,Inputs!$B$15-DO76)),0)</f>
        <v>0</v>
      </c>
      <c r="CH77" s="0" t="n">
        <f aca="false">CF77-CG77</f>
        <v>70514.4033052902</v>
      </c>
      <c r="CI77" s="0" t="n">
        <f aca="false">DO76+CG77</f>
        <v>0</v>
      </c>
      <c r="CJ77" s="0" t="n">
        <f aca="false">MIN(MAX(N77-BH77,0),CI77)</f>
        <v>0</v>
      </c>
      <c r="CK77" s="0" t="n">
        <f aca="false">MIN(MAX(O77-BJ77,0),CI77-CJ77)</f>
        <v>0</v>
      </c>
      <c r="CL77" s="0" t="n">
        <f aca="false">MIN(MAX(P77-BP77,0),CI77-CJ77-CK77)</f>
        <v>0</v>
      </c>
      <c r="CM77" s="0" t="n">
        <f aca="false">CJ77+CK77+CL77</f>
        <v>0</v>
      </c>
      <c r="CN77" s="0" t="n">
        <f aca="false">CI77-CM77</f>
        <v>0</v>
      </c>
      <c r="CO77" s="0" t="n">
        <f aca="false">BH77+CJ77</f>
        <v>4388.5165658724</v>
      </c>
      <c r="CP77" s="0" t="n">
        <f aca="false">BJ77+CK77</f>
        <v>0</v>
      </c>
      <c r="CQ77" s="0" t="n">
        <f aca="false">BP77+CL77</f>
        <v>0</v>
      </c>
      <c r="CR77" s="0" t="n">
        <f aca="false">BV77</f>
        <v>0</v>
      </c>
      <c r="CS77" s="0" t="n">
        <f aca="false">AT77-BL77-BR77-BX77-CC77</f>
        <v>0</v>
      </c>
      <c r="CT77" s="0" t="n">
        <f aca="false">AU77-BM77-BS77-BY77-CD77</f>
        <v>0</v>
      </c>
      <c r="CU77" s="0" t="n">
        <f aca="false">AV77-BN77-BT77-BZ77-CE77</f>
        <v>0</v>
      </c>
      <c r="CV77" s="0" t="n">
        <f aca="false">MAX(0,CS77+CT77+CU77-AW77)</f>
        <v>0</v>
      </c>
      <c r="CW77" s="0" t="n">
        <f aca="false">MIN(CU77,CV77)</f>
        <v>0</v>
      </c>
      <c r="CX77" s="0" t="n">
        <f aca="false">MIN(CT77,CV77-CW77)</f>
        <v>0</v>
      </c>
      <c r="CY77" s="0" t="n">
        <f aca="false">MIN(CS77,CV77-CW77-CX77)</f>
        <v>0</v>
      </c>
      <c r="CZ77" s="0" t="n">
        <f aca="false">IF(CS77-CY77&lt;Inputs!$B$19,0,CS77-CY77)</f>
        <v>0</v>
      </c>
      <c r="DA77" s="0" t="n">
        <f aca="false">IF(CT77-CX77&lt;Inputs!$B$19,0,CT77-CX77)</f>
        <v>0</v>
      </c>
      <c r="DB77" s="0" t="n">
        <f aca="false">IF(CU77-CW77&lt;Inputs!$B$19,0,CU77-CW77)</f>
        <v>0</v>
      </c>
      <c r="DC77" s="0" t="n">
        <f aca="false">N77-CO77</f>
        <v>0</v>
      </c>
      <c r="DD77" s="0" t="n">
        <f aca="false">O77-CP77</f>
        <v>0</v>
      </c>
      <c r="DE77" s="0" t="n">
        <f aca="false">P77-CQ77</f>
        <v>0</v>
      </c>
      <c r="DF77" s="0" t="n">
        <f aca="false">Q77-CR77</f>
        <v>0</v>
      </c>
      <c r="DG77" s="0" t="n">
        <f aca="false">IF(CZ77+DA77+DB77&lt;=Inputs!$B$19,1,0)</f>
        <v>1</v>
      </c>
      <c r="DH77" s="0" t="n">
        <f aca="false">DG77*CN77</f>
        <v>0</v>
      </c>
      <c r="DI77" s="0" t="n">
        <f aca="false">DG77*(AS77+DH77)</f>
        <v>1240190.2255793</v>
      </c>
      <c r="DJ77" s="0" t="n">
        <f aca="false">DG77*MIN(DC77,DI77)</f>
        <v>0</v>
      </c>
      <c r="DK77" s="0" t="n">
        <f aca="false">DG77*MIN(DD77,DI77-DJ77)</f>
        <v>0</v>
      </c>
      <c r="DL77" s="0" t="n">
        <f aca="false">DG77*MIN(DE77,DI77-DJ77-DK77)</f>
        <v>0</v>
      </c>
      <c r="DM77" s="0" t="n">
        <f aca="false">DG77*MIN(DF77,DI77-DJ77-DK77-DL77)</f>
        <v>0</v>
      </c>
      <c r="DN77" s="0" t="n">
        <f aca="false">DJ77+DK77+DL77+DM77</f>
        <v>0</v>
      </c>
      <c r="DO77" s="0" t="n">
        <f aca="false">CN77-DH77</f>
        <v>0</v>
      </c>
      <c r="DP77" s="0" t="n">
        <f aca="false">DC77-DJ77</f>
        <v>0</v>
      </c>
      <c r="DQ77" s="0" t="n">
        <f aca="false">DD77-DK77</f>
        <v>0</v>
      </c>
      <c r="DR77" s="0" t="n">
        <f aca="false">DE77-DL77</f>
        <v>0</v>
      </c>
      <c r="DS77" s="0" t="n">
        <f aca="false">DF77-DM77</f>
        <v>0</v>
      </c>
      <c r="DT77" s="0" t="n">
        <f aca="false">CO77+DJ77</f>
        <v>4388.5165658724</v>
      </c>
      <c r="DU77" s="0" t="n">
        <f aca="false">CP77+DK77</f>
        <v>0</v>
      </c>
      <c r="DV77" s="0" t="n">
        <f aca="false">AP77+BL77+BR77+BX77+CC77</f>
        <v>0</v>
      </c>
      <c r="DW77" s="0" t="n">
        <f aca="false">CQ77+DL77</f>
        <v>0</v>
      </c>
      <c r="DX77" s="0" t="n">
        <f aca="false">AQ77+BM77+BS77+BY77+CD77</f>
        <v>0</v>
      </c>
      <c r="DY77" s="0" t="n">
        <f aca="false">CR77+DM77</f>
        <v>0</v>
      </c>
      <c r="DZ77" s="0" t="n">
        <f aca="false">AR77+BN77+BT77+BZ77+CE77</f>
        <v>0</v>
      </c>
      <c r="EA77" s="0" t="n">
        <f aca="false">DI77-DN77</f>
        <v>1240190.2255793</v>
      </c>
      <c r="EB77" s="0" t="n">
        <f aca="false">CH77+EA77</f>
        <v>1310704.62888459</v>
      </c>
      <c r="EC77" s="0" t="n">
        <f aca="false">R77-I77-MAX(-M77,0)-J77-K77-L77</f>
        <v>70514.4033052902</v>
      </c>
      <c r="ED77" s="0" t="n">
        <f aca="false">R77+S77+CM77+DH77-CG77-DT77-DU77-DW77-DY77-DV77-DX77-DZ77-EB77</f>
        <v>0</v>
      </c>
      <c r="EE77" s="0" t="n">
        <f aca="false">IF(AND(EB77&gt;0.000001,DP77+DQ77+DR77+DS77&gt;0.000001),1,0)</f>
        <v>0</v>
      </c>
    </row>
    <row r="78" customFormat="false" ht="15" hidden="false" customHeight="false" outlineLevel="0" collapsed="false">
      <c r="A78" s="0" t="n">
        <f aca="false">ROW()-5</f>
        <v>73</v>
      </c>
      <c r="B78" s="0" t="n">
        <f aca="false">Inputs!$B$11+(Inputs!$B$12-Inputs!$B$11)*(1-EXP(-A78/Inputs!$B$13))+Inputs!$B$8</f>
        <v>0.0330014299263277</v>
      </c>
      <c r="C78" s="0" t="n">
        <f aca="false">CZ77</f>
        <v>0</v>
      </c>
      <c r="D78" s="0" t="n">
        <f aca="false">DA77</f>
        <v>0</v>
      </c>
      <c r="E78" s="0" t="n">
        <f aca="false">DB77</f>
        <v>0</v>
      </c>
      <c r="F78" s="0" t="n">
        <f aca="false">IF(Inputs!$B$22=1,B78+Inputs!$B$23,Inputs!$B$23)/12</f>
        <v>0.00366678582719397</v>
      </c>
      <c r="G78" s="0" t="n">
        <f aca="false">IF(Inputs!$B$27=1,B78+Inputs!$B$28,Inputs!$B$28)/12</f>
        <v>0.00462511916052731</v>
      </c>
      <c r="H78" s="0" t="n">
        <f aca="false">IF(Inputs!$B$32=1,B78+Inputs!$B$33,Inputs!$B$33)/12</f>
        <v>0.00625</v>
      </c>
      <c r="I78" s="0" t="n">
        <f aca="false">Pool!BT78*Inputs!$B$14/12</f>
        <v>3739.18599069456</v>
      </c>
      <c r="J78" s="0" t="n">
        <f aca="false">C78*F78</f>
        <v>0</v>
      </c>
      <c r="K78" s="0" t="n">
        <f aca="false">D78*G78</f>
        <v>0</v>
      </c>
      <c r="L78" s="0" t="n">
        <f aca="false">E78*H78</f>
        <v>0</v>
      </c>
      <c r="M78" s="0" t="n">
        <f aca="false">Inputs!$B$17*(C78*Inputs!$B$22+D78*Inputs!$B$27+E78*Inputs!$B$32)*(B78-Inputs!$B$18)/12</f>
        <v>-0</v>
      </c>
      <c r="N78" s="0" t="n">
        <f aca="false">DP77+I78+MAX(-M78,0)</f>
        <v>3739.18599069456</v>
      </c>
      <c r="O78" s="0" t="n">
        <f aca="false">DQ77+J78</f>
        <v>0</v>
      </c>
      <c r="P78" s="0" t="n">
        <f aca="false">DR77+K78</f>
        <v>0</v>
      </c>
      <c r="Q78" s="0" t="n">
        <f aca="false">DS77+L78</f>
        <v>0</v>
      </c>
      <c r="R78" s="0" t="n">
        <f aca="false">Pool!BV78+MAX(M78,0)</f>
        <v>64145.8534295569</v>
      </c>
      <c r="S78" s="0" t="n">
        <f aca="false">Pool!BW78+Pool!BX78+Pool!BZ78</f>
        <v>642886.810502178</v>
      </c>
      <c r="T78" s="0" t="n">
        <f aca="false">MAX(T77,BG77)</f>
        <v>1</v>
      </c>
      <c r="U78" s="0" t="n">
        <f aca="false">MIN(C78,S78)</f>
        <v>0</v>
      </c>
      <c r="V78" s="0" t="n">
        <f aca="false">MIN(D78,S78-U78)</f>
        <v>0</v>
      </c>
      <c r="W78" s="0" t="n">
        <f aca="false">MIN(E78,S78-U78-V78)</f>
        <v>0</v>
      </c>
      <c r="X78" s="0" t="n">
        <f aca="false">IF(C78-(0)&gt;Inputs!$B$19,1,0)</f>
        <v>0</v>
      </c>
      <c r="Y78" s="0" t="n">
        <f aca="false">IF(D78-(0)&gt;Inputs!$B$19,1,0)</f>
        <v>0</v>
      </c>
      <c r="Z78" s="0" t="n">
        <f aca="false">IF(E78-(0)&gt;Inputs!$B$19,1,0)</f>
        <v>0</v>
      </c>
      <c r="AA78" s="0" t="n">
        <f aca="false">IF((X78*C78+Y78*D78+Z78*E78)&gt;0,MIN(C78-(0),S78*X78*C78/(X78*C78+Y78*D78+Z78*E78)),0)</f>
        <v>0</v>
      </c>
      <c r="AB78" s="0" t="n">
        <f aca="false">IF((X78*C78+Y78*D78+Z78*E78)&gt;0,MIN(D78-(0),S78*Y78*D78/(X78*C78+Y78*D78+Z78*E78)),0)</f>
        <v>0</v>
      </c>
      <c r="AC78" s="0" t="n">
        <f aca="false">IF((X78*C78+Y78*D78+Z78*E78)&gt;0,MIN(E78-(0),S78*Z78*E78/(X78*C78+Y78*D78+Z78*E78)),0)</f>
        <v>0</v>
      </c>
      <c r="AD78" s="0" t="n">
        <f aca="false">IF(C78-(AA78)&gt;Inputs!$B$19,1,0)</f>
        <v>0</v>
      </c>
      <c r="AE78" s="0" t="n">
        <f aca="false">IF(D78-(AB78)&gt;Inputs!$B$19,1,0)</f>
        <v>0</v>
      </c>
      <c r="AF78" s="0" t="n">
        <f aca="false">IF(E78-(AC78)&gt;Inputs!$B$19,1,0)</f>
        <v>0</v>
      </c>
      <c r="AG78" s="0" t="n">
        <f aca="false">IF((AD78*C78+AE78*D78+AF78*E78)&gt;0,MIN(C78-(AA78),(S78-(AA78+AB78+AC78))*AD78*C78/(AD78*C78+AE78*D78+AF78*E78)),0)</f>
        <v>0</v>
      </c>
      <c r="AH78" s="0" t="n">
        <f aca="false">IF((AD78*C78+AE78*D78+AF78*E78)&gt;0,MIN(D78-(AB78),(S78-(AA78+AB78+AC78))*AE78*D78/(AD78*C78+AE78*D78+AF78*E78)),0)</f>
        <v>0</v>
      </c>
      <c r="AI78" s="0" t="n">
        <f aca="false">IF((AD78*C78+AE78*D78+AF78*E78)&gt;0,MIN(E78-(AC78),(S78-(AA78+AB78+AC78))*AF78*E78/(AD78*C78+AE78*D78+AF78*E78)),0)</f>
        <v>0</v>
      </c>
      <c r="AJ78" s="0" t="n">
        <f aca="false">IF(C78-(AA78+AG78)&gt;Inputs!$B$19,1,0)</f>
        <v>0</v>
      </c>
      <c r="AK78" s="0" t="n">
        <f aca="false">IF(D78-(AB78+AH78)&gt;Inputs!$B$19,1,0)</f>
        <v>0</v>
      </c>
      <c r="AL78" s="0" t="n">
        <f aca="false">IF(E78-(AC78+AI78)&gt;Inputs!$B$19,1,0)</f>
        <v>0</v>
      </c>
      <c r="AM78" s="0" t="n">
        <f aca="false">IF((AJ78*C78+AK78*D78+AL78*E78)&gt;0,MIN(C78-(AA78+AG78),(S78-(AA78+AB78+AC78+AG78+AH78+AI78))*AJ78*C78/(AJ78*C78+AK78*D78+AL78*E78)),0)</f>
        <v>0</v>
      </c>
      <c r="AN78" s="0" t="n">
        <f aca="false">IF((AJ78*C78+AK78*D78+AL78*E78)&gt;0,MIN(D78-(AB78+AH78),(S78-(AA78+AB78+AC78+AG78+AH78+AI78))*AK78*D78/(AJ78*C78+AK78*D78+AL78*E78)),0)</f>
        <v>0</v>
      </c>
      <c r="AO78" s="0" t="n">
        <f aca="false">IF((AJ78*C78+AK78*D78+AL78*E78)&gt;0,MIN(E78-(AC78+AI78),(S78-(AA78+AB78+AC78+AG78+AH78+AI78))*AL78*E78/(AJ78*C78+AK78*D78+AL78*E78)),0)</f>
        <v>0</v>
      </c>
      <c r="AP78" s="0" t="n">
        <f aca="false">IF(T78=1,U78,AA78+AG78+AM78)</f>
        <v>0</v>
      </c>
      <c r="AQ78" s="0" t="n">
        <f aca="false">IF(T78=1,V78,AB78+AH78+AN78)</f>
        <v>0</v>
      </c>
      <c r="AR78" s="0" t="n">
        <f aca="false">IF(T78=1,W78,AC78+AI78+AO78)</f>
        <v>0</v>
      </c>
      <c r="AS78" s="0" t="n">
        <f aca="false">S78-AP78-AQ78-AR78</f>
        <v>642886.810502178</v>
      </c>
      <c r="AT78" s="0" t="n">
        <f aca="false">C78-AP78</f>
        <v>0</v>
      </c>
      <c r="AU78" s="0" t="n">
        <f aca="false">D78-AQ78</f>
        <v>0</v>
      </c>
      <c r="AV78" s="0" t="n">
        <f aca="false">E78-AR78</f>
        <v>0</v>
      </c>
      <c r="AW78" s="0" t="n">
        <f aca="false">Pool!CB78</f>
        <v>6577579.28513913</v>
      </c>
      <c r="AX78" s="0" t="n">
        <f aca="false">IF((AT78)&gt;Inputs!$B$19,AW78/(AT78),1000000000)</f>
        <v>1000000000</v>
      </c>
      <c r="AY78" s="0" t="n">
        <f aca="false">IF((J78)&gt;0.000000001,(R78-I78-MAX(-M78,0))/(J78),1000000000)</f>
        <v>1000000000</v>
      </c>
      <c r="AZ78" s="0" t="n">
        <f aca="false">IF(OR(AX78&lt;Inputs!$B$24,AY78&lt;Inputs!$B$25),1,0)</f>
        <v>0</v>
      </c>
      <c r="BA78" s="0" t="n">
        <f aca="false">IF((AT78+AU78)&gt;Inputs!$B$19,AW78/(AT78+AU78),1000000000)</f>
        <v>1000000000</v>
      </c>
      <c r="BB78" s="0" t="n">
        <f aca="false">IF((J78+K78)&gt;0.000000001,(R78-I78-MAX(-M78,0))/(J78+K78),1000000000)</f>
        <v>1000000000</v>
      </c>
      <c r="BC78" s="0" t="n">
        <f aca="false">IF(OR(BA78&lt;Inputs!$B$29,BB78&lt;Inputs!$B$30),1,0)</f>
        <v>0</v>
      </c>
      <c r="BD78" s="0" t="n">
        <f aca="false">IF((AT78+AU78+AV78)&gt;Inputs!$B$19,AW78/(AT78+AU78+AV78),1000000000)</f>
        <v>1000000000</v>
      </c>
      <c r="BE78" s="0" t="n">
        <f aca="false">IF((J78+K78+L78)&gt;0.000000001,(R78-I78-MAX(-M78,0))/(J78+K78+L78),1000000000)</f>
        <v>1000000000</v>
      </c>
      <c r="BF78" s="0" t="n">
        <f aca="false">IF(OR(BD78&lt;Inputs!$B$34,BE78&lt;Inputs!$B$35),1,0)</f>
        <v>0</v>
      </c>
      <c r="BG78" s="0" t="n">
        <f aca="false">MAX(AZ78,BC78,BF78)</f>
        <v>0</v>
      </c>
      <c r="BH78" s="0" t="n">
        <f aca="false">MIN(R78,N78)</f>
        <v>3739.18599069456</v>
      </c>
      <c r="BI78" s="0" t="n">
        <f aca="false">R78-BH78</f>
        <v>60406.6674388624</v>
      </c>
      <c r="BJ78" s="0" t="n">
        <f aca="false">MIN(BI78,O78)</f>
        <v>0</v>
      </c>
      <c r="BK78" s="0" t="n">
        <f aca="false">BI78-BJ78</f>
        <v>60406.6674388624</v>
      </c>
      <c r="BL78" s="0" t="n">
        <f aca="false">AZ78*MIN(AT78,BK78)</f>
        <v>0</v>
      </c>
      <c r="BM78" s="0" t="n">
        <f aca="false">AZ78*MIN(AU78,BK78-BL78)</f>
        <v>0</v>
      </c>
      <c r="BN78" s="0" t="n">
        <f aca="false">AZ78*MIN(AV78,BK78-BL78-BM78)</f>
        <v>0</v>
      </c>
      <c r="BO78" s="0" t="n">
        <f aca="false">BK78-BL78-BM78-BN78</f>
        <v>60406.6674388624</v>
      </c>
      <c r="BP78" s="0" t="n">
        <f aca="false">MIN(BO78,P78)</f>
        <v>0</v>
      </c>
      <c r="BQ78" s="0" t="n">
        <f aca="false">BO78-BP78</f>
        <v>60406.6674388624</v>
      </c>
      <c r="BR78" s="0" t="n">
        <f aca="false">BC78*MIN((AT78-BL78),BQ78)</f>
        <v>0</v>
      </c>
      <c r="BS78" s="0" t="n">
        <f aca="false">BC78*MIN((AU78-BM78),BQ78-BR78)</f>
        <v>0</v>
      </c>
      <c r="BT78" s="0" t="n">
        <f aca="false">BC78*MIN((AV78-BN78),BQ78-BR78-BS78)</f>
        <v>0</v>
      </c>
      <c r="BU78" s="0" t="n">
        <f aca="false">BQ78-BR78-BS78-BT78</f>
        <v>60406.6674388624</v>
      </c>
      <c r="BV78" s="0" t="n">
        <f aca="false">MIN(BU78,Q78)</f>
        <v>0</v>
      </c>
      <c r="BW78" s="0" t="n">
        <f aca="false">BU78-BV78</f>
        <v>60406.6674388624</v>
      </c>
      <c r="BX78" s="0" t="n">
        <f aca="false">BF78*MIN((AT78-BL78-BR78),BW78)</f>
        <v>0</v>
      </c>
      <c r="BY78" s="0" t="n">
        <f aca="false">BF78*MIN((AU78-BM78-BS78),BW78-BX78)</f>
        <v>0</v>
      </c>
      <c r="BZ78" s="0" t="n">
        <f aca="false">BF78*MIN((AV78-BN78-BT78),BW78-BX78-BY78)</f>
        <v>0</v>
      </c>
      <c r="CA78" s="0" t="n">
        <f aca="false">BW78-BX78-BY78-BZ78</f>
        <v>60406.6674388624</v>
      </c>
      <c r="CB78" s="0" t="n">
        <f aca="false">MAX(0,AT78+AU78+AV78-BL78-BM78-BN78-BR78-BS78-BT78-BX78-BY78-BZ78-AW78)</f>
        <v>0</v>
      </c>
      <c r="CC78" s="0" t="n">
        <f aca="false">1*MIN((AT78-BL78-BR78-BX78),MIN(CA78,CB78))</f>
        <v>0</v>
      </c>
      <c r="CD78" s="0" t="n">
        <f aca="false">1*MIN((AU78-BM78-BS78-BY78),MIN(CA78,CB78)-CC78)</f>
        <v>0</v>
      </c>
      <c r="CE78" s="0" t="n">
        <f aca="false">1*MIN((AV78-BN78-BT78-BZ78),MIN(CA78,CB78)-CC78-CD78)</f>
        <v>0</v>
      </c>
      <c r="CF78" s="0" t="n">
        <f aca="false">CA78-CC78-CD78-CE78</f>
        <v>60406.6674388624</v>
      </c>
      <c r="CG78" s="0" t="n">
        <f aca="false">IF(C78+D78+E78&gt;Inputs!$B$19,MIN(CF78,MAX(0,Inputs!$B$15-DO77)),0)</f>
        <v>0</v>
      </c>
      <c r="CH78" s="0" t="n">
        <f aca="false">CF78-CG78</f>
        <v>60406.6674388624</v>
      </c>
      <c r="CI78" s="0" t="n">
        <f aca="false">DO77+CG78</f>
        <v>0</v>
      </c>
      <c r="CJ78" s="0" t="n">
        <f aca="false">MIN(MAX(N78-BH78,0),CI78)</f>
        <v>0</v>
      </c>
      <c r="CK78" s="0" t="n">
        <f aca="false">MIN(MAX(O78-BJ78,0),CI78-CJ78)</f>
        <v>0</v>
      </c>
      <c r="CL78" s="0" t="n">
        <f aca="false">MIN(MAX(P78-BP78,0),CI78-CJ78-CK78)</f>
        <v>0</v>
      </c>
      <c r="CM78" s="0" t="n">
        <f aca="false">CJ78+CK78+CL78</f>
        <v>0</v>
      </c>
      <c r="CN78" s="0" t="n">
        <f aca="false">CI78-CM78</f>
        <v>0</v>
      </c>
      <c r="CO78" s="0" t="n">
        <f aca="false">BH78+CJ78</f>
        <v>3739.18599069456</v>
      </c>
      <c r="CP78" s="0" t="n">
        <f aca="false">BJ78+CK78</f>
        <v>0</v>
      </c>
      <c r="CQ78" s="0" t="n">
        <f aca="false">BP78+CL78</f>
        <v>0</v>
      </c>
      <c r="CR78" s="0" t="n">
        <f aca="false">BV78</f>
        <v>0</v>
      </c>
      <c r="CS78" s="0" t="n">
        <f aca="false">AT78-BL78-BR78-BX78-CC78</f>
        <v>0</v>
      </c>
      <c r="CT78" s="0" t="n">
        <f aca="false">AU78-BM78-BS78-BY78-CD78</f>
        <v>0</v>
      </c>
      <c r="CU78" s="0" t="n">
        <f aca="false">AV78-BN78-BT78-BZ78-CE78</f>
        <v>0</v>
      </c>
      <c r="CV78" s="0" t="n">
        <f aca="false">MAX(0,CS78+CT78+CU78-AW78)</f>
        <v>0</v>
      </c>
      <c r="CW78" s="0" t="n">
        <f aca="false">MIN(CU78,CV78)</f>
        <v>0</v>
      </c>
      <c r="CX78" s="0" t="n">
        <f aca="false">MIN(CT78,CV78-CW78)</f>
        <v>0</v>
      </c>
      <c r="CY78" s="0" t="n">
        <f aca="false">MIN(CS78,CV78-CW78-CX78)</f>
        <v>0</v>
      </c>
      <c r="CZ78" s="0" t="n">
        <f aca="false">IF(CS78-CY78&lt;Inputs!$B$19,0,CS78-CY78)</f>
        <v>0</v>
      </c>
      <c r="DA78" s="0" t="n">
        <f aca="false">IF(CT78-CX78&lt;Inputs!$B$19,0,CT78-CX78)</f>
        <v>0</v>
      </c>
      <c r="DB78" s="0" t="n">
        <f aca="false">IF(CU78-CW78&lt;Inputs!$B$19,0,CU78-CW78)</f>
        <v>0</v>
      </c>
      <c r="DC78" s="0" t="n">
        <f aca="false">N78-CO78</f>
        <v>0</v>
      </c>
      <c r="DD78" s="0" t="n">
        <f aca="false">O78-CP78</f>
        <v>0</v>
      </c>
      <c r="DE78" s="0" t="n">
        <f aca="false">P78-CQ78</f>
        <v>0</v>
      </c>
      <c r="DF78" s="0" t="n">
        <f aca="false">Q78-CR78</f>
        <v>0</v>
      </c>
      <c r="DG78" s="0" t="n">
        <f aca="false">IF(CZ78+DA78+DB78&lt;=Inputs!$B$19,1,0)</f>
        <v>1</v>
      </c>
      <c r="DH78" s="0" t="n">
        <f aca="false">DG78*CN78</f>
        <v>0</v>
      </c>
      <c r="DI78" s="0" t="n">
        <f aca="false">DG78*(AS78+DH78)</f>
        <v>642886.810502178</v>
      </c>
      <c r="DJ78" s="0" t="n">
        <f aca="false">DG78*MIN(DC78,DI78)</f>
        <v>0</v>
      </c>
      <c r="DK78" s="0" t="n">
        <f aca="false">DG78*MIN(DD78,DI78-DJ78)</f>
        <v>0</v>
      </c>
      <c r="DL78" s="0" t="n">
        <f aca="false">DG78*MIN(DE78,DI78-DJ78-DK78)</f>
        <v>0</v>
      </c>
      <c r="DM78" s="0" t="n">
        <f aca="false">DG78*MIN(DF78,DI78-DJ78-DK78-DL78)</f>
        <v>0</v>
      </c>
      <c r="DN78" s="0" t="n">
        <f aca="false">DJ78+DK78+DL78+DM78</f>
        <v>0</v>
      </c>
      <c r="DO78" s="0" t="n">
        <f aca="false">CN78-DH78</f>
        <v>0</v>
      </c>
      <c r="DP78" s="0" t="n">
        <f aca="false">DC78-DJ78</f>
        <v>0</v>
      </c>
      <c r="DQ78" s="0" t="n">
        <f aca="false">DD78-DK78</f>
        <v>0</v>
      </c>
      <c r="DR78" s="0" t="n">
        <f aca="false">DE78-DL78</f>
        <v>0</v>
      </c>
      <c r="DS78" s="0" t="n">
        <f aca="false">DF78-DM78</f>
        <v>0</v>
      </c>
      <c r="DT78" s="0" t="n">
        <f aca="false">CO78+DJ78</f>
        <v>3739.18599069456</v>
      </c>
      <c r="DU78" s="0" t="n">
        <f aca="false">CP78+DK78</f>
        <v>0</v>
      </c>
      <c r="DV78" s="0" t="n">
        <f aca="false">AP78+BL78+BR78+BX78+CC78</f>
        <v>0</v>
      </c>
      <c r="DW78" s="0" t="n">
        <f aca="false">CQ78+DL78</f>
        <v>0</v>
      </c>
      <c r="DX78" s="0" t="n">
        <f aca="false">AQ78+BM78+BS78+BY78+CD78</f>
        <v>0</v>
      </c>
      <c r="DY78" s="0" t="n">
        <f aca="false">CR78+DM78</f>
        <v>0</v>
      </c>
      <c r="DZ78" s="0" t="n">
        <f aca="false">AR78+BN78+BT78+BZ78+CE78</f>
        <v>0</v>
      </c>
      <c r="EA78" s="0" t="n">
        <f aca="false">DI78-DN78</f>
        <v>642886.810502178</v>
      </c>
      <c r="EB78" s="0" t="n">
        <f aca="false">CH78+EA78</f>
        <v>703293.47794104</v>
      </c>
      <c r="EC78" s="0" t="n">
        <f aca="false">R78-I78-MAX(-M78,0)-J78-K78-L78</f>
        <v>60406.6674388624</v>
      </c>
      <c r="ED78" s="0" t="n">
        <f aca="false">R78+S78+CM78+DH78-CG78-DT78-DU78-DW78-DY78-DV78-DX78-DZ78-EB78</f>
        <v>0</v>
      </c>
      <c r="EE78" s="0" t="n">
        <f aca="false">IF(AND(EB78&gt;0.000001,DP78+DQ78+DR78+DS78&gt;0.000001),1,0)</f>
        <v>0</v>
      </c>
    </row>
    <row r="79" customFormat="false" ht="15" hidden="false" customHeight="false" outlineLevel="0" collapsed="false">
      <c r="A79" s="0" t="n">
        <f aca="false">ROW()-5</f>
        <v>74</v>
      </c>
      <c r="B79" s="0" t="n">
        <f aca="false">Inputs!$B$11+(Inputs!$B$12-Inputs!$B$11)*(1-EXP(-A79/Inputs!$B$13))+Inputs!$B$8</f>
        <v>0.0329809662988125</v>
      </c>
      <c r="C79" s="0" t="n">
        <f aca="false">CZ78</f>
        <v>0</v>
      </c>
      <c r="D79" s="0" t="n">
        <f aca="false">DA78</f>
        <v>0</v>
      </c>
      <c r="E79" s="0" t="n">
        <f aca="false">DB78</f>
        <v>0</v>
      </c>
      <c r="F79" s="0" t="n">
        <f aca="false">IF(Inputs!$B$22=1,B79+Inputs!$B$23,Inputs!$B$23)/12</f>
        <v>0.00366508052490104</v>
      </c>
      <c r="G79" s="0" t="n">
        <f aca="false">IF(Inputs!$B$27=1,B79+Inputs!$B$28,Inputs!$B$28)/12</f>
        <v>0.00462341385823438</v>
      </c>
      <c r="H79" s="0" t="n">
        <f aca="false">IF(Inputs!$B$32=1,B79+Inputs!$B$33,Inputs!$B$33)/12</f>
        <v>0.00625</v>
      </c>
      <c r="I79" s="0" t="n">
        <f aca="false">Pool!BT79*Inputs!$B$14/12</f>
        <v>3404.01347324847</v>
      </c>
      <c r="J79" s="0" t="n">
        <f aca="false">C79*F79</f>
        <v>0</v>
      </c>
      <c r="K79" s="0" t="n">
        <f aca="false">D79*G79</f>
        <v>0</v>
      </c>
      <c r="L79" s="0" t="n">
        <f aca="false">E79*H79</f>
        <v>0</v>
      </c>
      <c r="M79" s="0" t="n">
        <f aca="false">Inputs!$B$17*(C79*Inputs!$B$22+D79*Inputs!$B$27+E79*Inputs!$B$32)*(B79-Inputs!$B$18)/12</f>
        <v>-0</v>
      </c>
      <c r="N79" s="0" t="n">
        <f aca="false">DP78+I79+MAX(-M79,0)</f>
        <v>3404.01347324847</v>
      </c>
      <c r="O79" s="0" t="n">
        <f aca="false">DQ78+J79</f>
        <v>0</v>
      </c>
      <c r="P79" s="0" t="n">
        <f aca="false">DR78+K79</f>
        <v>0</v>
      </c>
      <c r="Q79" s="0" t="n">
        <f aca="false">DS78+L79</f>
        <v>0</v>
      </c>
      <c r="R79" s="0" t="n">
        <f aca="false">Pool!BV79+MAX(M79,0)</f>
        <v>58396.0900056468</v>
      </c>
      <c r="S79" s="0" t="n">
        <f aca="false">Pool!BW79+Pool!BX79+Pool!BZ79</f>
        <v>634006.142988601</v>
      </c>
      <c r="T79" s="0" t="n">
        <f aca="false">MAX(T78,BG78)</f>
        <v>1</v>
      </c>
      <c r="U79" s="0" t="n">
        <f aca="false">MIN(C79,S79)</f>
        <v>0</v>
      </c>
      <c r="V79" s="0" t="n">
        <f aca="false">MIN(D79,S79-U79)</f>
        <v>0</v>
      </c>
      <c r="W79" s="0" t="n">
        <f aca="false">MIN(E79,S79-U79-V79)</f>
        <v>0</v>
      </c>
      <c r="X79" s="0" t="n">
        <f aca="false">IF(C79-(0)&gt;Inputs!$B$19,1,0)</f>
        <v>0</v>
      </c>
      <c r="Y79" s="0" t="n">
        <f aca="false">IF(D79-(0)&gt;Inputs!$B$19,1,0)</f>
        <v>0</v>
      </c>
      <c r="Z79" s="0" t="n">
        <f aca="false">IF(E79-(0)&gt;Inputs!$B$19,1,0)</f>
        <v>0</v>
      </c>
      <c r="AA79" s="0" t="n">
        <f aca="false">IF((X79*C79+Y79*D79+Z79*E79)&gt;0,MIN(C79-(0),S79*X79*C79/(X79*C79+Y79*D79+Z79*E79)),0)</f>
        <v>0</v>
      </c>
      <c r="AB79" s="0" t="n">
        <f aca="false">IF((X79*C79+Y79*D79+Z79*E79)&gt;0,MIN(D79-(0),S79*Y79*D79/(X79*C79+Y79*D79+Z79*E79)),0)</f>
        <v>0</v>
      </c>
      <c r="AC79" s="0" t="n">
        <f aca="false">IF((X79*C79+Y79*D79+Z79*E79)&gt;0,MIN(E79-(0),S79*Z79*E79/(X79*C79+Y79*D79+Z79*E79)),0)</f>
        <v>0</v>
      </c>
      <c r="AD79" s="0" t="n">
        <f aca="false">IF(C79-(AA79)&gt;Inputs!$B$19,1,0)</f>
        <v>0</v>
      </c>
      <c r="AE79" s="0" t="n">
        <f aca="false">IF(D79-(AB79)&gt;Inputs!$B$19,1,0)</f>
        <v>0</v>
      </c>
      <c r="AF79" s="0" t="n">
        <f aca="false">IF(E79-(AC79)&gt;Inputs!$B$19,1,0)</f>
        <v>0</v>
      </c>
      <c r="AG79" s="0" t="n">
        <f aca="false">IF((AD79*C79+AE79*D79+AF79*E79)&gt;0,MIN(C79-(AA79),(S79-(AA79+AB79+AC79))*AD79*C79/(AD79*C79+AE79*D79+AF79*E79)),0)</f>
        <v>0</v>
      </c>
      <c r="AH79" s="0" t="n">
        <f aca="false">IF((AD79*C79+AE79*D79+AF79*E79)&gt;0,MIN(D79-(AB79),(S79-(AA79+AB79+AC79))*AE79*D79/(AD79*C79+AE79*D79+AF79*E79)),0)</f>
        <v>0</v>
      </c>
      <c r="AI79" s="0" t="n">
        <f aca="false">IF((AD79*C79+AE79*D79+AF79*E79)&gt;0,MIN(E79-(AC79),(S79-(AA79+AB79+AC79))*AF79*E79/(AD79*C79+AE79*D79+AF79*E79)),0)</f>
        <v>0</v>
      </c>
      <c r="AJ79" s="0" t="n">
        <f aca="false">IF(C79-(AA79+AG79)&gt;Inputs!$B$19,1,0)</f>
        <v>0</v>
      </c>
      <c r="AK79" s="0" t="n">
        <f aca="false">IF(D79-(AB79+AH79)&gt;Inputs!$B$19,1,0)</f>
        <v>0</v>
      </c>
      <c r="AL79" s="0" t="n">
        <f aca="false">IF(E79-(AC79+AI79)&gt;Inputs!$B$19,1,0)</f>
        <v>0</v>
      </c>
      <c r="AM79" s="0" t="n">
        <f aca="false">IF((AJ79*C79+AK79*D79+AL79*E79)&gt;0,MIN(C79-(AA79+AG79),(S79-(AA79+AB79+AC79+AG79+AH79+AI79))*AJ79*C79/(AJ79*C79+AK79*D79+AL79*E79)),0)</f>
        <v>0</v>
      </c>
      <c r="AN79" s="0" t="n">
        <f aca="false">IF((AJ79*C79+AK79*D79+AL79*E79)&gt;0,MIN(D79-(AB79+AH79),(S79-(AA79+AB79+AC79+AG79+AH79+AI79))*AK79*D79/(AJ79*C79+AK79*D79+AL79*E79)),0)</f>
        <v>0</v>
      </c>
      <c r="AO79" s="0" t="n">
        <f aca="false">IF((AJ79*C79+AK79*D79+AL79*E79)&gt;0,MIN(E79-(AC79+AI79),(S79-(AA79+AB79+AC79+AG79+AH79+AI79))*AL79*E79/(AJ79*C79+AK79*D79+AL79*E79)),0)</f>
        <v>0</v>
      </c>
      <c r="AP79" s="0" t="n">
        <f aca="false">IF(T79=1,U79,AA79+AG79+AM79)</f>
        <v>0</v>
      </c>
      <c r="AQ79" s="0" t="n">
        <f aca="false">IF(T79=1,V79,AB79+AH79+AN79)</f>
        <v>0</v>
      </c>
      <c r="AR79" s="0" t="n">
        <f aca="false">IF(T79=1,W79,AC79+AI79+AO79)</f>
        <v>0</v>
      </c>
      <c r="AS79" s="0" t="n">
        <f aca="false">S79-AP79-AQ79-AR79</f>
        <v>634006.142988601</v>
      </c>
      <c r="AT79" s="0" t="n">
        <f aca="false">C79-AP79</f>
        <v>0</v>
      </c>
      <c r="AU79" s="0" t="n">
        <f aca="false">D79-AQ79</f>
        <v>0</v>
      </c>
      <c r="AV79" s="0" t="n">
        <f aca="false">E79-AR79</f>
        <v>0</v>
      </c>
      <c r="AW79" s="0" t="n">
        <f aca="false">Pool!CB79</f>
        <v>5936998.40718913</v>
      </c>
      <c r="AX79" s="0" t="n">
        <f aca="false">IF((AT79)&gt;Inputs!$B$19,AW79/(AT79),1000000000)</f>
        <v>1000000000</v>
      </c>
      <c r="AY79" s="0" t="n">
        <f aca="false">IF((J79)&gt;0.000000001,(R79-I79-MAX(-M79,0))/(J79),1000000000)</f>
        <v>1000000000</v>
      </c>
      <c r="AZ79" s="0" t="n">
        <f aca="false">IF(OR(AX79&lt;Inputs!$B$24,AY79&lt;Inputs!$B$25),1,0)</f>
        <v>0</v>
      </c>
      <c r="BA79" s="0" t="n">
        <f aca="false">IF((AT79+AU79)&gt;Inputs!$B$19,AW79/(AT79+AU79),1000000000)</f>
        <v>1000000000</v>
      </c>
      <c r="BB79" s="0" t="n">
        <f aca="false">IF((J79+K79)&gt;0.000000001,(R79-I79-MAX(-M79,0))/(J79+K79),1000000000)</f>
        <v>1000000000</v>
      </c>
      <c r="BC79" s="0" t="n">
        <f aca="false">IF(OR(BA79&lt;Inputs!$B$29,BB79&lt;Inputs!$B$30),1,0)</f>
        <v>0</v>
      </c>
      <c r="BD79" s="0" t="n">
        <f aca="false">IF((AT79+AU79+AV79)&gt;Inputs!$B$19,AW79/(AT79+AU79+AV79),1000000000)</f>
        <v>1000000000</v>
      </c>
      <c r="BE79" s="0" t="n">
        <f aca="false">IF((J79+K79+L79)&gt;0.000000001,(R79-I79-MAX(-M79,0))/(J79+K79+L79),1000000000)</f>
        <v>1000000000</v>
      </c>
      <c r="BF79" s="0" t="n">
        <f aca="false">IF(OR(BD79&lt;Inputs!$B$34,BE79&lt;Inputs!$B$35),1,0)</f>
        <v>0</v>
      </c>
      <c r="BG79" s="0" t="n">
        <f aca="false">MAX(AZ79,BC79,BF79)</f>
        <v>0</v>
      </c>
      <c r="BH79" s="0" t="n">
        <f aca="false">MIN(R79,N79)</f>
        <v>3404.01347324847</v>
      </c>
      <c r="BI79" s="0" t="n">
        <f aca="false">R79-BH79</f>
        <v>54992.0765323983</v>
      </c>
      <c r="BJ79" s="0" t="n">
        <f aca="false">MIN(BI79,O79)</f>
        <v>0</v>
      </c>
      <c r="BK79" s="0" t="n">
        <f aca="false">BI79-BJ79</f>
        <v>54992.0765323983</v>
      </c>
      <c r="BL79" s="0" t="n">
        <f aca="false">AZ79*MIN(AT79,BK79)</f>
        <v>0</v>
      </c>
      <c r="BM79" s="0" t="n">
        <f aca="false">AZ79*MIN(AU79,BK79-BL79)</f>
        <v>0</v>
      </c>
      <c r="BN79" s="0" t="n">
        <f aca="false">AZ79*MIN(AV79,BK79-BL79-BM79)</f>
        <v>0</v>
      </c>
      <c r="BO79" s="0" t="n">
        <f aca="false">BK79-BL79-BM79-BN79</f>
        <v>54992.0765323983</v>
      </c>
      <c r="BP79" s="0" t="n">
        <f aca="false">MIN(BO79,P79)</f>
        <v>0</v>
      </c>
      <c r="BQ79" s="0" t="n">
        <f aca="false">BO79-BP79</f>
        <v>54992.0765323983</v>
      </c>
      <c r="BR79" s="0" t="n">
        <f aca="false">BC79*MIN((AT79-BL79),BQ79)</f>
        <v>0</v>
      </c>
      <c r="BS79" s="0" t="n">
        <f aca="false">BC79*MIN((AU79-BM79),BQ79-BR79)</f>
        <v>0</v>
      </c>
      <c r="BT79" s="0" t="n">
        <f aca="false">BC79*MIN((AV79-BN79),BQ79-BR79-BS79)</f>
        <v>0</v>
      </c>
      <c r="BU79" s="0" t="n">
        <f aca="false">BQ79-BR79-BS79-BT79</f>
        <v>54992.0765323983</v>
      </c>
      <c r="BV79" s="0" t="n">
        <f aca="false">MIN(BU79,Q79)</f>
        <v>0</v>
      </c>
      <c r="BW79" s="0" t="n">
        <f aca="false">BU79-BV79</f>
        <v>54992.0765323983</v>
      </c>
      <c r="BX79" s="0" t="n">
        <f aca="false">BF79*MIN((AT79-BL79-BR79),BW79)</f>
        <v>0</v>
      </c>
      <c r="BY79" s="0" t="n">
        <f aca="false">BF79*MIN((AU79-BM79-BS79),BW79-BX79)</f>
        <v>0</v>
      </c>
      <c r="BZ79" s="0" t="n">
        <f aca="false">BF79*MIN((AV79-BN79-BT79),BW79-BX79-BY79)</f>
        <v>0</v>
      </c>
      <c r="CA79" s="0" t="n">
        <f aca="false">BW79-BX79-BY79-BZ79</f>
        <v>54992.0765323983</v>
      </c>
      <c r="CB79" s="0" t="n">
        <f aca="false">MAX(0,AT79+AU79+AV79-BL79-BM79-BN79-BR79-BS79-BT79-BX79-BY79-BZ79-AW79)</f>
        <v>0</v>
      </c>
      <c r="CC79" s="0" t="n">
        <f aca="false">1*MIN((AT79-BL79-BR79-BX79),MIN(CA79,CB79))</f>
        <v>0</v>
      </c>
      <c r="CD79" s="0" t="n">
        <f aca="false">1*MIN((AU79-BM79-BS79-BY79),MIN(CA79,CB79)-CC79)</f>
        <v>0</v>
      </c>
      <c r="CE79" s="0" t="n">
        <f aca="false">1*MIN((AV79-BN79-BT79-BZ79),MIN(CA79,CB79)-CC79-CD79)</f>
        <v>0</v>
      </c>
      <c r="CF79" s="0" t="n">
        <f aca="false">CA79-CC79-CD79-CE79</f>
        <v>54992.0765323983</v>
      </c>
      <c r="CG79" s="0" t="n">
        <f aca="false">IF(C79+D79+E79&gt;Inputs!$B$19,MIN(CF79,MAX(0,Inputs!$B$15-DO78)),0)</f>
        <v>0</v>
      </c>
      <c r="CH79" s="0" t="n">
        <f aca="false">CF79-CG79</f>
        <v>54992.0765323983</v>
      </c>
      <c r="CI79" s="0" t="n">
        <f aca="false">DO78+CG79</f>
        <v>0</v>
      </c>
      <c r="CJ79" s="0" t="n">
        <f aca="false">MIN(MAX(N79-BH79,0),CI79)</f>
        <v>0</v>
      </c>
      <c r="CK79" s="0" t="n">
        <f aca="false">MIN(MAX(O79-BJ79,0),CI79-CJ79)</f>
        <v>0</v>
      </c>
      <c r="CL79" s="0" t="n">
        <f aca="false">MIN(MAX(P79-BP79,0),CI79-CJ79-CK79)</f>
        <v>0</v>
      </c>
      <c r="CM79" s="0" t="n">
        <f aca="false">CJ79+CK79+CL79</f>
        <v>0</v>
      </c>
      <c r="CN79" s="0" t="n">
        <f aca="false">CI79-CM79</f>
        <v>0</v>
      </c>
      <c r="CO79" s="0" t="n">
        <f aca="false">BH79+CJ79</f>
        <v>3404.01347324847</v>
      </c>
      <c r="CP79" s="0" t="n">
        <f aca="false">BJ79+CK79</f>
        <v>0</v>
      </c>
      <c r="CQ79" s="0" t="n">
        <f aca="false">BP79+CL79</f>
        <v>0</v>
      </c>
      <c r="CR79" s="0" t="n">
        <f aca="false">BV79</f>
        <v>0</v>
      </c>
      <c r="CS79" s="0" t="n">
        <f aca="false">AT79-BL79-BR79-BX79-CC79</f>
        <v>0</v>
      </c>
      <c r="CT79" s="0" t="n">
        <f aca="false">AU79-BM79-BS79-BY79-CD79</f>
        <v>0</v>
      </c>
      <c r="CU79" s="0" t="n">
        <f aca="false">AV79-BN79-BT79-BZ79-CE79</f>
        <v>0</v>
      </c>
      <c r="CV79" s="0" t="n">
        <f aca="false">MAX(0,CS79+CT79+CU79-AW79)</f>
        <v>0</v>
      </c>
      <c r="CW79" s="0" t="n">
        <f aca="false">MIN(CU79,CV79)</f>
        <v>0</v>
      </c>
      <c r="CX79" s="0" t="n">
        <f aca="false">MIN(CT79,CV79-CW79)</f>
        <v>0</v>
      </c>
      <c r="CY79" s="0" t="n">
        <f aca="false">MIN(CS79,CV79-CW79-CX79)</f>
        <v>0</v>
      </c>
      <c r="CZ79" s="0" t="n">
        <f aca="false">IF(CS79-CY79&lt;Inputs!$B$19,0,CS79-CY79)</f>
        <v>0</v>
      </c>
      <c r="DA79" s="0" t="n">
        <f aca="false">IF(CT79-CX79&lt;Inputs!$B$19,0,CT79-CX79)</f>
        <v>0</v>
      </c>
      <c r="DB79" s="0" t="n">
        <f aca="false">IF(CU79-CW79&lt;Inputs!$B$19,0,CU79-CW79)</f>
        <v>0</v>
      </c>
      <c r="DC79" s="0" t="n">
        <f aca="false">N79-CO79</f>
        <v>0</v>
      </c>
      <c r="DD79" s="0" t="n">
        <f aca="false">O79-CP79</f>
        <v>0</v>
      </c>
      <c r="DE79" s="0" t="n">
        <f aca="false">P79-CQ79</f>
        <v>0</v>
      </c>
      <c r="DF79" s="0" t="n">
        <f aca="false">Q79-CR79</f>
        <v>0</v>
      </c>
      <c r="DG79" s="0" t="n">
        <f aca="false">IF(CZ79+DA79+DB79&lt;=Inputs!$B$19,1,0)</f>
        <v>1</v>
      </c>
      <c r="DH79" s="0" t="n">
        <f aca="false">DG79*CN79</f>
        <v>0</v>
      </c>
      <c r="DI79" s="0" t="n">
        <f aca="false">DG79*(AS79+DH79)</f>
        <v>634006.142988601</v>
      </c>
      <c r="DJ79" s="0" t="n">
        <f aca="false">DG79*MIN(DC79,DI79)</f>
        <v>0</v>
      </c>
      <c r="DK79" s="0" t="n">
        <f aca="false">DG79*MIN(DD79,DI79-DJ79)</f>
        <v>0</v>
      </c>
      <c r="DL79" s="0" t="n">
        <f aca="false">DG79*MIN(DE79,DI79-DJ79-DK79)</f>
        <v>0</v>
      </c>
      <c r="DM79" s="0" t="n">
        <f aca="false">DG79*MIN(DF79,DI79-DJ79-DK79-DL79)</f>
        <v>0</v>
      </c>
      <c r="DN79" s="0" t="n">
        <f aca="false">DJ79+DK79+DL79+DM79</f>
        <v>0</v>
      </c>
      <c r="DO79" s="0" t="n">
        <f aca="false">CN79-DH79</f>
        <v>0</v>
      </c>
      <c r="DP79" s="0" t="n">
        <f aca="false">DC79-DJ79</f>
        <v>0</v>
      </c>
      <c r="DQ79" s="0" t="n">
        <f aca="false">DD79-DK79</f>
        <v>0</v>
      </c>
      <c r="DR79" s="0" t="n">
        <f aca="false">DE79-DL79</f>
        <v>0</v>
      </c>
      <c r="DS79" s="0" t="n">
        <f aca="false">DF79-DM79</f>
        <v>0</v>
      </c>
      <c r="DT79" s="0" t="n">
        <f aca="false">CO79+DJ79</f>
        <v>3404.01347324847</v>
      </c>
      <c r="DU79" s="0" t="n">
        <f aca="false">CP79+DK79</f>
        <v>0</v>
      </c>
      <c r="DV79" s="0" t="n">
        <f aca="false">AP79+BL79+BR79+BX79+CC79</f>
        <v>0</v>
      </c>
      <c r="DW79" s="0" t="n">
        <f aca="false">CQ79+DL79</f>
        <v>0</v>
      </c>
      <c r="DX79" s="0" t="n">
        <f aca="false">AQ79+BM79+BS79+BY79+CD79</f>
        <v>0</v>
      </c>
      <c r="DY79" s="0" t="n">
        <f aca="false">CR79+DM79</f>
        <v>0</v>
      </c>
      <c r="DZ79" s="0" t="n">
        <f aca="false">AR79+BN79+BT79+BZ79+CE79</f>
        <v>0</v>
      </c>
      <c r="EA79" s="0" t="n">
        <f aca="false">DI79-DN79</f>
        <v>634006.142988601</v>
      </c>
      <c r="EB79" s="0" t="n">
        <f aca="false">CH79+EA79</f>
        <v>688998.219520999</v>
      </c>
      <c r="EC79" s="0" t="n">
        <f aca="false">R79-I79-MAX(-M79,0)-J79-K79-L79</f>
        <v>54992.0765323983</v>
      </c>
      <c r="ED79" s="0" t="n">
        <f aca="false">R79+S79+CM79+DH79-CG79-DT79-DU79-DW79-DY79-DV79-DX79-DZ79-EB79</f>
        <v>0</v>
      </c>
      <c r="EE79" s="0" t="n">
        <f aca="false">IF(AND(EB79&gt;0.000001,DP79+DQ79+DR79+DS79&gt;0.000001),1,0)</f>
        <v>0</v>
      </c>
    </row>
    <row r="80" customFormat="false" ht="15" hidden="false" customHeight="false" outlineLevel="0" collapsed="false">
      <c r="A80" s="0" t="n">
        <f aca="false">ROW()-5</f>
        <v>75</v>
      </c>
      <c r="B80" s="0" t="n">
        <f aca="false">Inputs!$B$11+(Inputs!$B$12-Inputs!$B$11)*(1-EXP(-A80/Inputs!$B$13))+Inputs!$B$8</f>
        <v>0.0329613378030458</v>
      </c>
      <c r="C80" s="0" t="n">
        <f aca="false">CZ79</f>
        <v>0</v>
      </c>
      <c r="D80" s="0" t="n">
        <f aca="false">DA79</f>
        <v>0</v>
      </c>
      <c r="E80" s="0" t="n">
        <f aca="false">DB79</f>
        <v>0</v>
      </c>
      <c r="F80" s="0" t="n">
        <f aca="false">IF(Inputs!$B$22=1,B80+Inputs!$B$23,Inputs!$B$23)/12</f>
        <v>0.00366344481692048</v>
      </c>
      <c r="G80" s="0" t="n">
        <f aca="false">IF(Inputs!$B$27=1,B80+Inputs!$B$28,Inputs!$B$28)/12</f>
        <v>0.00462177815025382</v>
      </c>
      <c r="H80" s="0" t="n">
        <f aca="false">IF(Inputs!$B$32=1,B80+Inputs!$B$33,Inputs!$B$33)/12</f>
        <v>0.00625</v>
      </c>
      <c r="I80" s="0" t="n">
        <f aca="false">Pool!BT80*Inputs!$B$14/12</f>
        <v>3073.29519574383</v>
      </c>
      <c r="J80" s="0" t="n">
        <f aca="false">C80*F80</f>
        <v>0</v>
      </c>
      <c r="K80" s="0" t="n">
        <f aca="false">D80*G80</f>
        <v>0</v>
      </c>
      <c r="L80" s="0" t="n">
        <f aca="false">E80*H80</f>
        <v>0</v>
      </c>
      <c r="M80" s="0" t="n">
        <f aca="false">Inputs!$B$17*(C80*Inputs!$B$22+D80*Inputs!$B$27+E80*Inputs!$B$32)*(B80-Inputs!$B$18)/12</f>
        <v>-0</v>
      </c>
      <c r="N80" s="0" t="n">
        <f aca="false">DP79+I80+MAX(-M80,0)</f>
        <v>3073.29519574383</v>
      </c>
      <c r="O80" s="0" t="n">
        <f aca="false">DQ79+J80</f>
        <v>0</v>
      </c>
      <c r="P80" s="0" t="n">
        <f aca="false">DR79+K80</f>
        <v>0</v>
      </c>
      <c r="Q80" s="0" t="n">
        <f aca="false">DS79+L80</f>
        <v>0</v>
      </c>
      <c r="R80" s="0" t="n">
        <f aca="false">Pool!BV80+MAX(M80,0)</f>
        <v>52722.7139875383</v>
      </c>
      <c r="S80" s="0" t="n">
        <f aca="false">Pool!BW80+Pool!BX80+Pool!BZ80</f>
        <v>625229.853188431</v>
      </c>
      <c r="T80" s="0" t="n">
        <f aca="false">MAX(T79,BG79)</f>
        <v>1</v>
      </c>
      <c r="U80" s="0" t="n">
        <f aca="false">MIN(C80,S80)</f>
        <v>0</v>
      </c>
      <c r="V80" s="0" t="n">
        <f aca="false">MIN(D80,S80-U80)</f>
        <v>0</v>
      </c>
      <c r="W80" s="0" t="n">
        <f aca="false">MIN(E80,S80-U80-V80)</f>
        <v>0</v>
      </c>
      <c r="X80" s="0" t="n">
        <f aca="false">IF(C80-(0)&gt;Inputs!$B$19,1,0)</f>
        <v>0</v>
      </c>
      <c r="Y80" s="0" t="n">
        <f aca="false">IF(D80-(0)&gt;Inputs!$B$19,1,0)</f>
        <v>0</v>
      </c>
      <c r="Z80" s="0" t="n">
        <f aca="false">IF(E80-(0)&gt;Inputs!$B$19,1,0)</f>
        <v>0</v>
      </c>
      <c r="AA80" s="0" t="n">
        <f aca="false">IF((X80*C80+Y80*D80+Z80*E80)&gt;0,MIN(C80-(0),S80*X80*C80/(X80*C80+Y80*D80+Z80*E80)),0)</f>
        <v>0</v>
      </c>
      <c r="AB80" s="0" t="n">
        <f aca="false">IF((X80*C80+Y80*D80+Z80*E80)&gt;0,MIN(D80-(0),S80*Y80*D80/(X80*C80+Y80*D80+Z80*E80)),0)</f>
        <v>0</v>
      </c>
      <c r="AC80" s="0" t="n">
        <f aca="false">IF((X80*C80+Y80*D80+Z80*E80)&gt;0,MIN(E80-(0),S80*Z80*E80/(X80*C80+Y80*D80+Z80*E80)),0)</f>
        <v>0</v>
      </c>
      <c r="AD80" s="0" t="n">
        <f aca="false">IF(C80-(AA80)&gt;Inputs!$B$19,1,0)</f>
        <v>0</v>
      </c>
      <c r="AE80" s="0" t="n">
        <f aca="false">IF(D80-(AB80)&gt;Inputs!$B$19,1,0)</f>
        <v>0</v>
      </c>
      <c r="AF80" s="0" t="n">
        <f aca="false">IF(E80-(AC80)&gt;Inputs!$B$19,1,0)</f>
        <v>0</v>
      </c>
      <c r="AG80" s="0" t="n">
        <f aca="false">IF((AD80*C80+AE80*D80+AF80*E80)&gt;0,MIN(C80-(AA80),(S80-(AA80+AB80+AC80))*AD80*C80/(AD80*C80+AE80*D80+AF80*E80)),0)</f>
        <v>0</v>
      </c>
      <c r="AH80" s="0" t="n">
        <f aca="false">IF((AD80*C80+AE80*D80+AF80*E80)&gt;0,MIN(D80-(AB80),(S80-(AA80+AB80+AC80))*AE80*D80/(AD80*C80+AE80*D80+AF80*E80)),0)</f>
        <v>0</v>
      </c>
      <c r="AI80" s="0" t="n">
        <f aca="false">IF((AD80*C80+AE80*D80+AF80*E80)&gt;0,MIN(E80-(AC80),(S80-(AA80+AB80+AC80))*AF80*E80/(AD80*C80+AE80*D80+AF80*E80)),0)</f>
        <v>0</v>
      </c>
      <c r="AJ80" s="0" t="n">
        <f aca="false">IF(C80-(AA80+AG80)&gt;Inputs!$B$19,1,0)</f>
        <v>0</v>
      </c>
      <c r="AK80" s="0" t="n">
        <f aca="false">IF(D80-(AB80+AH80)&gt;Inputs!$B$19,1,0)</f>
        <v>0</v>
      </c>
      <c r="AL80" s="0" t="n">
        <f aca="false">IF(E80-(AC80+AI80)&gt;Inputs!$B$19,1,0)</f>
        <v>0</v>
      </c>
      <c r="AM80" s="0" t="n">
        <f aca="false">IF((AJ80*C80+AK80*D80+AL80*E80)&gt;0,MIN(C80-(AA80+AG80),(S80-(AA80+AB80+AC80+AG80+AH80+AI80))*AJ80*C80/(AJ80*C80+AK80*D80+AL80*E80)),0)</f>
        <v>0</v>
      </c>
      <c r="AN80" s="0" t="n">
        <f aca="false">IF((AJ80*C80+AK80*D80+AL80*E80)&gt;0,MIN(D80-(AB80+AH80),(S80-(AA80+AB80+AC80+AG80+AH80+AI80))*AK80*D80/(AJ80*C80+AK80*D80+AL80*E80)),0)</f>
        <v>0</v>
      </c>
      <c r="AO80" s="0" t="n">
        <f aca="false">IF((AJ80*C80+AK80*D80+AL80*E80)&gt;0,MIN(E80-(AC80+AI80),(S80-(AA80+AB80+AC80+AG80+AH80+AI80))*AL80*E80/(AJ80*C80+AK80*D80+AL80*E80)),0)</f>
        <v>0</v>
      </c>
      <c r="AP80" s="0" t="n">
        <f aca="false">IF(T80=1,U80,AA80+AG80+AM80)</f>
        <v>0</v>
      </c>
      <c r="AQ80" s="0" t="n">
        <f aca="false">IF(T80=1,V80,AB80+AH80+AN80)</f>
        <v>0</v>
      </c>
      <c r="AR80" s="0" t="n">
        <f aca="false">IF(T80=1,W80,AC80+AI80+AO80)</f>
        <v>0</v>
      </c>
      <c r="AS80" s="0" t="n">
        <f aca="false">S80-AP80-AQ80-AR80</f>
        <v>625229.853188431</v>
      </c>
      <c r="AT80" s="0" t="n">
        <f aca="false">C80-AP80</f>
        <v>0</v>
      </c>
      <c r="AU80" s="0" t="n">
        <f aca="false">D80-AQ80</f>
        <v>0</v>
      </c>
      <c r="AV80" s="0" t="n">
        <f aca="false">E80-AR80</f>
        <v>0</v>
      </c>
      <c r="AW80" s="0" t="n">
        <f aca="false">Pool!CB80</f>
        <v>5305832.59001907</v>
      </c>
      <c r="AX80" s="0" t="n">
        <f aca="false">IF((AT80)&gt;Inputs!$B$19,AW80/(AT80),1000000000)</f>
        <v>1000000000</v>
      </c>
      <c r="AY80" s="0" t="n">
        <f aca="false">IF((J80)&gt;0.000000001,(R80-I80-MAX(-M80,0))/(J80),1000000000)</f>
        <v>1000000000</v>
      </c>
      <c r="AZ80" s="0" t="n">
        <f aca="false">IF(OR(AX80&lt;Inputs!$B$24,AY80&lt;Inputs!$B$25),1,0)</f>
        <v>0</v>
      </c>
      <c r="BA80" s="0" t="n">
        <f aca="false">IF((AT80+AU80)&gt;Inputs!$B$19,AW80/(AT80+AU80),1000000000)</f>
        <v>1000000000</v>
      </c>
      <c r="BB80" s="0" t="n">
        <f aca="false">IF((J80+K80)&gt;0.000000001,(R80-I80-MAX(-M80,0))/(J80+K80),1000000000)</f>
        <v>1000000000</v>
      </c>
      <c r="BC80" s="0" t="n">
        <f aca="false">IF(OR(BA80&lt;Inputs!$B$29,BB80&lt;Inputs!$B$30),1,0)</f>
        <v>0</v>
      </c>
      <c r="BD80" s="0" t="n">
        <f aca="false">IF((AT80+AU80+AV80)&gt;Inputs!$B$19,AW80/(AT80+AU80+AV80),1000000000)</f>
        <v>1000000000</v>
      </c>
      <c r="BE80" s="0" t="n">
        <f aca="false">IF((J80+K80+L80)&gt;0.000000001,(R80-I80-MAX(-M80,0))/(J80+K80+L80),1000000000)</f>
        <v>1000000000</v>
      </c>
      <c r="BF80" s="0" t="n">
        <f aca="false">IF(OR(BD80&lt;Inputs!$B$34,BE80&lt;Inputs!$B$35),1,0)</f>
        <v>0</v>
      </c>
      <c r="BG80" s="0" t="n">
        <f aca="false">MAX(AZ80,BC80,BF80)</f>
        <v>0</v>
      </c>
      <c r="BH80" s="0" t="n">
        <f aca="false">MIN(R80,N80)</f>
        <v>3073.29519574383</v>
      </c>
      <c r="BI80" s="0" t="n">
        <f aca="false">R80-BH80</f>
        <v>49649.4187917945</v>
      </c>
      <c r="BJ80" s="0" t="n">
        <f aca="false">MIN(BI80,O80)</f>
        <v>0</v>
      </c>
      <c r="BK80" s="0" t="n">
        <f aca="false">BI80-BJ80</f>
        <v>49649.4187917945</v>
      </c>
      <c r="BL80" s="0" t="n">
        <f aca="false">AZ80*MIN(AT80,BK80)</f>
        <v>0</v>
      </c>
      <c r="BM80" s="0" t="n">
        <f aca="false">AZ80*MIN(AU80,BK80-BL80)</f>
        <v>0</v>
      </c>
      <c r="BN80" s="0" t="n">
        <f aca="false">AZ80*MIN(AV80,BK80-BL80-BM80)</f>
        <v>0</v>
      </c>
      <c r="BO80" s="0" t="n">
        <f aca="false">BK80-BL80-BM80-BN80</f>
        <v>49649.4187917945</v>
      </c>
      <c r="BP80" s="0" t="n">
        <f aca="false">MIN(BO80,P80)</f>
        <v>0</v>
      </c>
      <c r="BQ80" s="0" t="n">
        <f aca="false">BO80-BP80</f>
        <v>49649.4187917945</v>
      </c>
      <c r="BR80" s="0" t="n">
        <f aca="false">BC80*MIN((AT80-BL80),BQ80)</f>
        <v>0</v>
      </c>
      <c r="BS80" s="0" t="n">
        <f aca="false">BC80*MIN((AU80-BM80),BQ80-BR80)</f>
        <v>0</v>
      </c>
      <c r="BT80" s="0" t="n">
        <f aca="false">BC80*MIN((AV80-BN80),BQ80-BR80-BS80)</f>
        <v>0</v>
      </c>
      <c r="BU80" s="0" t="n">
        <f aca="false">BQ80-BR80-BS80-BT80</f>
        <v>49649.4187917945</v>
      </c>
      <c r="BV80" s="0" t="n">
        <f aca="false">MIN(BU80,Q80)</f>
        <v>0</v>
      </c>
      <c r="BW80" s="0" t="n">
        <f aca="false">BU80-BV80</f>
        <v>49649.4187917945</v>
      </c>
      <c r="BX80" s="0" t="n">
        <f aca="false">BF80*MIN((AT80-BL80-BR80),BW80)</f>
        <v>0</v>
      </c>
      <c r="BY80" s="0" t="n">
        <f aca="false">BF80*MIN((AU80-BM80-BS80),BW80-BX80)</f>
        <v>0</v>
      </c>
      <c r="BZ80" s="0" t="n">
        <f aca="false">BF80*MIN((AV80-BN80-BT80),BW80-BX80-BY80)</f>
        <v>0</v>
      </c>
      <c r="CA80" s="0" t="n">
        <f aca="false">BW80-BX80-BY80-BZ80</f>
        <v>49649.4187917945</v>
      </c>
      <c r="CB80" s="0" t="n">
        <f aca="false">MAX(0,AT80+AU80+AV80-BL80-BM80-BN80-BR80-BS80-BT80-BX80-BY80-BZ80-AW80)</f>
        <v>0</v>
      </c>
      <c r="CC80" s="0" t="n">
        <f aca="false">1*MIN((AT80-BL80-BR80-BX80),MIN(CA80,CB80))</f>
        <v>0</v>
      </c>
      <c r="CD80" s="0" t="n">
        <f aca="false">1*MIN((AU80-BM80-BS80-BY80),MIN(CA80,CB80)-CC80)</f>
        <v>0</v>
      </c>
      <c r="CE80" s="0" t="n">
        <f aca="false">1*MIN((AV80-BN80-BT80-BZ80),MIN(CA80,CB80)-CC80-CD80)</f>
        <v>0</v>
      </c>
      <c r="CF80" s="0" t="n">
        <f aca="false">CA80-CC80-CD80-CE80</f>
        <v>49649.4187917945</v>
      </c>
      <c r="CG80" s="0" t="n">
        <f aca="false">IF(C80+D80+E80&gt;Inputs!$B$19,MIN(CF80,MAX(0,Inputs!$B$15-DO79)),0)</f>
        <v>0</v>
      </c>
      <c r="CH80" s="0" t="n">
        <f aca="false">CF80-CG80</f>
        <v>49649.4187917945</v>
      </c>
      <c r="CI80" s="0" t="n">
        <f aca="false">DO79+CG80</f>
        <v>0</v>
      </c>
      <c r="CJ80" s="0" t="n">
        <f aca="false">MIN(MAX(N80-BH80,0),CI80)</f>
        <v>0</v>
      </c>
      <c r="CK80" s="0" t="n">
        <f aca="false">MIN(MAX(O80-BJ80,0),CI80-CJ80)</f>
        <v>0</v>
      </c>
      <c r="CL80" s="0" t="n">
        <f aca="false">MIN(MAX(P80-BP80,0),CI80-CJ80-CK80)</f>
        <v>0</v>
      </c>
      <c r="CM80" s="0" t="n">
        <f aca="false">CJ80+CK80+CL80</f>
        <v>0</v>
      </c>
      <c r="CN80" s="0" t="n">
        <f aca="false">CI80-CM80</f>
        <v>0</v>
      </c>
      <c r="CO80" s="0" t="n">
        <f aca="false">BH80+CJ80</f>
        <v>3073.29519574383</v>
      </c>
      <c r="CP80" s="0" t="n">
        <f aca="false">BJ80+CK80</f>
        <v>0</v>
      </c>
      <c r="CQ80" s="0" t="n">
        <f aca="false">BP80+CL80</f>
        <v>0</v>
      </c>
      <c r="CR80" s="0" t="n">
        <f aca="false">BV80</f>
        <v>0</v>
      </c>
      <c r="CS80" s="0" t="n">
        <f aca="false">AT80-BL80-BR80-BX80-CC80</f>
        <v>0</v>
      </c>
      <c r="CT80" s="0" t="n">
        <f aca="false">AU80-BM80-BS80-BY80-CD80</f>
        <v>0</v>
      </c>
      <c r="CU80" s="0" t="n">
        <f aca="false">AV80-BN80-BT80-BZ80-CE80</f>
        <v>0</v>
      </c>
      <c r="CV80" s="0" t="n">
        <f aca="false">MAX(0,CS80+CT80+CU80-AW80)</f>
        <v>0</v>
      </c>
      <c r="CW80" s="0" t="n">
        <f aca="false">MIN(CU80,CV80)</f>
        <v>0</v>
      </c>
      <c r="CX80" s="0" t="n">
        <f aca="false">MIN(CT80,CV80-CW80)</f>
        <v>0</v>
      </c>
      <c r="CY80" s="0" t="n">
        <f aca="false">MIN(CS80,CV80-CW80-CX80)</f>
        <v>0</v>
      </c>
      <c r="CZ80" s="0" t="n">
        <f aca="false">IF(CS80-CY80&lt;Inputs!$B$19,0,CS80-CY80)</f>
        <v>0</v>
      </c>
      <c r="DA80" s="0" t="n">
        <f aca="false">IF(CT80-CX80&lt;Inputs!$B$19,0,CT80-CX80)</f>
        <v>0</v>
      </c>
      <c r="DB80" s="0" t="n">
        <f aca="false">IF(CU80-CW80&lt;Inputs!$B$19,0,CU80-CW80)</f>
        <v>0</v>
      </c>
      <c r="DC80" s="0" t="n">
        <f aca="false">N80-CO80</f>
        <v>0</v>
      </c>
      <c r="DD80" s="0" t="n">
        <f aca="false">O80-CP80</f>
        <v>0</v>
      </c>
      <c r="DE80" s="0" t="n">
        <f aca="false">P80-CQ80</f>
        <v>0</v>
      </c>
      <c r="DF80" s="0" t="n">
        <f aca="false">Q80-CR80</f>
        <v>0</v>
      </c>
      <c r="DG80" s="0" t="n">
        <f aca="false">IF(CZ80+DA80+DB80&lt;=Inputs!$B$19,1,0)</f>
        <v>1</v>
      </c>
      <c r="DH80" s="0" t="n">
        <f aca="false">DG80*CN80</f>
        <v>0</v>
      </c>
      <c r="DI80" s="0" t="n">
        <f aca="false">DG80*(AS80+DH80)</f>
        <v>625229.853188431</v>
      </c>
      <c r="DJ80" s="0" t="n">
        <f aca="false">DG80*MIN(DC80,DI80)</f>
        <v>0</v>
      </c>
      <c r="DK80" s="0" t="n">
        <f aca="false">DG80*MIN(DD80,DI80-DJ80)</f>
        <v>0</v>
      </c>
      <c r="DL80" s="0" t="n">
        <f aca="false">DG80*MIN(DE80,DI80-DJ80-DK80)</f>
        <v>0</v>
      </c>
      <c r="DM80" s="0" t="n">
        <f aca="false">DG80*MIN(DF80,DI80-DJ80-DK80-DL80)</f>
        <v>0</v>
      </c>
      <c r="DN80" s="0" t="n">
        <f aca="false">DJ80+DK80+DL80+DM80</f>
        <v>0</v>
      </c>
      <c r="DO80" s="0" t="n">
        <f aca="false">CN80-DH80</f>
        <v>0</v>
      </c>
      <c r="DP80" s="0" t="n">
        <f aca="false">DC80-DJ80</f>
        <v>0</v>
      </c>
      <c r="DQ80" s="0" t="n">
        <f aca="false">DD80-DK80</f>
        <v>0</v>
      </c>
      <c r="DR80" s="0" t="n">
        <f aca="false">DE80-DL80</f>
        <v>0</v>
      </c>
      <c r="DS80" s="0" t="n">
        <f aca="false">DF80-DM80</f>
        <v>0</v>
      </c>
      <c r="DT80" s="0" t="n">
        <f aca="false">CO80+DJ80</f>
        <v>3073.29519574383</v>
      </c>
      <c r="DU80" s="0" t="n">
        <f aca="false">CP80+DK80</f>
        <v>0</v>
      </c>
      <c r="DV80" s="0" t="n">
        <f aca="false">AP80+BL80+BR80+BX80+CC80</f>
        <v>0</v>
      </c>
      <c r="DW80" s="0" t="n">
        <f aca="false">CQ80+DL80</f>
        <v>0</v>
      </c>
      <c r="DX80" s="0" t="n">
        <f aca="false">AQ80+BM80+BS80+BY80+CD80</f>
        <v>0</v>
      </c>
      <c r="DY80" s="0" t="n">
        <f aca="false">CR80+DM80</f>
        <v>0</v>
      </c>
      <c r="DZ80" s="0" t="n">
        <f aca="false">AR80+BN80+BT80+BZ80+CE80</f>
        <v>0</v>
      </c>
      <c r="EA80" s="0" t="n">
        <f aca="false">DI80-DN80</f>
        <v>625229.853188431</v>
      </c>
      <c r="EB80" s="0" t="n">
        <f aca="false">CH80+EA80</f>
        <v>674879.271980225</v>
      </c>
      <c r="EC80" s="0" t="n">
        <f aca="false">R80-I80-MAX(-M80,0)-J80-K80-L80</f>
        <v>49649.4187917945</v>
      </c>
      <c r="ED80" s="0" t="n">
        <f aca="false">R80+S80+CM80+DH80-CG80-DT80-DU80-DW80-DY80-DV80-DX80-DZ80-EB80</f>
        <v>0</v>
      </c>
      <c r="EE80" s="0" t="n">
        <f aca="false">IF(AND(EB80&gt;0.000001,DP80+DQ80+DR80+DS80&gt;0.000001),1,0)</f>
        <v>0</v>
      </c>
    </row>
    <row r="81" customFormat="false" ht="15" hidden="false" customHeight="false" outlineLevel="0" collapsed="false">
      <c r="A81" s="0" t="n">
        <f aca="false">ROW()-5</f>
        <v>76</v>
      </c>
      <c r="B81" s="0" t="n">
        <f aca="false">Inputs!$B$11+(Inputs!$B$12-Inputs!$B$11)*(1-EXP(-A81/Inputs!$B$13))+Inputs!$B$8</f>
        <v>0.0329425103568474</v>
      </c>
      <c r="C81" s="0" t="n">
        <f aca="false">CZ80</f>
        <v>0</v>
      </c>
      <c r="D81" s="0" t="n">
        <f aca="false">DA80</f>
        <v>0</v>
      </c>
      <c r="E81" s="0" t="n">
        <f aca="false">DB80</f>
        <v>0</v>
      </c>
      <c r="F81" s="0" t="n">
        <f aca="false">IF(Inputs!$B$22=1,B81+Inputs!$B$23,Inputs!$B$23)/12</f>
        <v>0.00366187586307062</v>
      </c>
      <c r="G81" s="0" t="n">
        <f aca="false">IF(Inputs!$B$27=1,B81+Inputs!$B$28,Inputs!$B$28)/12</f>
        <v>0.00462020919640395</v>
      </c>
      <c r="H81" s="0" t="n">
        <f aca="false">IF(Inputs!$B$32=1,B81+Inputs!$B$33,Inputs!$B$33)/12</f>
        <v>0.00625</v>
      </c>
      <c r="I81" s="0" t="n">
        <f aca="false">Pool!BT81*Inputs!$B$14/12</f>
        <v>2746.97942858784</v>
      </c>
      <c r="J81" s="0" t="n">
        <f aca="false">C81*F81</f>
        <v>0</v>
      </c>
      <c r="K81" s="0" t="n">
        <f aca="false">D81*G81</f>
        <v>0</v>
      </c>
      <c r="L81" s="0" t="n">
        <f aca="false">E81*H81</f>
        <v>0</v>
      </c>
      <c r="M81" s="0" t="n">
        <f aca="false">Inputs!$B$17*(C81*Inputs!$B$22+D81*Inputs!$B$27+E81*Inputs!$B$32)*(B81-Inputs!$B$18)/12</f>
        <v>-0</v>
      </c>
      <c r="N81" s="0" t="n">
        <f aca="false">DP80+I81+MAX(-M81,0)</f>
        <v>2746.97942858784</v>
      </c>
      <c r="O81" s="0" t="n">
        <f aca="false">DQ80+J81</f>
        <v>0</v>
      </c>
      <c r="P81" s="0" t="n">
        <f aca="false">DR80+K81</f>
        <v>0</v>
      </c>
      <c r="Q81" s="0" t="n">
        <f aca="false">DS80+L81</f>
        <v>0</v>
      </c>
      <c r="R81" s="0" t="n">
        <f aca="false">Pool!BV81+MAX(M81,0)</f>
        <v>47124.8383474058</v>
      </c>
      <c r="S81" s="0" t="n">
        <f aca="false">Pool!BW81+Pool!BX81+Pool!BZ81</f>
        <v>616556.75423179</v>
      </c>
      <c r="T81" s="0" t="n">
        <f aca="false">MAX(T80,BG80)</f>
        <v>1</v>
      </c>
      <c r="U81" s="0" t="n">
        <f aca="false">MIN(C81,S81)</f>
        <v>0</v>
      </c>
      <c r="V81" s="0" t="n">
        <f aca="false">MIN(D81,S81-U81)</f>
        <v>0</v>
      </c>
      <c r="W81" s="0" t="n">
        <f aca="false">MIN(E81,S81-U81-V81)</f>
        <v>0</v>
      </c>
      <c r="X81" s="0" t="n">
        <f aca="false">IF(C81-(0)&gt;Inputs!$B$19,1,0)</f>
        <v>0</v>
      </c>
      <c r="Y81" s="0" t="n">
        <f aca="false">IF(D81-(0)&gt;Inputs!$B$19,1,0)</f>
        <v>0</v>
      </c>
      <c r="Z81" s="0" t="n">
        <f aca="false">IF(E81-(0)&gt;Inputs!$B$19,1,0)</f>
        <v>0</v>
      </c>
      <c r="AA81" s="0" t="n">
        <f aca="false">IF((X81*C81+Y81*D81+Z81*E81)&gt;0,MIN(C81-(0),S81*X81*C81/(X81*C81+Y81*D81+Z81*E81)),0)</f>
        <v>0</v>
      </c>
      <c r="AB81" s="0" t="n">
        <f aca="false">IF((X81*C81+Y81*D81+Z81*E81)&gt;0,MIN(D81-(0),S81*Y81*D81/(X81*C81+Y81*D81+Z81*E81)),0)</f>
        <v>0</v>
      </c>
      <c r="AC81" s="0" t="n">
        <f aca="false">IF((X81*C81+Y81*D81+Z81*E81)&gt;0,MIN(E81-(0),S81*Z81*E81/(X81*C81+Y81*D81+Z81*E81)),0)</f>
        <v>0</v>
      </c>
      <c r="AD81" s="0" t="n">
        <f aca="false">IF(C81-(AA81)&gt;Inputs!$B$19,1,0)</f>
        <v>0</v>
      </c>
      <c r="AE81" s="0" t="n">
        <f aca="false">IF(D81-(AB81)&gt;Inputs!$B$19,1,0)</f>
        <v>0</v>
      </c>
      <c r="AF81" s="0" t="n">
        <f aca="false">IF(E81-(AC81)&gt;Inputs!$B$19,1,0)</f>
        <v>0</v>
      </c>
      <c r="AG81" s="0" t="n">
        <f aca="false">IF((AD81*C81+AE81*D81+AF81*E81)&gt;0,MIN(C81-(AA81),(S81-(AA81+AB81+AC81))*AD81*C81/(AD81*C81+AE81*D81+AF81*E81)),0)</f>
        <v>0</v>
      </c>
      <c r="AH81" s="0" t="n">
        <f aca="false">IF((AD81*C81+AE81*D81+AF81*E81)&gt;0,MIN(D81-(AB81),(S81-(AA81+AB81+AC81))*AE81*D81/(AD81*C81+AE81*D81+AF81*E81)),0)</f>
        <v>0</v>
      </c>
      <c r="AI81" s="0" t="n">
        <f aca="false">IF((AD81*C81+AE81*D81+AF81*E81)&gt;0,MIN(E81-(AC81),(S81-(AA81+AB81+AC81))*AF81*E81/(AD81*C81+AE81*D81+AF81*E81)),0)</f>
        <v>0</v>
      </c>
      <c r="AJ81" s="0" t="n">
        <f aca="false">IF(C81-(AA81+AG81)&gt;Inputs!$B$19,1,0)</f>
        <v>0</v>
      </c>
      <c r="AK81" s="0" t="n">
        <f aca="false">IF(D81-(AB81+AH81)&gt;Inputs!$B$19,1,0)</f>
        <v>0</v>
      </c>
      <c r="AL81" s="0" t="n">
        <f aca="false">IF(E81-(AC81+AI81)&gt;Inputs!$B$19,1,0)</f>
        <v>0</v>
      </c>
      <c r="AM81" s="0" t="n">
        <f aca="false">IF((AJ81*C81+AK81*D81+AL81*E81)&gt;0,MIN(C81-(AA81+AG81),(S81-(AA81+AB81+AC81+AG81+AH81+AI81))*AJ81*C81/(AJ81*C81+AK81*D81+AL81*E81)),0)</f>
        <v>0</v>
      </c>
      <c r="AN81" s="0" t="n">
        <f aca="false">IF((AJ81*C81+AK81*D81+AL81*E81)&gt;0,MIN(D81-(AB81+AH81),(S81-(AA81+AB81+AC81+AG81+AH81+AI81))*AK81*D81/(AJ81*C81+AK81*D81+AL81*E81)),0)</f>
        <v>0</v>
      </c>
      <c r="AO81" s="0" t="n">
        <f aca="false">IF((AJ81*C81+AK81*D81+AL81*E81)&gt;0,MIN(E81-(AC81+AI81),(S81-(AA81+AB81+AC81+AG81+AH81+AI81))*AL81*E81/(AJ81*C81+AK81*D81+AL81*E81)),0)</f>
        <v>0</v>
      </c>
      <c r="AP81" s="0" t="n">
        <f aca="false">IF(T81=1,U81,AA81+AG81+AM81)</f>
        <v>0</v>
      </c>
      <c r="AQ81" s="0" t="n">
        <f aca="false">IF(T81=1,V81,AB81+AH81+AN81)</f>
        <v>0</v>
      </c>
      <c r="AR81" s="0" t="n">
        <f aca="false">IF(T81=1,W81,AC81+AI81+AO81)</f>
        <v>0</v>
      </c>
      <c r="AS81" s="0" t="n">
        <f aca="false">S81-AP81-AQ81-AR81</f>
        <v>616556.75423179</v>
      </c>
      <c r="AT81" s="0" t="n">
        <f aca="false">C81-AP81</f>
        <v>0</v>
      </c>
      <c r="AU81" s="0" t="n">
        <f aca="false">D81-AQ81</f>
        <v>0</v>
      </c>
      <c r="AV81" s="0" t="n">
        <f aca="false">E81-AR81</f>
        <v>0</v>
      </c>
      <c r="AW81" s="0" t="n">
        <f aca="false">Pool!CB81</f>
        <v>4683970.1394881</v>
      </c>
      <c r="AX81" s="0" t="n">
        <f aca="false">IF((AT81)&gt;Inputs!$B$19,AW81/(AT81),1000000000)</f>
        <v>1000000000</v>
      </c>
      <c r="AY81" s="0" t="n">
        <f aca="false">IF((J81)&gt;0.000000001,(R81-I81-MAX(-M81,0))/(J81),1000000000)</f>
        <v>1000000000</v>
      </c>
      <c r="AZ81" s="0" t="n">
        <f aca="false">IF(OR(AX81&lt;Inputs!$B$24,AY81&lt;Inputs!$B$25),1,0)</f>
        <v>0</v>
      </c>
      <c r="BA81" s="0" t="n">
        <f aca="false">IF((AT81+AU81)&gt;Inputs!$B$19,AW81/(AT81+AU81),1000000000)</f>
        <v>1000000000</v>
      </c>
      <c r="BB81" s="0" t="n">
        <f aca="false">IF((J81+K81)&gt;0.000000001,(R81-I81-MAX(-M81,0))/(J81+K81),1000000000)</f>
        <v>1000000000</v>
      </c>
      <c r="BC81" s="0" t="n">
        <f aca="false">IF(OR(BA81&lt;Inputs!$B$29,BB81&lt;Inputs!$B$30),1,0)</f>
        <v>0</v>
      </c>
      <c r="BD81" s="0" t="n">
        <f aca="false">IF((AT81+AU81+AV81)&gt;Inputs!$B$19,AW81/(AT81+AU81+AV81),1000000000)</f>
        <v>1000000000</v>
      </c>
      <c r="BE81" s="0" t="n">
        <f aca="false">IF((J81+K81+L81)&gt;0.000000001,(R81-I81-MAX(-M81,0))/(J81+K81+L81),1000000000)</f>
        <v>1000000000</v>
      </c>
      <c r="BF81" s="0" t="n">
        <f aca="false">IF(OR(BD81&lt;Inputs!$B$34,BE81&lt;Inputs!$B$35),1,0)</f>
        <v>0</v>
      </c>
      <c r="BG81" s="0" t="n">
        <f aca="false">MAX(AZ81,BC81,BF81)</f>
        <v>0</v>
      </c>
      <c r="BH81" s="0" t="n">
        <f aca="false">MIN(R81,N81)</f>
        <v>2746.97942858784</v>
      </c>
      <c r="BI81" s="0" t="n">
        <f aca="false">R81-BH81</f>
        <v>44377.8589188179</v>
      </c>
      <c r="BJ81" s="0" t="n">
        <f aca="false">MIN(BI81,O81)</f>
        <v>0</v>
      </c>
      <c r="BK81" s="0" t="n">
        <f aca="false">BI81-BJ81</f>
        <v>44377.8589188179</v>
      </c>
      <c r="BL81" s="0" t="n">
        <f aca="false">AZ81*MIN(AT81,BK81)</f>
        <v>0</v>
      </c>
      <c r="BM81" s="0" t="n">
        <f aca="false">AZ81*MIN(AU81,BK81-BL81)</f>
        <v>0</v>
      </c>
      <c r="BN81" s="0" t="n">
        <f aca="false">AZ81*MIN(AV81,BK81-BL81-BM81)</f>
        <v>0</v>
      </c>
      <c r="BO81" s="0" t="n">
        <f aca="false">BK81-BL81-BM81-BN81</f>
        <v>44377.8589188179</v>
      </c>
      <c r="BP81" s="0" t="n">
        <f aca="false">MIN(BO81,P81)</f>
        <v>0</v>
      </c>
      <c r="BQ81" s="0" t="n">
        <f aca="false">BO81-BP81</f>
        <v>44377.8589188179</v>
      </c>
      <c r="BR81" s="0" t="n">
        <f aca="false">BC81*MIN((AT81-BL81),BQ81)</f>
        <v>0</v>
      </c>
      <c r="BS81" s="0" t="n">
        <f aca="false">BC81*MIN((AU81-BM81),BQ81-BR81)</f>
        <v>0</v>
      </c>
      <c r="BT81" s="0" t="n">
        <f aca="false">BC81*MIN((AV81-BN81),BQ81-BR81-BS81)</f>
        <v>0</v>
      </c>
      <c r="BU81" s="0" t="n">
        <f aca="false">BQ81-BR81-BS81-BT81</f>
        <v>44377.8589188179</v>
      </c>
      <c r="BV81" s="0" t="n">
        <f aca="false">MIN(BU81,Q81)</f>
        <v>0</v>
      </c>
      <c r="BW81" s="0" t="n">
        <f aca="false">BU81-BV81</f>
        <v>44377.8589188179</v>
      </c>
      <c r="BX81" s="0" t="n">
        <f aca="false">BF81*MIN((AT81-BL81-BR81),BW81)</f>
        <v>0</v>
      </c>
      <c r="BY81" s="0" t="n">
        <f aca="false">BF81*MIN((AU81-BM81-BS81),BW81-BX81)</f>
        <v>0</v>
      </c>
      <c r="BZ81" s="0" t="n">
        <f aca="false">BF81*MIN((AV81-BN81-BT81),BW81-BX81-BY81)</f>
        <v>0</v>
      </c>
      <c r="CA81" s="0" t="n">
        <f aca="false">BW81-BX81-BY81-BZ81</f>
        <v>44377.8589188179</v>
      </c>
      <c r="CB81" s="0" t="n">
        <f aca="false">MAX(0,AT81+AU81+AV81-BL81-BM81-BN81-BR81-BS81-BT81-BX81-BY81-BZ81-AW81)</f>
        <v>0</v>
      </c>
      <c r="CC81" s="0" t="n">
        <f aca="false">1*MIN((AT81-BL81-BR81-BX81),MIN(CA81,CB81))</f>
        <v>0</v>
      </c>
      <c r="CD81" s="0" t="n">
        <f aca="false">1*MIN((AU81-BM81-BS81-BY81),MIN(CA81,CB81)-CC81)</f>
        <v>0</v>
      </c>
      <c r="CE81" s="0" t="n">
        <f aca="false">1*MIN((AV81-BN81-BT81-BZ81),MIN(CA81,CB81)-CC81-CD81)</f>
        <v>0</v>
      </c>
      <c r="CF81" s="0" t="n">
        <f aca="false">CA81-CC81-CD81-CE81</f>
        <v>44377.8589188179</v>
      </c>
      <c r="CG81" s="0" t="n">
        <f aca="false">IF(C81+D81+E81&gt;Inputs!$B$19,MIN(CF81,MAX(0,Inputs!$B$15-DO80)),0)</f>
        <v>0</v>
      </c>
      <c r="CH81" s="0" t="n">
        <f aca="false">CF81-CG81</f>
        <v>44377.8589188179</v>
      </c>
      <c r="CI81" s="0" t="n">
        <f aca="false">DO80+CG81</f>
        <v>0</v>
      </c>
      <c r="CJ81" s="0" t="n">
        <f aca="false">MIN(MAX(N81-BH81,0),CI81)</f>
        <v>0</v>
      </c>
      <c r="CK81" s="0" t="n">
        <f aca="false">MIN(MAX(O81-BJ81,0),CI81-CJ81)</f>
        <v>0</v>
      </c>
      <c r="CL81" s="0" t="n">
        <f aca="false">MIN(MAX(P81-BP81,0),CI81-CJ81-CK81)</f>
        <v>0</v>
      </c>
      <c r="CM81" s="0" t="n">
        <f aca="false">CJ81+CK81+CL81</f>
        <v>0</v>
      </c>
      <c r="CN81" s="0" t="n">
        <f aca="false">CI81-CM81</f>
        <v>0</v>
      </c>
      <c r="CO81" s="0" t="n">
        <f aca="false">BH81+CJ81</f>
        <v>2746.97942858784</v>
      </c>
      <c r="CP81" s="0" t="n">
        <f aca="false">BJ81+CK81</f>
        <v>0</v>
      </c>
      <c r="CQ81" s="0" t="n">
        <f aca="false">BP81+CL81</f>
        <v>0</v>
      </c>
      <c r="CR81" s="0" t="n">
        <f aca="false">BV81</f>
        <v>0</v>
      </c>
      <c r="CS81" s="0" t="n">
        <f aca="false">AT81-BL81-BR81-BX81-CC81</f>
        <v>0</v>
      </c>
      <c r="CT81" s="0" t="n">
        <f aca="false">AU81-BM81-BS81-BY81-CD81</f>
        <v>0</v>
      </c>
      <c r="CU81" s="0" t="n">
        <f aca="false">AV81-BN81-BT81-BZ81-CE81</f>
        <v>0</v>
      </c>
      <c r="CV81" s="0" t="n">
        <f aca="false">MAX(0,CS81+CT81+CU81-AW81)</f>
        <v>0</v>
      </c>
      <c r="CW81" s="0" t="n">
        <f aca="false">MIN(CU81,CV81)</f>
        <v>0</v>
      </c>
      <c r="CX81" s="0" t="n">
        <f aca="false">MIN(CT81,CV81-CW81)</f>
        <v>0</v>
      </c>
      <c r="CY81" s="0" t="n">
        <f aca="false">MIN(CS81,CV81-CW81-CX81)</f>
        <v>0</v>
      </c>
      <c r="CZ81" s="0" t="n">
        <f aca="false">IF(CS81-CY81&lt;Inputs!$B$19,0,CS81-CY81)</f>
        <v>0</v>
      </c>
      <c r="DA81" s="0" t="n">
        <f aca="false">IF(CT81-CX81&lt;Inputs!$B$19,0,CT81-CX81)</f>
        <v>0</v>
      </c>
      <c r="DB81" s="0" t="n">
        <f aca="false">IF(CU81-CW81&lt;Inputs!$B$19,0,CU81-CW81)</f>
        <v>0</v>
      </c>
      <c r="DC81" s="0" t="n">
        <f aca="false">N81-CO81</f>
        <v>0</v>
      </c>
      <c r="DD81" s="0" t="n">
        <f aca="false">O81-CP81</f>
        <v>0</v>
      </c>
      <c r="DE81" s="0" t="n">
        <f aca="false">P81-CQ81</f>
        <v>0</v>
      </c>
      <c r="DF81" s="0" t="n">
        <f aca="false">Q81-CR81</f>
        <v>0</v>
      </c>
      <c r="DG81" s="0" t="n">
        <f aca="false">IF(CZ81+DA81+DB81&lt;=Inputs!$B$19,1,0)</f>
        <v>1</v>
      </c>
      <c r="DH81" s="0" t="n">
        <f aca="false">DG81*CN81</f>
        <v>0</v>
      </c>
      <c r="DI81" s="0" t="n">
        <f aca="false">DG81*(AS81+DH81)</f>
        <v>616556.75423179</v>
      </c>
      <c r="DJ81" s="0" t="n">
        <f aca="false">DG81*MIN(DC81,DI81)</f>
        <v>0</v>
      </c>
      <c r="DK81" s="0" t="n">
        <f aca="false">DG81*MIN(DD81,DI81-DJ81)</f>
        <v>0</v>
      </c>
      <c r="DL81" s="0" t="n">
        <f aca="false">DG81*MIN(DE81,DI81-DJ81-DK81)</f>
        <v>0</v>
      </c>
      <c r="DM81" s="0" t="n">
        <f aca="false">DG81*MIN(DF81,DI81-DJ81-DK81-DL81)</f>
        <v>0</v>
      </c>
      <c r="DN81" s="0" t="n">
        <f aca="false">DJ81+DK81+DL81+DM81</f>
        <v>0</v>
      </c>
      <c r="DO81" s="0" t="n">
        <f aca="false">CN81-DH81</f>
        <v>0</v>
      </c>
      <c r="DP81" s="0" t="n">
        <f aca="false">DC81-DJ81</f>
        <v>0</v>
      </c>
      <c r="DQ81" s="0" t="n">
        <f aca="false">DD81-DK81</f>
        <v>0</v>
      </c>
      <c r="DR81" s="0" t="n">
        <f aca="false">DE81-DL81</f>
        <v>0</v>
      </c>
      <c r="DS81" s="0" t="n">
        <f aca="false">DF81-DM81</f>
        <v>0</v>
      </c>
      <c r="DT81" s="0" t="n">
        <f aca="false">CO81+DJ81</f>
        <v>2746.97942858784</v>
      </c>
      <c r="DU81" s="0" t="n">
        <f aca="false">CP81+DK81</f>
        <v>0</v>
      </c>
      <c r="DV81" s="0" t="n">
        <f aca="false">AP81+BL81+BR81+BX81+CC81</f>
        <v>0</v>
      </c>
      <c r="DW81" s="0" t="n">
        <f aca="false">CQ81+DL81</f>
        <v>0</v>
      </c>
      <c r="DX81" s="0" t="n">
        <f aca="false">AQ81+BM81+BS81+BY81+CD81</f>
        <v>0</v>
      </c>
      <c r="DY81" s="0" t="n">
        <f aca="false">CR81+DM81</f>
        <v>0</v>
      </c>
      <c r="DZ81" s="0" t="n">
        <f aca="false">AR81+BN81+BT81+BZ81+CE81</f>
        <v>0</v>
      </c>
      <c r="EA81" s="0" t="n">
        <f aca="false">DI81-DN81</f>
        <v>616556.75423179</v>
      </c>
      <c r="EB81" s="0" t="n">
        <f aca="false">CH81+EA81</f>
        <v>660934.613150608</v>
      </c>
      <c r="EC81" s="0" t="n">
        <f aca="false">R81-I81-MAX(-M81,0)-J81-K81-L81</f>
        <v>44377.8589188179</v>
      </c>
      <c r="ED81" s="0" t="n">
        <f aca="false">R81+S81+CM81+DH81-CG81-DT81-DU81-DW81-DY81-DV81-DX81-DZ81-EB81</f>
        <v>0</v>
      </c>
      <c r="EE81" s="0" t="n">
        <f aca="false">IF(AND(EB81&gt;0.000001,DP81+DQ81+DR81+DS81&gt;0.000001),1,0)</f>
        <v>0</v>
      </c>
    </row>
    <row r="82" customFormat="false" ht="15" hidden="false" customHeight="false" outlineLevel="0" collapsed="false">
      <c r="A82" s="0" t="n">
        <f aca="false">ROW()-5</f>
        <v>77</v>
      </c>
      <c r="B82" s="0" t="n">
        <f aca="false">Inputs!$B$11+(Inputs!$B$12-Inputs!$B$11)*(1-EXP(-A82/Inputs!$B$13))+Inputs!$B$8</f>
        <v>0.0329244512689496</v>
      </c>
      <c r="C82" s="0" t="n">
        <f aca="false">CZ81</f>
        <v>0</v>
      </c>
      <c r="D82" s="0" t="n">
        <f aca="false">DA81</f>
        <v>0</v>
      </c>
      <c r="E82" s="0" t="n">
        <f aca="false">DB81</f>
        <v>0</v>
      </c>
      <c r="F82" s="0" t="n">
        <f aca="false">IF(Inputs!$B$22=1,B82+Inputs!$B$23,Inputs!$B$23)/12</f>
        <v>0.00366037093907914</v>
      </c>
      <c r="G82" s="0" t="n">
        <f aca="false">IF(Inputs!$B$27=1,B82+Inputs!$B$28,Inputs!$B$28)/12</f>
        <v>0.00461870427241247</v>
      </c>
      <c r="H82" s="0" t="n">
        <f aca="false">IF(Inputs!$B$32=1,B82+Inputs!$B$33,Inputs!$B$33)/12</f>
        <v>0.00625</v>
      </c>
      <c r="I82" s="0" t="n">
        <f aca="false">Pool!BT82*Inputs!$B$14/12</f>
        <v>2425.0150281576</v>
      </c>
      <c r="J82" s="0" t="n">
        <f aca="false">C82*F82</f>
        <v>0</v>
      </c>
      <c r="K82" s="0" t="n">
        <f aca="false">D82*G82</f>
        <v>0</v>
      </c>
      <c r="L82" s="0" t="n">
        <f aca="false">E82*H82</f>
        <v>0</v>
      </c>
      <c r="M82" s="0" t="n">
        <f aca="false">Inputs!$B$17*(C82*Inputs!$B$22+D82*Inputs!$B$27+E82*Inputs!$B$32)*(B82-Inputs!$B$18)/12</f>
        <v>-0</v>
      </c>
      <c r="N82" s="0" t="n">
        <f aca="false">DP81+I82+MAX(-M82,0)</f>
        <v>2425.0150281576</v>
      </c>
      <c r="O82" s="0" t="n">
        <f aca="false">DQ81+J82</f>
        <v>0</v>
      </c>
      <c r="P82" s="0" t="n">
        <f aca="false">DR81+K82</f>
        <v>0</v>
      </c>
      <c r="Q82" s="0" t="n">
        <f aca="false">DS81+L82</f>
        <v>0</v>
      </c>
      <c r="R82" s="0" t="n">
        <f aca="false">Pool!BV82+MAX(M82,0)</f>
        <v>41601.5861049181</v>
      </c>
      <c r="S82" s="0" t="n">
        <f aca="false">Pool!BW82+Pool!BX82+Pool!BZ82</f>
        <v>607985.672640333</v>
      </c>
      <c r="T82" s="0" t="n">
        <f aca="false">MAX(T81,BG81)</f>
        <v>1</v>
      </c>
      <c r="U82" s="0" t="n">
        <f aca="false">MIN(C82,S82)</f>
        <v>0</v>
      </c>
      <c r="V82" s="0" t="n">
        <f aca="false">MIN(D82,S82-U82)</f>
        <v>0</v>
      </c>
      <c r="W82" s="0" t="n">
        <f aca="false">MIN(E82,S82-U82-V82)</f>
        <v>0</v>
      </c>
      <c r="X82" s="0" t="n">
        <f aca="false">IF(C82-(0)&gt;Inputs!$B$19,1,0)</f>
        <v>0</v>
      </c>
      <c r="Y82" s="0" t="n">
        <f aca="false">IF(D82-(0)&gt;Inputs!$B$19,1,0)</f>
        <v>0</v>
      </c>
      <c r="Z82" s="0" t="n">
        <f aca="false">IF(E82-(0)&gt;Inputs!$B$19,1,0)</f>
        <v>0</v>
      </c>
      <c r="AA82" s="0" t="n">
        <f aca="false">IF((X82*C82+Y82*D82+Z82*E82)&gt;0,MIN(C82-(0),S82*X82*C82/(X82*C82+Y82*D82+Z82*E82)),0)</f>
        <v>0</v>
      </c>
      <c r="AB82" s="0" t="n">
        <f aca="false">IF((X82*C82+Y82*D82+Z82*E82)&gt;0,MIN(D82-(0),S82*Y82*D82/(X82*C82+Y82*D82+Z82*E82)),0)</f>
        <v>0</v>
      </c>
      <c r="AC82" s="0" t="n">
        <f aca="false">IF((X82*C82+Y82*D82+Z82*E82)&gt;0,MIN(E82-(0),S82*Z82*E82/(X82*C82+Y82*D82+Z82*E82)),0)</f>
        <v>0</v>
      </c>
      <c r="AD82" s="0" t="n">
        <f aca="false">IF(C82-(AA82)&gt;Inputs!$B$19,1,0)</f>
        <v>0</v>
      </c>
      <c r="AE82" s="0" t="n">
        <f aca="false">IF(D82-(AB82)&gt;Inputs!$B$19,1,0)</f>
        <v>0</v>
      </c>
      <c r="AF82" s="0" t="n">
        <f aca="false">IF(E82-(AC82)&gt;Inputs!$B$19,1,0)</f>
        <v>0</v>
      </c>
      <c r="AG82" s="0" t="n">
        <f aca="false">IF((AD82*C82+AE82*D82+AF82*E82)&gt;0,MIN(C82-(AA82),(S82-(AA82+AB82+AC82))*AD82*C82/(AD82*C82+AE82*D82+AF82*E82)),0)</f>
        <v>0</v>
      </c>
      <c r="AH82" s="0" t="n">
        <f aca="false">IF((AD82*C82+AE82*D82+AF82*E82)&gt;0,MIN(D82-(AB82),(S82-(AA82+AB82+AC82))*AE82*D82/(AD82*C82+AE82*D82+AF82*E82)),0)</f>
        <v>0</v>
      </c>
      <c r="AI82" s="0" t="n">
        <f aca="false">IF((AD82*C82+AE82*D82+AF82*E82)&gt;0,MIN(E82-(AC82),(S82-(AA82+AB82+AC82))*AF82*E82/(AD82*C82+AE82*D82+AF82*E82)),0)</f>
        <v>0</v>
      </c>
      <c r="AJ82" s="0" t="n">
        <f aca="false">IF(C82-(AA82+AG82)&gt;Inputs!$B$19,1,0)</f>
        <v>0</v>
      </c>
      <c r="AK82" s="0" t="n">
        <f aca="false">IF(D82-(AB82+AH82)&gt;Inputs!$B$19,1,0)</f>
        <v>0</v>
      </c>
      <c r="AL82" s="0" t="n">
        <f aca="false">IF(E82-(AC82+AI82)&gt;Inputs!$B$19,1,0)</f>
        <v>0</v>
      </c>
      <c r="AM82" s="0" t="n">
        <f aca="false">IF((AJ82*C82+AK82*D82+AL82*E82)&gt;0,MIN(C82-(AA82+AG82),(S82-(AA82+AB82+AC82+AG82+AH82+AI82))*AJ82*C82/(AJ82*C82+AK82*D82+AL82*E82)),0)</f>
        <v>0</v>
      </c>
      <c r="AN82" s="0" t="n">
        <f aca="false">IF((AJ82*C82+AK82*D82+AL82*E82)&gt;0,MIN(D82-(AB82+AH82),(S82-(AA82+AB82+AC82+AG82+AH82+AI82))*AK82*D82/(AJ82*C82+AK82*D82+AL82*E82)),0)</f>
        <v>0</v>
      </c>
      <c r="AO82" s="0" t="n">
        <f aca="false">IF((AJ82*C82+AK82*D82+AL82*E82)&gt;0,MIN(E82-(AC82+AI82),(S82-(AA82+AB82+AC82+AG82+AH82+AI82))*AL82*E82/(AJ82*C82+AK82*D82+AL82*E82)),0)</f>
        <v>0</v>
      </c>
      <c r="AP82" s="0" t="n">
        <f aca="false">IF(T82=1,U82,AA82+AG82+AM82)</f>
        <v>0</v>
      </c>
      <c r="AQ82" s="0" t="n">
        <f aca="false">IF(T82=1,V82,AB82+AH82+AN82)</f>
        <v>0</v>
      </c>
      <c r="AR82" s="0" t="n">
        <f aca="false">IF(T82=1,W82,AC82+AI82+AO82)</f>
        <v>0</v>
      </c>
      <c r="AS82" s="0" t="n">
        <f aca="false">S82-AP82-AQ82-AR82</f>
        <v>607985.672640333</v>
      </c>
      <c r="AT82" s="0" t="n">
        <f aca="false">C82-AP82</f>
        <v>0</v>
      </c>
      <c r="AU82" s="0" t="n">
        <f aca="false">D82-AQ82</f>
        <v>0</v>
      </c>
      <c r="AV82" s="0" t="n">
        <f aca="false">E82-AR82</f>
        <v>0</v>
      </c>
      <c r="AW82" s="0" t="n">
        <f aca="false">Pool!CB82</f>
        <v>4071300.63371583</v>
      </c>
      <c r="AX82" s="0" t="n">
        <f aca="false">IF((AT82)&gt;Inputs!$B$19,AW82/(AT82),1000000000)</f>
        <v>1000000000</v>
      </c>
      <c r="AY82" s="0" t="n">
        <f aca="false">IF((J82)&gt;0.000000001,(R82-I82-MAX(-M82,0))/(J82),1000000000)</f>
        <v>1000000000</v>
      </c>
      <c r="AZ82" s="0" t="n">
        <f aca="false">IF(OR(AX82&lt;Inputs!$B$24,AY82&lt;Inputs!$B$25),1,0)</f>
        <v>0</v>
      </c>
      <c r="BA82" s="0" t="n">
        <f aca="false">IF((AT82+AU82)&gt;Inputs!$B$19,AW82/(AT82+AU82),1000000000)</f>
        <v>1000000000</v>
      </c>
      <c r="BB82" s="0" t="n">
        <f aca="false">IF((J82+K82)&gt;0.000000001,(R82-I82-MAX(-M82,0))/(J82+K82),1000000000)</f>
        <v>1000000000</v>
      </c>
      <c r="BC82" s="0" t="n">
        <f aca="false">IF(OR(BA82&lt;Inputs!$B$29,BB82&lt;Inputs!$B$30),1,0)</f>
        <v>0</v>
      </c>
      <c r="BD82" s="0" t="n">
        <f aca="false">IF((AT82+AU82+AV82)&gt;Inputs!$B$19,AW82/(AT82+AU82+AV82),1000000000)</f>
        <v>1000000000</v>
      </c>
      <c r="BE82" s="0" t="n">
        <f aca="false">IF((J82+K82+L82)&gt;0.000000001,(R82-I82-MAX(-M82,0))/(J82+K82+L82),1000000000)</f>
        <v>1000000000</v>
      </c>
      <c r="BF82" s="0" t="n">
        <f aca="false">IF(OR(BD82&lt;Inputs!$B$34,BE82&lt;Inputs!$B$35),1,0)</f>
        <v>0</v>
      </c>
      <c r="BG82" s="0" t="n">
        <f aca="false">MAX(AZ82,BC82,BF82)</f>
        <v>0</v>
      </c>
      <c r="BH82" s="0" t="n">
        <f aca="false">MIN(R82,N82)</f>
        <v>2425.0150281576</v>
      </c>
      <c r="BI82" s="0" t="n">
        <f aca="false">R82-BH82</f>
        <v>39176.5710767605</v>
      </c>
      <c r="BJ82" s="0" t="n">
        <f aca="false">MIN(BI82,O82)</f>
        <v>0</v>
      </c>
      <c r="BK82" s="0" t="n">
        <f aca="false">BI82-BJ82</f>
        <v>39176.5710767605</v>
      </c>
      <c r="BL82" s="0" t="n">
        <f aca="false">AZ82*MIN(AT82,BK82)</f>
        <v>0</v>
      </c>
      <c r="BM82" s="0" t="n">
        <f aca="false">AZ82*MIN(AU82,BK82-BL82)</f>
        <v>0</v>
      </c>
      <c r="BN82" s="0" t="n">
        <f aca="false">AZ82*MIN(AV82,BK82-BL82-BM82)</f>
        <v>0</v>
      </c>
      <c r="BO82" s="0" t="n">
        <f aca="false">BK82-BL82-BM82-BN82</f>
        <v>39176.5710767605</v>
      </c>
      <c r="BP82" s="0" t="n">
        <f aca="false">MIN(BO82,P82)</f>
        <v>0</v>
      </c>
      <c r="BQ82" s="0" t="n">
        <f aca="false">BO82-BP82</f>
        <v>39176.5710767605</v>
      </c>
      <c r="BR82" s="0" t="n">
        <f aca="false">BC82*MIN((AT82-BL82),BQ82)</f>
        <v>0</v>
      </c>
      <c r="BS82" s="0" t="n">
        <f aca="false">BC82*MIN((AU82-BM82),BQ82-BR82)</f>
        <v>0</v>
      </c>
      <c r="BT82" s="0" t="n">
        <f aca="false">BC82*MIN((AV82-BN82),BQ82-BR82-BS82)</f>
        <v>0</v>
      </c>
      <c r="BU82" s="0" t="n">
        <f aca="false">BQ82-BR82-BS82-BT82</f>
        <v>39176.5710767605</v>
      </c>
      <c r="BV82" s="0" t="n">
        <f aca="false">MIN(BU82,Q82)</f>
        <v>0</v>
      </c>
      <c r="BW82" s="0" t="n">
        <f aca="false">BU82-BV82</f>
        <v>39176.5710767605</v>
      </c>
      <c r="BX82" s="0" t="n">
        <f aca="false">BF82*MIN((AT82-BL82-BR82),BW82)</f>
        <v>0</v>
      </c>
      <c r="BY82" s="0" t="n">
        <f aca="false">BF82*MIN((AU82-BM82-BS82),BW82-BX82)</f>
        <v>0</v>
      </c>
      <c r="BZ82" s="0" t="n">
        <f aca="false">BF82*MIN((AV82-BN82-BT82),BW82-BX82-BY82)</f>
        <v>0</v>
      </c>
      <c r="CA82" s="0" t="n">
        <f aca="false">BW82-BX82-BY82-BZ82</f>
        <v>39176.5710767605</v>
      </c>
      <c r="CB82" s="0" t="n">
        <f aca="false">MAX(0,AT82+AU82+AV82-BL82-BM82-BN82-BR82-BS82-BT82-BX82-BY82-BZ82-AW82)</f>
        <v>0</v>
      </c>
      <c r="CC82" s="0" t="n">
        <f aca="false">1*MIN((AT82-BL82-BR82-BX82),MIN(CA82,CB82))</f>
        <v>0</v>
      </c>
      <c r="CD82" s="0" t="n">
        <f aca="false">1*MIN((AU82-BM82-BS82-BY82),MIN(CA82,CB82)-CC82)</f>
        <v>0</v>
      </c>
      <c r="CE82" s="0" t="n">
        <f aca="false">1*MIN((AV82-BN82-BT82-BZ82),MIN(CA82,CB82)-CC82-CD82)</f>
        <v>0</v>
      </c>
      <c r="CF82" s="0" t="n">
        <f aca="false">CA82-CC82-CD82-CE82</f>
        <v>39176.5710767605</v>
      </c>
      <c r="CG82" s="0" t="n">
        <f aca="false">IF(C82+D82+E82&gt;Inputs!$B$19,MIN(CF82,MAX(0,Inputs!$B$15-DO81)),0)</f>
        <v>0</v>
      </c>
      <c r="CH82" s="0" t="n">
        <f aca="false">CF82-CG82</f>
        <v>39176.5710767605</v>
      </c>
      <c r="CI82" s="0" t="n">
        <f aca="false">DO81+CG82</f>
        <v>0</v>
      </c>
      <c r="CJ82" s="0" t="n">
        <f aca="false">MIN(MAX(N82-BH82,0),CI82)</f>
        <v>0</v>
      </c>
      <c r="CK82" s="0" t="n">
        <f aca="false">MIN(MAX(O82-BJ82,0),CI82-CJ82)</f>
        <v>0</v>
      </c>
      <c r="CL82" s="0" t="n">
        <f aca="false">MIN(MAX(P82-BP82,0),CI82-CJ82-CK82)</f>
        <v>0</v>
      </c>
      <c r="CM82" s="0" t="n">
        <f aca="false">CJ82+CK82+CL82</f>
        <v>0</v>
      </c>
      <c r="CN82" s="0" t="n">
        <f aca="false">CI82-CM82</f>
        <v>0</v>
      </c>
      <c r="CO82" s="0" t="n">
        <f aca="false">BH82+CJ82</f>
        <v>2425.0150281576</v>
      </c>
      <c r="CP82" s="0" t="n">
        <f aca="false">BJ82+CK82</f>
        <v>0</v>
      </c>
      <c r="CQ82" s="0" t="n">
        <f aca="false">BP82+CL82</f>
        <v>0</v>
      </c>
      <c r="CR82" s="0" t="n">
        <f aca="false">BV82</f>
        <v>0</v>
      </c>
      <c r="CS82" s="0" t="n">
        <f aca="false">AT82-BL82-BR82-BX82-CC82</f>
        <v>0</v>
      </c>
      <c r="CT82" s="0" t="n">
        <f aca="false">AU82-BM82-BS82-BY82-CD82</f>
        <v>0</v>
      </c>
      <c r="CU82" s="0" t="n">
        <f aca="false">AV82-BN82-BT82-BZ82-CE82</f>
        <v>0</v>
      </c>
      <c r="CV82" s="0" t="n">
        <f aca="false">MAX(0,CS82+CT82+CU82-AW82)</f>
        <v>0</v>
      </c>
      <c r="CW82" s="0" t="n">
        <f aca="false">MIN(CU82,CV82)</f>
        <v>0</v>
      </c>
      <c r="CX82" s="0" t="n">
        <f aca="false">MIN(CT82,CV82-CW82)</f>
        <v>0</v>
      </c>
      <c r="CY82" s="0" t="n">
        <f aca="false">MIN(CS82,CV82-CW82-CX82)</f>
        <v>0</v>
      </c>
      <c r="CZ82" s="0" t="n">
        <f aca="false">IF(CS82-CY82&lt;Inputs!$B$19,0,CS82-CY82)</f>
        <v>0</v>
      </c>
      <c r="DA82" s="0" t="n">
        <f aca="false">IF(CT82-CX82&lt;Inputs!$B$19,0,CT82-CX82)</f>
        <v>0</v>
      </c>
      <c r="DB82" s="0" t="n">
        <f aca="false">IF(CU82-CW82&lt;Inputs!$B$19,0,CU82-CW82)</f>
        <v>0</v>
      </c>
      <c r="DC82" s="0" t="n">
        <f aca="false">N82-CO82</f>
        <v>0</v>
      </c>
      <c r="DD82" s="0" t="n">
        <f aca="false">O82-CP82</f>
        <v>0</v>
      </c>
      <c r="DE82" s="0" t="n">
        <f aca="false">P82-CQ82</f>
        <v>0</v>
      </c>
      <c r="DF82" s="0" t="n">
        <f aca="false">Q82-CR82</f>
        <v>0</v>
      </c>
      <c r="DG82" s="0" t="n">
        <f aca="false">IF(CZ82+DA82+DB82&lt;=Inputs!$B$19,1,0)</f>
        <v>1</v>
      </c>
      <c r="DH82" s="0" t="n">
        <f aca="false">DG82*CN82</f>
        <v>0</v>
      </c>
      <c r="DI82" s="0" t="n">
        <f aca="false">DG82*(AS82+DH82)</f>
        <v>607985.672640333</v>
      </c>
      <c r="DJ82" s="0" t="n">
        <f aca="false">DG82*MIN(DC82,DI82)</f>
        <v>0</v>
      </c>
      <c r="DK82" s="0" t="n">
        <f aca="false">DG82*MIN(DD82,DI82-DJ82)</f>
        <v>0</v>
      </c>
      <c r="DL82" s="0" t="n">
        <f aca="false">DG82*MIN(DE82,DI82-DJ82-DK82)</f>
        <v>0</v>
      </c>
      <c r="DM82" s="0" t="n">
        <f aca="false">DG82*MIN(DF82,DI82-DJ82-DK82-DL82)</f>
        <v>0</v>
      </c>
      <c r="DN82" s="0" t="n">
        <f aca="false">DJ82+DK82+DL82+DM82</f>
        <v>0</v>
      </c>
      <c r="DO82" s="0" t="n">
        <f aca="false">CN82-DH82</f>
        <v>0</v>
      </c>
      <c r="DP82" s="0" t="n">
        <f aca="false">DC82-DJ82</f>
        <v>0</v>
      </c>
      <c r="DQ82" s="0" t="n">
        <f aca="false">DD82-DK82</f>
        <v>0</v>
      </c>
      <c r="DR82" s="0" t="n">
        <f aca="false">DE82-DL82</f>
        <v>0</v>
      </c>
      <c r="DS82" s="0" t="n">
        <f aca="false">DF82-DM82</f>
        <v>0</v>
      </c>
      <c r="DT82" s="0" t="n">
        <f aca="false">CO82+DJ82</f>
        <v>2425.0150281576</v>
      </c>
      <c r="DU82" s="0" t="n">
        <f aca="false">CP82+DK82</f>
        <v>0</v>
      </c>
      <c r="DV82" s="0" t="n">
        <f aca="false">AP82+BL82+BR82+BX82+CC82</f>
        <v>0</v>
      </c>
      <c r="DW82" s="0" t="n">
        <f aca="false">CQ82+DL82</f>
        <v>0</v>
      </c>
      <c r="DX82" s="0" t="n">
        <f aca="false">AQ82+BM82+BS82+BY82+CD82</f>
        <v>0</v>
      </c>
      <c r="DY82" s="0" t="n">
        <f aca="false">CR82+DM82</f>
        <v>0</v>
      </c>
      <c r="DZ82" s="0" t="n">
        <f aca="false">AR82+BN82+BT82+BZ82+CE82</f>
        <v>0</v>
      </c>
      <c r="EA82" s="0" t="n">
        <f aca="false">DI82-DN82</f>
        <v>607985.672640333</v>
      </c>
      <c r="EB82" s="0" t="n">
        <f aca="false">CH82+EA82</f>
        <v>647162.243717094</v>
      </c>
      <c r="EC82" s="0" t="n">
        <f aca="false">R82-I82-MAX(-M82,0)-J82-K82-L82</f>
        <v>39176.5710767605</v>
      </c>
      <c r="ED82" s="0" t="n">
        <f aca="false">R82+S82+CM82+DH82-CG82-DT82-DU82-DW82-DY82-DV82-DX82-DZ82-EB82</f>
        <v>0</v>
      </c>
      <c r="EE82" s="0" t="n">
        <f aca="false">IF(AND(EB82&gt;0.000001,DP82+DQ82+DR82+DS82&gt;0.000001),1,0)</f>
        <v>0</v>
      </c>
    </row>
    <row r="83" customFormat="false" ht="15" hidden="false" customHeight="false" outlineLevel="0" collapsed="false">
      <c r="A83" s="0" t="n">
        <f aca="false">ROW()-5</f>
        <v>78</v>
      </c>
      <c r="B83" s="0" t="n">
        <f aca="false">Inputs!$B$11+(Inputs!$B$12-Inputs!$B$11)*(1-EXP(-A83/Inputs!$B$13))+Inputs!$B$8</f>
        <v>0.0329071291822331</v>
      </c>
      <c r="C83" s="0" t="n">
        <f aca="false">CZ82</f>
        <v>0</v>
      </c>
      <c r="D83" s="0" t="n">
        <f aca="false">DA82</f>
        <v>0</v>
      </c>
      <c r="E83" s="0" t="n">
        <f aca="false">DB82</f>
        <v>0</v>
      </c>
      <c r="F83" s="0" t="n">
        <f aca="false">IF(Inputs!$B$22=1,B83+Inputs!$B$23,Inputs!$B$23)/12</f>
        <v>0.00365892743185276</v>
      </c>
      <c r="G83" s="0" t="n">
        <f aca="false">IF(Inputs!$B$27=1,B83+Inputs!$B$28,Inputs!$B$28)/12</f>
        <v>0.00461726076518609</v>
      </c>
      <c r="H83" s="0" t="n">
        <f aca="false">IF(Inputs!$B$32=1,B83+Inputs!$B$33,Inputs!$B$33)/12</f>
        <v>0.00625</v>
      </c>
      <c r="I83" s="0" t="n">
        <f aca="false">Pool!BT83*Inputs!$B$14/12</f>
        <v>2107.35143019635</v>
      </c>
      <c r="J83" s="0" t="n">
        <f aca="false">C83*F83</f>
        <v>0</v>
      </c>
      <c r="K83" s="0" t="n">
        <f aca="false">D83*G83</f>
        <v>0</v>
      </c>
      <c r="L83" s="0" t="n">
        <f aca="false">E83*H83</f>
        <v>0</v>
      </c>
      <c r="M83" s="0" t="n">
        <f aca="false">Inputs!$B$17*(C83*Inputs!$B$22+D83*Inputs!$B$27+E83*Inputs!$B$32)*(B83-Inputs!$B$18)/12</f>
        <v>-0</v>
      </c>
      <c r="N83" s="0" t="n">
        <f aca="false">DP82+I83+MAX(-M83,0)</f>
        <v>2107.35143019635</v>
      </c>
      <c r="O83" s="0" t="n">
        <f aca="false">DQ82+J83</f>
        <v>0</v>
      </c>
      <c r="P83" s="0" t="n">
        <f aca="false">DR82+K83</f>
        <v>0</v>
      </c>
      <c r="Q83" s="0" t="n">
        <f aca="false">DS82+L83</f>
        <v>0</v>
      </c>
      <c r="R83" s="0" t="n">
        <f aca="false">Pool!BV83+MAX(M83,0)</f>
        <v>36152.0902140059</v>
      </c>
      <c r="S83" s="0" t="n">
        <f aca="false">Pool!BW83+Pool!BX83+Pool!BZ83</f>
        <v>599515.448176433</v>
      </c>
      <c r="T83" s="0" t="n">
        <f aca="false">MAX(T82,BG82)</f>
        <v>1</v>
      </c>
      <c r="U83" s="0" t="n">
        <f aca="false">MIN(C83,S83)</f>
        <v>0</v>
      </c>
      <c r="V83" s="0" t="n">
        <f aca="false">MIN(D83,S83-U83)</f>
        <v>0</v>
      </c>
      <c r="W83" s="0" t="n">
        <f aca="false">MIN(E83,S83-U83-V83)</f>
        <v>0</v>
      </c>
      <c r="X83" s="0" t="n">
        <f aca="false">IF(C83-(0)&gt;Inputs!$B$19,1,0)</f>
        <v>0</v>
      </c>
      <c r="Y83" s="0" t="n">
        <f aca="false">IF(D83-(0)&gt;Inputs!$B$19,1,0)</f>
        <v>0</v>
      </c>
      <c r="Z83" s="0" t="n">
        <f aca="false">IF(E83-(0)&gt;Inputs!$B$19,1,0)</f>
        <v>0</v>
      </c>
      <c r="AA83" s="0" t="n">
        <f aca="false">IF((X83*C83+Y83*D83+Z83*E83)&gt;0,MIN(C83-(0),S83*X83*C83/(X83*C83+Y83*D83+Z83*E83)),0)</f>
        <v>0</v>
      </c>
      <c r="AB83" s="0" t="n">
        <f aca="false">IF((X83*C83+Y83*D83+Z83*E83)&gt;0,MIN(D83-(0),S83*Y83*D83/(X83*C83+Y83*D83+Z83*E83)),0)</f>
        <v>0</v>
      </c>
      <c r="AC83" s="0" t="n">
        <f aca="false">IF((X83*C83+Y83*D83+Z83*E83)&gt;0,MIN(E83-(0),S83*Z83*E83/(X83*C83+Y83*D83+Z83*E83)),0)</f>
        <v>0</v>
      </c>
      <c r="AD83" s="0" t="n">
        <f aca="false">IF(C83-(AA83)&gt;Inputs!$B$19,1,0)</f>
        <v>0</v>
      </c>
      <c r="AE83" s="0" t="n">
        <f aca="false">IF(D83-(AB83)&gt;Inputs!$B$19,1,0)</f>
        <v>0</v>
      </c>
      <c r="AF83" s="0" t="n">
        <f aca="false">IF(E83-(AC83)&gt;Inputs!$B$19,1,0)</f>
        <v>0</v>
      </c>
      <c r="AG83" s="0" t="n">
        <f aca="false">IF((AD83*C83+AE83*D83+AF83*E83)&gt;0,MIN(C83-(AA83),(S83-(AA83+AB83+AC83))*AD83*C83/(AD83*C83+AE83*D83+AF83*E83)),0)</f>
        <v>0</v>
      </c>
      <c r="AH83" s="0" t="n">
        <f aca="false">IF((AD83*C83+AE83*D83+AF83*E83)&gt;0,MIN(D83-(AB83),(S83-(AA83+AB83+AC83))*AE83*D83/(AD83*C83+AE83*D83+AF83*E83)),0)</f>
        <v>0</v>
      </c>
      <c r="AI83" s="0" t="n">
        <f aca="false">IF((AD83*C83+AE83*D83+AF83*E83)&gt;0,MIN(E83-(AC83),(S83-(AA83+AB83+AC83))*AF83*E83/(AD83*C83+AE83*D83+AF83*E83)),0)</f>
        <v>0</v>
      </c>
      <c r="AJ83" s="0" t="n">
        <f aca="false">IF(C83-(AA83+AG83)&gt;Inputs!$B$19,1,0)</f>
        <v>0</v>
      </c>
      <c r="AK83" s="0" t="n">
        <f aca="false">IF(D83-(AB83+AH83)&gt;Inputs!$B$19,1,0)</f>
        <v>0</v>
      </c>
      <c r="AL83" s="0" t="n">
        <f aca="false">IF(E83-(AC83+AI83)&gt;Inputs!$B$19,1,0)</f>
        <v>0</v>
      </c>
      <c r="AM83" s="0" t="n">
        <f aca="false">IF((AJ83*C83+AK83*D83+AL83*E83)&gt;0,MIN(C83-(AA83+AG83),(S83-(AA83+AB83+AC83+AG83+AH83+AI83))*AJ83*C83/(AJ83*C83+AK83*D83+AL83*E83)),0)</f>
        <v>0</v>
      </c>
      <c r="AN83" s="0" t="n">
        <f aca="false">IF((AJ83*C83+AK83*D83+AL83*E83)&gt;0,MIN(D83-(AB83+AH83),(S83-(AA83+AB83+AC83+AG83+AH83+AI83))*AK83*D83/(AJ83*C83+AK83*D83+AL83*E83)),0)</f>
        <v>0</v>
      </c>
      <c r="AO83" s="0" t="n">
        <f aca="false">IF((AJ83*C83+AK83*D83+AL83*E83)&gt;0,MIN(E83-(AC83+AI83),(S83-(AA83+AB83+AC83+AG83+AH83+AI83))*AL83*E83/(AJ83*C83+AK83*D83+AL83*E83)),0)</f>
        <v>0</v>
      </c>
      <c r="AP83" s="0" t="n">
        <f aca="false">IF(T83=1,U83,AA83+AG83+AM83)</f>
        <v>0</v>
      </c>
      <c r="AQ83" s="0" t="n">
        <f aca="false">IF(T83=1,V83,AB83+AH83+AN83)</f>
        <v>0</v>
      </c>
      <c r="AR83" s="0" t="n">
        <f aca="false">IF(T83=1,W83,AC83+AI83+AO83)</f>
        <v>0</v>
      </c>
      <c r="AS83" s="0" t="n">
        <f aca="false">S83-AP83-AQ83-AR83</f>
        <v>599515.448176433</v>
      </c>
      <c r="AT83" s="0" t="n">
        <f aca="false">C83-AP83</f>
        <v>0</v>
      </c>
      <c r="AU83" s="0" t="n">
        <f aca="false">D83-AQ83</f>
        <v>0</v>
      </c>
      <c r="AV83" s="0" t="n">
        <f aca="false">E83-AR83</f>
        <v>0</v>
      </c>
      <c r="AW83" s="0" t="n">
        <f aca="false">Pool!CB83</f>
        <v>3467714.90872264</v>
      </c>
      <c r="AX83" s="0" t="n">
        <f aca="false">IF((AT83)&gt;Inputs!$B$19,AW83/(AT83),1000000000)</f>
        <v>1000000000</v>
      </c>
      <c r="AY83" s="0" t="n">
        <f aca="false">IF((J83)&gt;0.000000001,(R83-I83-MAX(-M83,0))/(J83),1000000000)</f>
        <v>1000000000</v>
      </c>
      <c r="AZ83" s="0" t="n">
        <f aca="false">IF(OR(AX83&lt;Inputs!$B$24,AY83&lt;Inputs!$B$25),1,0)</f>
        <v>0</v>
      </c>
      <c r="BA83" s="0" t="n">
        <f aca="false">IF((AT83+AU83)&gt;Inputs!$B$19,AW83/(AT83+AU83),1000000000)</f>
        <v>1000000000</v>
      </c>
      <c r="BB83" s="0" t="n">
        <f aca="false">IF((J83+K83)&gt;0.000000001,(R83-I83-MAX(-M83,0))/(J83+K83),1000000000)</f>
        <v>1000000000</v>
      </c>
      <c r="BC83" s="0" t="n">
        <f aca="false">IF(OR(BA83&lt;Inputs!$B$29,BB83&lt;Inputs!$B$30),1,0)</f>
        <v>0</v>
      </c>
      <c r="BD83" s="0" t="n">
        <f aca="false">IF((AT83+AU83+AV83)&gt;Inputs!$B$19,AW83/(AT83+AU83+AV83),1000000000)</f>
        <v>1000000000</v>
      </c>
      <c r="BE83" s="0" t="n">
        <f aca="false">IF((J83+K83+L83)&gt;0.000000001,(R83-I83-MAX(-M83,0))/(J83+K83+L83),1000000000)</f>
        <v>1000000000</v>
      </c>
      <c r="BF83" s="0" t="n">
        <f aca="false">IF(OR(BD83&lt;Inputs!$B$34,BE83&lt;Inputs!$B$35),1,0)</f>
        <v>0</v>
      </c>
      <c r="BG83" s="0" t="n">
        <f aca="false">MAX(AZ83,BC83,BF83)</f>
        <v>0</v>
      </c>
      <c r="BH83" s="0" t="n">
        <f aca="false">MIN(R83,N83)</f>
        <v>2107.35143019635</v>
      </c>
      <c r="BI83" s="0" t="n">
        <f aca="false">R83-BH83</f>
        <v>34044.7387838095</v>
      </c>
      <c r="BJ83" s="0" t="n">
        <f aca="false">MIN(BI83,O83)</f>
        <v>0</v>
      </c>
      <c r="BK83" s="0" t="n">
        <f aca="false">BI83-BJ83</f>
        <v>34044.7387838095</v>
      </c>
      <c r="BL83" s="0" t="n">
        <f aca="false">AZ83*MIN(AT83,BK83)</f>
        <v>0</v>
      </c>
      <c r="BM83" s="0" t="n">
        <f aca="false">AZ83*MIN(AU83,BK83-BL83)</f>
        <v>0</v>
      </c>
      <c r="BN83" s="0" t="n">
        <f aca="false">AZ83*MIN(AV83,BK83-BL83-BM83)</f>
        <v>0</v>
      </c>
      <c r="BO83" s="0" t="n">
        <f aca="false">BK83-BL83-BM83-BN83</f>
        <v>34044.7387838095</v>
      </c>
      <c r="BP83" s="0" t="n">
        <f aca="false">MIN(BO83,P83)</f>
        <v>0</v>
      </c>
      <c r="BQ83" s="0" t="n">
        <f aca="false">BO83-BP83</f>
        <v>34044.7387838095</v>
      </c>
      <c r="BR83" s="0" t="n">
        <f aca="false">BC83*MIN((AT83-BL83),BQ83)</f>
        <v>0</v>
      </c>
      <c r="BS83" s="0" t="n">
        <f aca="false">BC83*MIN((AU83-BM83),BQ83-BR83)</f>
        <v>0</v>
      </c>
      <c r="BT83" s="0" t="n">
        <f aca="false">BC83*MIN((AV83-BN83),BQ83-BR83-BS83)</f>
        <v>0</v>
      </c>
      <c r="BU83" s="0" t="n">
        <f aca="false">BQ83-BR83-BS83-BT83</f>
        <v>34044.7387838095</v>
      </c>
      <c r="BV83" s="0" t="n">
        <f aca="false">MIN(BU83,Q83)</f>
        <v>0</v>
      </c>
      <c r="BW83" s="0" t="n">
        <f aca="false">BU83-BV83</f>
        <v>34044.7387838095</v>
      </c>
      <c r="BX83" s="0" t="n">
        <f aca="false">BF83*MIN((AT83-BL83-BR83),BW83)</f>
        <v>0</v>
      </c>
      <c r="BY83" s="0" t="n">
        <f aca="false">BF83*MIN((AU83-BM83-BS83),BW83-BX83)</f>
        <v>0</v>
      </c>
      <c r="BZ83" s="0" t="n">
        <f aca="false">BF83*MIN((AV83-BN83-BT83),BW83-BX83-BY83)</f>
        <v>0</v>
      </c>
      <c r="CA83" s="0" t="n">
        <f aca="false">BW83-BX83-BY83-BZ83</f>
        <v>34044.7387838095</v>
      </c>
      <c r="CB83" s="0" t="n">
        <f aca="false">MAX(0,AT83+AU83+AV83-BL83-BM83-BN83-BR83-BS83-BT83-BX83-BY83-BZ83-AW83)</f>
        <v>0</v>
      </c>
      <c r="CC83" s="0" t="n">
        <f aca="false">1*MIN((AT83-BL83-BR83-BX83),MIN(CA83,CB83))</f>
        <v>0</v>
      </c>
      <c r="CD83" s="0" t="n">
        <f aca="false">1*MIN((AU83-BM83-BS83-BY83),MIN(CA83,CB83)-CC83)</f>
        <v>0</v>
      </c>
      <c r="CE83" s="0" t="n">
        <f aca="false">1*MIN((AV83-BN83-BT83-BZ83),MIN(CA83,CB83)-CC83-CD83)</f>
        <v>0</v>
      </c>
      <c r="CF83" s="0" t="n">
        <f aca="false">CA83-CC83-CD83-CE83</f>
        <v>34044.7387838095</v>
      </c>
      <c r="CG83" s="0" t="n">
        <f aca="false">IF(C83+D83+E83&gt;Inputs!$B$19,MIN(CF83,MAX(0,Inputs!$B$15-DO82)),0)</f>
        <v>0</v>
      </c>
      <c r="CH83" s="0" t="n">
        <f aca="false">CF83-CG83</f>
        <v>34044.7387838095</v>
      </c>
      <c r="CI83" s="0" t="n">
        <f aca="false">DO82+CG83</f>
        <v>0</v>
      </c>
      <c r="CJ83" s="0" t="n">
        <f aca="false">MIN(MAX(N83-BH83,0),CI83)</f>
        <v>0</v>
      </c>
      <c r="CK83" s="0" t="n">
        <f aca="false">MIN(MAX(O83-BJ83,0),CI83-CJ83)</f>
        <v>0</v>
      </c>
      <c r="CL83" s="0" t="n">
        <f aca="false">MIN(MAX(P83-BP83,0),CI83-CJ83-CK83)</f>
        <v>0</v>
      </c>
      <c r="CM83" s="0" t="n">
        <f aca="false">CJ83+CK83+CL83</f>
        <v>0</v>
      </c>
      <c r="CN83" s="0" t="n">
        <f aca="false">CI83-CM83</f>
        <v>0</v>
      </c>
      <c r="CO83" s="0" t="n">
        <f aca="false">BH83+CJ83</f>
        <v>2107.35143019635</v>
      </c>
      <c r="CP83" s="0" t="n">
        <f aca="false">BJ83+CK83</f>
        <v>0</v>
      </c>
      <c r="CQ83" s="0" t="n">
        <f aca="false">BP83+CL83</f>
        <v>0</v>
      </c>
      <c r="CR83" s="0" t="n">
        <f aca="false">BV83</f>
        <v>0</v>
      </c>
      <c r="CS83" s="0" t="n">
        <f aca="false">AT83-BL83-BR83-BX83-CC83</f>
        <v>0</v>
      </c>
      <c r="CT83" s="0" t="n">
        <f aca="false">AU83-BM83-BS83-BY83-CD83</f>
        <v>0</v>
      </c>
      <c r="CU83" s="0" t="n">
        <f aca="false">AV83-BN83-BT83-BZ83-CE83</f>
        <v>0</v>
      </c>
      <c r="CV83" s="0" t="n">
        <f aca="false">MAX(0,CS83+CT83+CU83-AW83)</f>
        <v>0</v>
      </c>
      <c r="CW83" s="0" t="n">
        <f aca="false">MIN(CU83,CV83)</f>
        <v>0</v>
      </c>
      <c r="CX83" s="0" t="n">
        <f aca="false">MIN(CT83,CV83-CW83)</f>
        <v>0</v>
      </c>
      <c r="CY83" s="0" t="n">
        <f aca="false">MIN(CS83,CV83-CW83-CX83)</f>
        <v>0</v>
      </c>
      <c r="CZ83" s="0" t="n">
        <f aca="false">IF(CS83-CY83&lt;Inputs!$B$19,0,CS83-CY83)</f>
        <v>0</v>
      </c>
      <c r="DA83" s="0" t="n">
        <f aca="false">IF(CT83-CX83&lt;Inputs!$B$19,0,CT83-CX83)</f>
        <v>0</v>
      </c>
      <c r="DB83" s="0" t="n">
        <f aca="false">IF(CU83-CW83&lt;Inputs!$B$19,0,CU83-CW83)</f>
        <v>0</v>
      </c>
      <c r="DC83" s="0" t="n">
        <f aca="false">N83-CO83</f>
        <v>0</v>
      </c>
      <c r="DD83" s="0" t="n">
        <f aca="false">O83-CP83</f>
        <v>0</v>
      </c>
      <c r="DE83" s="0" t="n">
        <f aca="false">P83-CQ83</f>
        <v>0</v>
      </c>
      <c r="DF83" s="0" t="n">
        <f aca="false">Q83-CR83</f>
        <v>0</v>
      </c>
      <c r="DG83" s="0" t="n">
        <f aca="false">IF(CZ83+DA83+DB83&lt;=Inputs!$B$19,1,0)</f>
        <v>1</v>
      </c>
      <c r="DH83" s="0" t="n">
        <f aca="false">DG83*CN83</f>
        <v>0</v>
      </c>
      <c r="DI83" s="0" t="n">
        <f aca="false">DG83*(AS83+DH83)</f>
        <v>599515.448176433</v>
      </c>
      <c r="DJ83" s="0" t="n">
        <f aca="false">DG83*MIN(DC83,DI83)</f>
        <v>0</v>
      </c>
      <c r="DK83" s="0" t="n">
        <f aca="false">DG83*MIN(DD83,DI83-DJ83)</f>
        <v>0</v>
      </c>
      <c r="DL83" s="0" t="n">
        <f aca="false">DG83*MIN(DE83,DI83-DJ83-DK83)</f>
        <v>0</v>
      </c>
      <c r="DM83" s="0" t="n">
        <f aca="false">DG83*MIN(DF83,DI83-DJ83-DK83-DL83)</f>
        <v>0</v>
      </c>
      <c r="DN83" s="0" t="n">
        <f aca="false">DJ83+DK83+DL83+DM83</f>
        <v>0</v>
      </c>
      <c r="DO83" s="0" t="n">
        <f aca="false">CN83-DH83</f>
        <v>0</v>
      </c>
      <c r="DP83" s="0" t="n">
        <f aca="false">DC83-DJ83</f>
        <v>0</v>
      </c>
      <c r="DQ83" s="0" t="n">
        <f aca="false">DD83-DK83</f>
        <v>0</v>
      </c>
      <c r="DR83" s="0" t="n">
        <f aca="false">DE83-DL83</f>
        <v>0</v>
      </c>
      <c r="DS83" s="0" t="n">
        <f aca="false">DF83-DM83</f>
        <v>0</v>
      </c>
      <c r="DT83" s="0" t="n">
        <f aca="false">CO83+DJ83</f>
        <v>2107.35143019635</v>
      </c>
      <c r="DU83" s="0" t="n">
        <f aca="false">CP83+DK83</f>
        <v>0</v>
      </c>
      <c r="DV83" s="0" t="n">
        <f aca="false">AP83+BL83+BR83+BX83+CC83</f>
        <v>0</v>
      </c>
      <c r="DW83" s="0" t="n">
        <f aca="false">CQ83+DL83</f>
        <v>0</v>
      </c>
      <c r="DX83" s="0" t="n">
        <f aca="false">AQ83+BM83+BS83+BY83+CD83</f>
        <v>0</v>
      </c>
      <c r="DY83" s="0" t="n">
        <f aca="false">CR83+DM83</f>
        <v>0</v>
      </c>
      <c r="DZ83" s="0" t="n">
        <f aca="false">AR83+BN83+BT83+BZ83+CE83</f>
        <v>0</v>
      </c>
      <c r="EA83" s="0" t="n">
        <f aca="false">DI83-DN83</f>
        <v>599515.448176433</v>
      </c>
      <c r="EB83" s="0" t="n">
        <f aca="false">CH83+EA83</f>
        <v>633560.186960243</v>
      </c>
      <c r="EC83" s="0" t="n">
        <f aca="false">R83-I83-MAX(-M83,0)-J83-K83-L83</f>
        <v>34044.7387838095</v>
      </c>
      <c r="ED83" s="0" t="n">
        <f aca="false">R83+S83+CM83+DH83-CG83-DT83-DU83-DW83-DY83-DV83-DX83-DZ83-EB83</f>
        <v>0</v>
      </c>
      <c r="EE83" s="0" t="n">
        <f aca="false">IF(AND(EB83&gt;0.000001,DP83+DQ83+DR83+DS83&gt;0.000001),1,0)</f>
        <v>0</v>
      </c>
    </row>
    <row r="84" customFormat="false" ht="15" hidden="false" customHeight="false" outlineLevel="0" collapsed="false">
      <c r="A84" s="0" t="n">
        <f aca="false">ROW()-5</f>
        <v>79</v>
      </c>
      <c r="B84" s="0" t="n">
        <f aca="false">Inputs!$B$11+(Inputs!$B$12-Inputs!$B$11)*(1-EXP(-A84/Inputs!$B$13))+Inputs!$B$8</f>
        <v>0.0328905140192794</v>
      </c>
      <c r="C84" s="0" t="n">
        <f aca="false">CZ83</f>
        <v>0</v>
      </c>
      <c r="D84" s="0" t="n">
        <f aca="false">DA83</f>
        <v>0</v>
      </c>
      <c r="E84" s="0" t="n">
        <f aca="false">DB83</f>
        <v>0</v>
      </c>
      <c r="F84" s="0" t="n">
        <f aca="false">IF(Inputs!$B$22=1,B84+Inputs!$B$23,Inputs!$B$23)/12</f>
        <v>0.00365754283493995</v>
      </c>
      <c r="G84" s="0" t="n">
        <f aca="false">IF(Inputs!$B$27=1,B84+Inputs!$B$28,Inputs!$B$28)/12</f>
        <v>0.00461587616827329</v>
      </c>
      <c r="H84" s="0" t="n">
        <f aca="false">IF(Inputs!$B$32=1,B84+Inputs!$B$33,Inputs!$B$33)/12</f>
        <v>0.00625</v>
      </c>
      <c r="I84" s="0" t="n">
        <f aca="false">Pool!BT84*Inputs!$B$14/12</f>
        <v>1793.93864328401</v>
      </c>
      <c r="J84" s="0" t="n">
        <f aca="false">C84*F84</f>
        <v>0</v>
      </c>
      <c r="K84" s="0" t="n">
        <f aca="false">D84*G84</f>
        <v>0</v>
      </c>
      <c r="L84" s="0" t="n">
        <f aca="false">E84*H84</f>
        <v>0</v>
      </c>
      <c r="M84" s="0" t="n">
        <f aca="false">Inputs!$B$17*(C84*Inputs!$B$22+D84*Inputs!$B$27+E84*Inputs!$B$32)*(B84-Inputs!$B$18)/12</f>
        <v>-0</v>
      </c>
      <c r="N84" s="0" t="n">
        <f aca="false">DP83+I84+MAX(-M84,0)</f>
        <v>1793.93864328401</v>
      </c>
      <c r="O84" s="0" t="n">
        <f aca="false">DQ83+J84</f>
        <v>0</v>
      </c>
      <c r="P84" s="0" t="n">
        <f aca="false">DR83+K84</f>
        <v>0</v>
      </c>
      <c r="Q84" s="0" t="n">
        <f aca="false">DS83+L84</f>
        <v>0</v>
      </c>
      <c r="R84" s="0" t="n">
        <f aca="false">Pool!BV84+MAX(M84,0)</f>
        <v>30775.4934509038</v>
      </c>
      <c r="S84" s="0" t="n">
        <f aca="false">Pool!BW84+Pool!BX84+Pool!BZ84</f>
        <v>591144.933694069</v>
      </c>
      <c r="T84" s="0" t="n">
        <f aca="false">MAX(T83,BG83)</f>
        <v>1</v>
      </c>
      <c r="U84" s="0" t="n">
        <f aca="false">MIN(C84,S84)</f>
        <v>0</v>
      </c>
      <c r="V84" s="0" t="n">
        <f aca="false">MIN(D84,S84-U84)</f>
        <v>0</v>
      </c>
      <c r="W84" s="0" t="n">
        <f aca="false">MIN(E84,S84-U84-V84)</f>
        <v>0</v>
      </c>
      <c r="X84" s="0" t="n">
        <f aca="false">IF(C84-(0)&gt;Inputs!$B$19,1,0)</f>
        <v>0</v>
      </c>
      <c r="Y84" s="0" t="n">
        <f aca="false">IF(D84-(0)&gt;Inputs!$B$19,1,0)</f>
        <v>0</v>
      </c>
      <c r="Z84" s="0" t="n">
        <f aca="false">IF(E84-(0)&gt;Inputs!$B$19,1,0)</f>
        <v>0</v>
      </c>
      <c r="AA84" s="0" t="n">
        <f aca="false">IF((X84*C84+Y84*D84+Z84*E84)&gt;0,MIN(C84-(0),S84*X84*C84/(X84*C84+Y84*D84+Z84*E84)),0)</f>
        <v>0</v>
      </c>
      <c r="AB84" s="0" t="n">
        <f aca="false">IF((X84*C84+Y84*D84+Z84*E84)&gt;0,MIN(D84-(0),S84*Y84*D84/(X84*C84+Y84*D84+Z84*E84)),0)</f>
        <v>0</v>
      </c>
      <c r="AC84" s="0" t="n">
        <f aca="false">IF((X84*C84+Y84*D84+Z84*E84)&gt;0,MIN(E84-(0),S84*Z84*E84/(X84*C84+Y84*D84+Z84*E84)),0)</f>
        <v>0</v>
      </c>
      <c r="AD84" s="0" t="n">
        <f aca="false">IF(C84-(AA84)&gt;Inputs!$B$19,1,0)</f>
        <v>0</v>
      </c>
      <c r="AE84" s="0" t="n">
        <f aca="false">IF(D84-(AB84)&gt;Inputs!$B$19,1,0)</f>
        <v>0</v>
      </c>
      <c r="AF84" s="0" t="n">
        <f aca="false">IF(E84-(AC84)&gt;Inputs!$B$19,1,0)</f>
        <v>0</v>
      </c>
      <c r="AG84" s="0" t="n">
        <f aca="false">IF((AD84*C84+AE84*D84+AF84*E84)&gt;0,MIN(C84-(AA84),(S84-(AA84+AB84+AC84))*AD84*C84/(AD84*C84+AE84*D84+AF84*E84)),0)</f>
        <v>0</v>
      </c>
      <c r="AH84" s="0" t="n">
        <f aca="false">IF((AD84*C84+AE84*D84+AF84*E84)&gt;0,MIN(D84-(AB84),(S84-(AA84+AB84+AC84))*AE84*D84/(AD84*C84+AE84*D84+AF84*E84)),0)</f>
        <v>0</v>
      </c>
      <c r="AI84" s="0" t="n">
        <f aca="false">IF((AD84*C84+AE84*D84+AF84*E84)&gt;0,MIN(E84-(AC84),(S84-(AA84+AB84+AC84))*AF84*E84/(AD84*C84+AE84*D84+AF84*E84)),0)</f>
        <v>0</v>
      </c>
      <c r="AJ84" s="0" t="n">
        <f aca="false">IF(C84-(AA84+AG84)&gt;Inputs!$B$19,1,0)</f>
        <v>0</v>
      </c>
      <c r="AK84" s="0" t="n">
        <f aca="false">IF(D84-(AB84+AH84)&gt;Inputs!$B$19,1,0)</f>
        <v>0</v>
      </c>
      <c r="AL84" s="0" t="n">
        <f aca="false">IF(E84-(AC84+AI84)&gt;Inputs!$B$19,1,0)</f>
        <v>0</v>
      </c>
      <c r="AM84" s="0" t="n">
        <f aca="false">IF((AJ84*C84+AK84*D84+AL84*E84)&gt;0,MIN(C84-(AA84+AG84),(S84-(AA84+AB84+AC84+AG84+AH84+AI84))*AJ84*C84/(AJ84*C84+AK84*D84+AL84*E84)),0)</f>
        <v>0</v>
      </c>
      <c r="AN84" s="0" t="n">
        <f aca="false">IF((AJ84*C84+AK84*D84+AL84*E84)&gt;0,MIN(D84-(AB84+AH84),(S84-(AA84+AB84+AC84+AG84+AH84+AI84))*AK84*D84/(AJ84*C84+AK84*D84+AL84*E84)),0)</f>
        <v>0</v>
      </c>
      <c r="AO84" s="0" t="n">
        <f aca="false">IF((AJ84*C84+AK84*D84+AL84*E84)&gt;0,MIN(E84-(AC84+AI84),(S84-(AA84+AB84+AC84+AG84+AH84+AI84))*AL84*E84/(AJ84*C84+AK84*D84+AL84*E84)),0)</f>
        <v>0</v>
      </c>
      <c r="AP84" s="0" t="n">
        <f aca="false">IF(T84=1,U84,AA84+AG84+AM84)</f>
        <v>0</v>
      </c>
      <c r="AQ84" s="0" t="n">
        <f aca="false">IF(T84=1,V84,AB84+AH84+AN84)</f>
        <v>0</v>
      </c>
      <c r="AR84" s="0" t="n">
        <f aca="false">IF(T84=1,W84,AC84+AI84+AO84)</f>
        <v>0</v>
      </c>
      <c r="AS84" s="0" t="n">
        <f aca="false">S84-AP84-AQ84-AR84</f>
        <v>591144.933694069</v>
      </c>
      <c r="AT84" s="0" t="n">
        <f aca="false">C84-AP84</f>
        <v>0</v>
      </c>
      <c r="AU84" s="0" t="n">
        <f aca="false">D84-AQ84</f>
        <v>0</v>
      </c>
      <c r="AV84" s="0" t="n">
        <f aca="false">E84-AR84</f>
        <v>0</v>
      </c>
      <c r="AW84" s="0" t="n">
        <f aca="false">Pool!CB84</f>
        <v>2873105.04423165</v>
      </c>
      <c r="AX84" s="0" t="n">
        <f aca="false">IF((AT84)&gt;Inputs!$B$19,AW84/(AT84),1000000000)</f>
        <v>1000000000</v>
      </c>
      <c r="AY84" s="0" t="n">
        <f aca="false">IF((J84)&gt;0.000000001,(R84-I84-MAX(-M84,0))/(J84),1000000000)</f>
        <v>1000000000</v>
      </c>
      <c r="AZ84" s="0" t="n">
        <f aca="false">IF(OR(AX84&lt;Inputs!$B$24,AY84&lt;Inputs!$B$25),1,0)</f>
        <v>0</v>
      </c>
      <c r="BA84" s="0" t="n">
        <f aca="false">IF((AT84+AU84)&gt;Inputs!$B$19,AW84/(AT84+AU84),1000000000)</f>
        <v>1000000000</v>
      </c>
      <c r="BB84" s="0" t="n">
        <f aca="false">IF((J84+K84)&gt;0.000000001,(R84-I84-MAX(-M84,0))/(J84+K84),1000000000)</f>
        <v>1000000000</v>
      </c>
      <c r="BC84" s="0" t="n">
        <f aca="false">IF(OR(BA84&lt;Inputs!$B$29,BB84&lt;Inputs!$B$30),1,0)</f>
        <v>0</v>
      </c>
      <c r="BD84" s="0" t="n">
        <f aca="false">IF((AT84+AU84+AV84)&gt;Inputs!$B$19,AW84/(AT84+AU84+AV84),1000000000)</f>
        <v>1000000000</v>
      </c>
      <c r="BE84" s="0" t="n">
        <f aca="false">IF((J84+K84+L84)&gt;0.000000001,(R84-I84-MAX(-M84,0))/(J84+K84+L84),1000000000)</f>
        <v>1000000000</v>
      </c>
      <c r="BF84" s="0" t="n">
        <f aca="false">IF(OR(BD84&lt;Inputs!$B$34,BE84&lt;Inputs!$B$35),1,0)</f>
        <v>0</v>
      </c>
      <c r="BG84" s="0" t="n">
        <f aca="false">MAX(AZ84,BC84,BF84)</f>
        <v>0</v>
      </c>
      <c r="BH84" s="0" t="n">
        <f aca="false">MIN(R84,N84)</f>
        <v>1793.93864328401</v>
      </c>
      <c r="BI84" s="0" t="n">
        <f aca="false">R84-BH84</f>
        <v>28981.5548076198</v>
      </c>
      <c r="BJ84" s="0" t="n">
        <f aca="false">MIN(BI84,O84)</f>
        <v>0</v>
      </c>
      <c r="BK84" s="0" t="n">
        <f aca="false">BI84-BJ84</f>
        <v>28981.5548076198</v>
      </c>
      <c r="BL84" s="0" t="n">
        <f aca="false">AZ84*MIN(AT84,BK84)</f>
        <v>0</v>
      </c>
      <c r="BM84" s="0" t="n">
        <f aca="false">AZ84*MIN(AU84,BK84-BL84)</f>
        <v>0</v>
      </c>
      <c r="BN84" s="0" t="n">
        <f aca="false">AZ84*MIN(AV84,BK84-BL84-BM84)</f>
        <v>0</v>
      </c>
      <c r="BO84" s="0" t="n">
        <f aca="false">BK84-BL84-BM84-BN84</f>
        <v>28981.5548076198</v>
      </c>
      <c r="BP84" s="0" t="n">
        <f aca="false">MIN(BO84,P84)</f>
        <v>0</v>
      </c>
      <c r="BQ84" s="0" t="n">
        <f aca="false">BO84-BP84</f>
        <v>28981.5548076198</v>
      </c>
      <c r="BR84" s="0" t="n">
        <f aca="false">BC84*MIN((AT84-BL84),BQ84)</f>
        <v>0</v>
      </c>
      <c r="BS84" s="0" t="n">
        <f aca="false">BC84*MIN((AU84-BM84),BQ84-BR84)</f>
        <v>0</v>
      </c>
      <c r="BT84" s="0" t="n">
        <f aca="false">BC84*MIN((AV84-BN84),BQ84-BR84-BS84)</f>
        <v>0</v>
      </c>
      <c r="BU84" s="0" t="n">
        <f aca="false">BQ84-BR84-BS84-BT84</f>
        <v>28981.5548076198</v>
      </c>
      <c r="BV84" s="0" t="n">
        <f aca="false">MIN(BU84,Q84)</f>
        <v>0</v>
      </c>
      <c r="BW84" s="0" t="n">
        <f aca="false">BU84-BV84</f>
        <v>28981.5548076198</v>
      </c>
      <c r="BX84" s="0" t="n">
        <f aca="false">BF84*MIN((AT84-BL84-BR84),BW84)</f>
        <v>0</v>
      </c>
      <c r="BY84" s="0" t="n">
        <f aca="false">BF84*MIN((AU84-BM84-BS84),BW84-BX84)</f>
        <v>0</v>
      </c>
      <c r="BZ84" s="0" t="n">
        <f aca="false">BF84*MIN((AV84-BN84-BT84),BW84-BX84-BY84)</f>
        <v>0</v>
      </c>
      <c r="CA84" s="0" t="n">
        <f aca="false">BW84-BX84-BY84-BZ84</f>
        <v>28981.5548076198</v>
      </c>
      <c r="CB84" s="0" t="n">
        <f aca="false">MAX(0,AT84+AU84+AV84-BL84-BM84-BN84-BR84-BS84-BT84-BX84-BY84-BZ84-AW84)</f>
        <v>0</v>
      </c>
      <c r="CC84" s="0" t="n">
        <f aca="false">1*MIN((AT84-BL84-BR84-BX84),MIN(CA84,CB84))</f>
        <v>0</v>
      </c>
      <c r="CD84" s="0" t="n">
        <f aca="false">1*MIN((AU84-BM84-BS84-BY84),MIN(CA84,CB84)-CC84)</f>
        <v>0</v>
      </c>
      <c r="CE84" s="0" t="n">
        <f aca="false">1*MIN((AV84-BN84-BT84-BZ84),MIN(CA84,CB84)-CC84-CD84)</f>
        <v>0</v>
      </c>
      <c r="CF84" s="0" t="n">
        <f aca="false">CA84-CC84-CD84-CE84</f>
        <v>28981.5548076198</v>
      </c>
      <c r="CG84" s="0" t="n">
        <f aca="false">IF(C84+D84+E84&gt;Inputs!$B$19,MIN(CF84,MAX(0,Inputs!$B$15-DO83)),0)</f>
        <v>0</v>
      </c>
      <c r="CH84" s="0" t="n">
        <f aca="false">CF84-CG84</f>
        <v>28981.5548076198</v>
      </c>
      <c r="CI84" s="0" t="n">
        <f aca="false">DO83+CG84</f>
        <v>0</v>
      </c>
      <c r="CJ84" s="0" t="n">
        <f aca="false">MIN(MAX(N84-BH84,0),CI84)</f>
        <v>0</v>
      </c>
      <c r="CK84" s="0" t="n">
        <f aca="false">MIN(MAX(O84-BJ84,0),CI84-CJ84)</f>
        <v>0</v>
      </c>
      <c r="CL84" s="0" t="n">
        <f aca="false">MIN(MAX(P84-BP84,0),CI84-CJ84-CK84)</f>
        <v>0</v>
      </c>
      <c r="CM84" s="0" t="n">
        <f aca="false">CJ84+CK84+CL84</f>
        <v>0</v>
      </c>
      <c r="CN84" s="0" t="n">
        <f aca="false">CI84-CM84</f>
        <v>0</v>
      </c>
      <c r="CO84" s="0" t="n">
        <f aca="false">BH84+CJ84</f>
        <v>1793.93864328401</v>
      </c>
      <c r="CP84" s="0" t="n">
        <f aca="false">BJ84+CK84</f>
        <v>0</v>
      </c>
      <c r="CQ84" s="0" t="n">
        <f aca="false">BP84+CL84</f>
        <v>0</v>
      </c>
      <c r="CR84" s="0" t="n">
        <f aca="false">BV84</f>
        <v>0</v>
      </c>
      <c r="CS84" s="0" t="n">
        <f aca="false">AT84-BL84-BR84-BX84-CC84</f>
        <v>0</v>
      </c>
      <c r="CT84" s="0" t="n">
        <f aca="false">AU84-BM84-BS84-BY84-CD84</f>
        <v>0</v>
      </c>
      <c r="CU84" s="0" t="n">
        <f aca="false">AV84-BN84-BT84-BZ84-CE84</f>
        <v>0</v>
      </c>
      <c r="CV84" s="0" t="n">
        <f aca="false">MAX(0,CS84+CT84+CU84-AW84)</f>
        <v>0</v>
      </c>
      <c r="CW84" s="0" t="n">
        <f aca="false">MIN(CU84,CV84)</f>
        <v>0</v>
      </c>
      <c r="CX84" s="0" t="n">
        <f aca="false">MIN(CT84,CV84-CW84)</f>
        <v>0</v>
      </c>
      <c r="CY84" s="0" t="n">
        <f aca="false">MIN(CS84,CV84-CW84-CX84)</f>
        <v>0</v>
      </c>
      <c r="CZ84" s="0" t="n">
        <f aca="false">IF(CS84-CY84&lt;Inputs!$B$19,0,CS84-CY84)</f>
        <v>0</v>
      </c>
      <c r="DA84" s="0" t="n">
        <f aca="false">IF(CT84-CX84&lt;Inputs!$B$19,0,CT84-CX84)</f>
        <v>0</v>
      </c>
      <c r="DB84" s="0" t="n">
        <f aca="false">IF(CU84-CW84&lt;Inputs!$B$19,0,CU84-CW84)</f>
        <v>0</v>
      </c>
      <c r="DC84" s="0" t="n">
        <f aca="false">N84-CO84</f>
        <v>0</v>
      </c>
      <c r="DD84" s="0" t="n">
        <f aca="false">O84-CP84</f>
        <v>0</v>
      </c>
      <c r="DE84" s="0" t="n">
        <f aca="false">P84-CQ84</f>
        <v>0</v>
      </c>
      <c r="DF84" s="0" t="n">
        <f aca="false">Q84-CR84</f>
        <v>0</v>
      </c>
      <c r="DG84" s="0" t="n">
        <f aca="false">IF(CZ84+DA84+DB84&lt;=Inputs!$B$19,1,0)</f>
        <v>1</v>
      </c>
      <c r="DH84" s="0" t="n">
        <f aca="false">DG84*CN84</f>
        <v>0</v>
      </c>
      <c r="DI84" s="0" t="n">
        <f aca="false">DG84*(AS84+DH84)</f>
        <v>591144.933694069</v>
      </c>
      <c r="DJ84" s="0" t="n">
        <f aca="false">DG84*MIN(DC84,DI84)</f>
        <v>0</v>
      </c>
      <c r="DK84" s="0" t="n">
        <f aca="false">DG84*MIN(DD84,DI84-DJ84)</f>
        <v>0</v>
      </c>
      <c r="DL84" s="0" t="n">
        <f aca="false">DG84*MIN(DE84,DI84-DJ84-DK84)</f>
        <v>0</v>
      </c>
      <c r="DM84" s="0" t="n">
        <f aca="false">DG84*MIN(DF84,DI84-DJ84-DK84-DL84)</f>
        <v>0</v>
      </c>
      <c r="DN84" s="0" t="n">
        <f aca="false">DJ84+DK84+DL84+DM84</f>
        <v>0</v>
      </c>
      <c r="DO84" s="0" t="n">
        <f aca="false">CN84-DH84</f>
        <v>0</v>
      </c>
      <c r="DP84" s="0" t="n">
        <f aca="false">DC84-DJ84</f>
        <v>0</v>
      </c>
      <c r="DQ84" s="0" t="n">
        <f aca="false">DD84-DK84</f>
        <v>0</v>
      </c>
      <c r="DR84" s="0" t="n">
        <f aca="false">DE84-DL84</f>
        <v>0</v>
      </c>
      <c r="DS84" s="0" t="n">
        <f aca="false">DF84-DM84</f>
        <v>0</v>
      </c>
      <c r="DT84" s="0" t="n">
        <f aca="false">CO84+DJ84</f>
        <v>1793.93864328401</v>
      </c>
      <c r="DU84" s="0" t="n">
        <f aca="false">CP84+DK84</f>
        <v>0</v>
      </c>
      <c r="DV84" s="0" t="n">
        <f aca="false">AP84+BL84+BR84+BX84+CC84</f>
        <v>0</v>
      </c>
      <c r="DW84" s="0" t="n">
        <f aca="false">CQ84+DL84</f>
        <v>0</v>
      </c>
      <c r="DX84" s="0" t="n">
        <f aca="false">AQ84+BM84+BS84+BY84+CD84</f>
        <v>0</v>
      </c>
      <c r="DY84" s="0" t="n">
        <f aca="false">CR84+DM84</f>
        <v>0</v>
      </c>
      <c r="DZ84" s="0" t="n">
        <f aca="false">AR84+BN84+BT84+BZ84+CE84</f>
        <v>0</v>
      </c>
      <c r="EA84" s="0" t="n">
        <f aca="false">DI84-DN84</f>
        <v>591144.933694069</v>
      </c>
      <c r="EB84" s="0" t="n">
        <f aca="false">CH84+EA84</f>
        <v>620126.488501689</v>
      </c>
      <c r="EC84" s="0" t="n">
        <f aca="false">R84-I84-MAX(-M84,0)-J84-K84-L84</f>
        <v>28981.5548076198</v>
      </c>
      <c r="ED84" s="0" t="n">
        <f aca="false">R84+S84+CM84+DH84-CG84-DT84-DU84-DW84-DY84-DV84-DX84-DZ84-EB84</f>
        <v>0</v>
      </c>
      <c r="EE84" s="0" t="n">
        <f aca="false">IF(AND(EB84&gt;0.000001,DP84+DQ84+DR84+DS84&gt;0.000001),1,0)</f>
        <v>0</v>
      </c>
    </row>
    <row r="85" customFormat="false" ht="15" hidden="false" customHeight="false" outlineLevel="0" collapsed="false">
      <c r="A85" s="0" t="n">
        <f aca="false">ROW()-5</f>
        <v>80</v>
      </c>
      <c r="B85" s="0" t="n">
        <f aca="false">Inputs!$B$11+(Inputs!$B$12-Inputs!$B$11)*(1-EXP(-A85/Inputs!$B$13))+Inputs!$B$8</f>
        <v>0.0328745769301462</v>
      </c>
      <c r="C85" s="0" t="n">
        <f aca="false">CZ84</f>
        <v>0</v>
      </c>
      <c r="D85" s="0" t="n">
        <f aca="false">DA84</f>
        <v>0</v>
      </c>
      <c r="E85" s="0" t="n">
        <f aca="false">DB84</f>
        <v>0</v>
      </c>
      <c r="F85" s="0" t="n">
        <f aca="false">IF(Inputs!$B$22=1,B85+Inputs!$B$23,Inputs!$B$23)/12</f>
        <v>0.00365621474417885</v>
      </c>
      <c r="G85" s="0" t="n">
        <f aca="false">IF(Inputs!$B$27=1,B85+Inputs!$B$28,Inputs!$B$28)/12</f>
        <v>0.00461454807751218</v>
      </c>
      <c r="H85" s="0" t="n">
        <f aca="false">IF(Inputs!$B$32=1,B85+Inputs!$B$33,Inputs!$B$33)/12</f>
        <v>0.00625</v>
      </c>
      <c r="I85" s="0" t="n">
        <f aca="false">Pool!BT85*Inputs!$B$14/12</f>
        <v>1484.72724238121</v>
      </c>
      <c r="J85" s="0" t="n">
        <f aca="false">C85*F85</f>
        <v>0</v>
      </c>
      <c r="K85" s="0" t="n">
        <f aca="false">D85*G85</f>
        <v>0</v>
      </c>
      <c r="L85" s="0" t="n">
        <f aca="false">E85*H85</f>
        <v>0</v>
      </c>
      <c r="M85" s="0" t="n">
        <f aca="false">Inputs!$B$17*(C85*Inputs!$B$22+D85*Inputs!$B$27+E85*Inputs!$B$32)*(B85-Inputs!$B$18)/12</f>
        <v>-0</v>
      </c>
      <c r="N85" s="0" t="n">
        <f aca="false">DP84+I85+MAX(-M85,0)</f>
        <v>1484.72724238121</v>
      </c>
      <c r="O85" s="0" t="n">
        <f aca="false">DQ84+J85</f>
        <v>0</v>
      </c>
      <c r="P85" s="0" t="n">
        <f aca="false">DR84+K85</f>
        <v>0</v>
      </c>
      <c r="Q85" s="0" t="n">
        <f aca="false">DS84+L85</f>
        <v>0</v>
      </c>
      <c r="R85" s="0" t="n">
        <f aca="false">Pool!BV85+MAX(M85,0)</f>
        <v>25470.948303453</v>
      </c>
      <c r="S85" s="0" t="n">
        <f aca="false">Pool!BW85+Pool!BX85+Pool!BZ85</f>
        <v>583757.386627666</v>
      </c>
      <c r="T85" s="0" t="n">
        <f aca="false">MAX(T84,BG84)</f>
        <v>1</v>
      </c>
      <c r="U85" s="0" t="n">
        <f aca="false">MIN(C85,S85)</f>
        <v>0</v>
      </c>
      <c r="V85" s="0" t="n">
        <f aca="false">MIN(D85,S85-U85)</f>
        <v>0</v>
      </c>
      <c r="W85" s="0" t="n">
        <f aca="false">MIN(E85,S85-U85-V85)</f>
        <v>0</v>
      </c>
      <c r="X85" s="0" t="n">
        <f aca="false">IF(C85-(0)&gt;Inputs!$B$19,1,0)</f>
        <v>0</v>
      </c>
      <c r="Y85" s="0" t="n">
        <f aca="false">IF(D85-(0)&gt;Inputs!$B$19,1,0)</f>
        <v>0</v>
      </c>
      <c r="Z85" s="0" t="n">
        <f aca="false">IF(E85-(0)&gt;Inputs!$B$19,1,0)</f>
        <v>0</v>
      </c>
      <c r="AA85" s="0" t="n">
        <f aca="false">IF((X85*C85+Y85*D85+Z85*E85)&gt;0,MIN(C85-(0),S85*X85*C85/(X85*C85+Y85*D85+Z85*E85)),0)</f>
        <v>0</v>
      </c>
      <c r="AB85" s="0" t="n">
        <f aca="false">IF((X85*C85+Y85*D85+Z85*E85)&gt;0,MIN(D85-(0),S85*Y85*D85/(X85*C85+Y85*D85+Z85*E85)),0)</f>
        <v>0</v>
      </c>
      <c r="AC85" s="0" t="n">
        <f aca="false">IF((X85*C85+Y85*D85+Z85*E85)&gt;0,MIN(E85-(0),S85*Z85*E85/(X85*C85+Y85*D85+Z85*E85)),0)</f>
        <v>0</v>
      </c>
      <c r="AD85" s="0" t="n">
        <f aca="false">IF(C85-(AA85)&gt;Inputs!$B$19,1,0)</f>
        <v>0</v>
      </c>
      <c r="AE85" s="0" t="n">
        <f aca="false">IF(D85-(AB85)&gt;Inputs!$B$19,1,0)</f>
        <v>0</v>
      </c>
      <c r="AF85" s="0" t="n">
        <f aca="false">IF(E85-(AC85)&gt;Inputs!$B$19,1,0)</f>
        <v>0</v>
      </c>
      <c r="AG85" s="0" t="n">
        <f aca="false">IF((AD85*C85+AE85*D85+AF85*E85)&gt;0,MIN(C85-(AA85),(S85-(AA85+AB85+AC85))*AD85*C85/(AD85*C85+AE85*D85+AF85*E85)),0)</f>
        <v>0</v>
      </c>
      <c r="AH85" s="0" t="n">
        <f aca="false">IF((AD85*C85+AE85*D85+AF85*E85)&gt;0,MIN(D85-(AB85),(S85-(AA85+AB85+AC85))*AE85*D85/(AD85*C85+AE85*D85+AF85*E85)),0)</f>
        <v>0</v>
      </c>
      <c r="AI85" s="0" t="n">
        <f aca="false">IF((AD85*C85+AE85*D85+AF85*E85)&gt;0,MIN(E85-(AC85),(S85-(AA85+AB85+AC85))*AF85*E85/(AD85*C85+AE85*D85+AF85*E85)),0)</f>
        <v>0</v>
      </c>
      <c r="AJ85" s="0" t="n">
        <f aca="false">IF(C85-(AA85+AG85)&gt;Inputs!$B$19,1,0)</f>
        <v>0</v>
      </c>
      <c r="AK85" s="0" t="n">
        <f aca="false">IF(D85-(AB85+AH85)&gt;Inputs!$B$19,1,0)</f>
        <v>0</v>
      </c>
      <c r="AL85" s="0" t="n">
        <f aca="false">IF(E85-(AC85+AI85)&gt;Inputs!$B$19,1,0)</f>
        <v>0</v>
      </c>
      <c r="AM85" s="0" t="n">
        <f aca="false">IF((AJ85*C85+AK85*D85+AL85*E85)&gt;0,MIN(C85-(AA85+AG85),(S85-(AA85+AB85+AC85+AG85+AH85+AI85))*AJ85*C85/(AJ85*C85+AK85*D85+AL85*E85)),0)</f>
        <v>0</v>
      </c>
      <c r="AN85" s="0" t="n">
        <f aca="false">IF((AJ85*C85+AK85*D85+AL85*E85)&gt;0,MIN(D85-(AB85+AH85),(S85-(AA85+AB85+AC85+AG85+AH85+AI85))*AK85*D85/(AJ85*C85+AK85*D85+AL85*E85)),0)</f>
        <v>0</v>
      </c>
      <c r="AO85" s="0" t="n">
        <f aca="false">IF((AJ85*C85+AK85*D85+AL85*E85)&gt;0,MIN(E85-(AC85+AI85),(S85-(AA85+AB85+AC85+AG85+AH85+AI85))*AL85*E85/(AJ85*C85+AK85*D85+AL85*E85)),0)</f>
        <v>0</v>
      </c>
      <c r="AP85" s="0" t="n">
        <f aca="false">IF(T85=1,U85,AA85+AG85+AM85)</f>
        <v>0</v>
      </c>
      <c r="AQ85" s="0" t="n">
        <f aca="false">IF(T85=1,V85,AB85+AH85+AN85)</f>
        <v>0</v>
      </c>
      <c r="AR85" s="0" t="n">
        <f aca="false">IF(T85=1,W85,AC85+AI85+AO85)</f>
        <v>0</v>
      </c>
      <c r="AS85" s="0" t="n">
        <f aca="false">S85-AP85-AQ85-AR85</f>
        <v>583757.386627666</v>
      </c>
      <c r="AT85" s="0" t="n">
        <f aca="false">C85-AP85</f>
        <v>0</v>
      </c>
      <c r="AU85" s="0" t="n">
        <f aca="false">D85-AQ85</f>
        <v>0</v>
      </c>
      <c r="AV85" s="0" t="n">
        <f aca="false">E85-AR85</f>
        <v>0</v>
      </c>
      <c r="AW85" s="0" t="n">
        <f aca="false">Pool!CB85</f>
        <v>2286479.95799429</v>
      </c>
      <c r="AX85" s="0" t="n">
        <f aca="false">IF((AT85)&gt;Inputs!$B$19,AW85/(AT85),1000000000)</f>
        <v>1000000000</v>
      </c>
      <c r="AY85" s="0" t="n">
        <f aca="false">IF((J85)&gt;0.000000001,(R85-I85-MAX(-M85,0))/(J85),1000000000)</f>
        <v>1000000000</v>
      </c>
      <c r="AZ85" s="0" t="n">
        <f aca="false">IF(OR(AX85&lt;Inputs!$B$24,AY85&lt;Inputs!$B$25),1,0)</f>
        <v>0</v>
      </c>
      <c r="BA85" s="0" t="n">
        <f aca="false">IF((AT85+AU85)&gt;Inputs!$B$19,AW85/(AT85+AU85),1000000000)</f>
        <v>1000000000</v>
      </c>
      <c r="BB85" s="0" t="n">
        <f aca="false">IF((J85+K85)&gt;0.000000001,(R85-I85-MAX(-M85,0))/(J85+K85),1000000000)</f>
        <v>1000000000</v>
      </c>
      <c r="BC85" s="0" t="n">
        <f aca="false">IF(OR(BA85&lt;Inputs!$B$29,BB85&lt;Inputs!$B$30),1,0)</f>
        <v>0</v>
      </c>
      <c r="BD85" s="0" t="n">
        <f aca="false">IF((AT85+AU85+AV85)&gt;Inputs!$B$19,AW85/(AT85+AU85+AV85),1000000000)</f>
        <v>1000000000</v>
      </c>
      <c r="BE85" s="0" t="n">
        <f aca="false">IF((J85+K85+L85)&gt;0.000000001,(R85-I85-MAX(-M85,0))/(J85+K85+L85),1000000000)</f>
        <v>1000000000</v>
      </c>
      <c r="BF85" s="0" t="n">
        <f aca="false">IF(OR(BD85&lt;Inputs!$B$34,BE85&lt;Inputs!$B$35),1,0)</f>
        <v>0</v>
      </c>
      <c r="BG85" s="0" t="n">
        <f aca="false">MAX(AZ85,BC85,BF85)</f>
        <v>0</v>
      </c>
      <c r="BH85" s="0" t="n">
        <f aca="false">MIN(R85,N85)</f>
        <v>1484.72724238121</v>
      </c>
      <c r="BI85" s="0" t="n">
        <f aca="false">R85-BH85</f>
        <v>23986.2210610718</v>
      </c>
      <c r="BJ85" s="0" t="n">
        <f aca="false">MIN(BI85,O85)</f>
        <v>0</v>
      </c>
      <c r="BK85" s="0" t="n">
        <f aca="false">BI85-BJ85</f>
        <v>23986.2210610718</v>
      </c>
      <c r="BL85" s="0" t="n">
        <f aca="false">AZ85*MIN(AT85,BK85)</f>
        <v>0</v>
      </c>
      <c r="BM85" s="0" t="n">
        <f aca="false">AZ85*MIN(AU85,BK85-BL85)</f>
        <v>0</v>
      </c>
      <c r="BN85" s="0" t="n">
        <f aca="false">AZ85*MIN(AV85,BK85-BL85-BM85)</f>
        <v>0</v>
      </c>
      <c r="BO85" s="0" t="n">
        <f aca="false">BK85-BL85-BM85-BN85</f>
        <v>23986.2210610718</v>
      </c>
      <c r="BP85" s="0" t="n">
        <f aca="false">MIN(BO85,P85)</f>
        <v>0</v>
      </c>
      <c r="BQ85" s="0" t="n">
        <f aca="false">BO85-BP85</f>
        <v>23986.2210610718</v>
      </c>
      <c r="BR85" s="0" t="n">
        <f aca="false">BC85*MIN((AT85-BL85),BQ85)</f>
        <v>0</v>
      </c>
      <c r="BS85" s="0" t="n">
        <f aca="false">BC85*MIN((AU85-BM85),BQ85-BR85)</f>
        <v>0</v>
      </c>
      <c r="BT85" s="0" t="n">
        <f aca="false">BC85*MIN((AV85-BN85),BQ85-BR85-BS85)</f>
        <v>0</v>
      </c>
      <c r="BU85" s="0" t="n">
        <f aca="false">BQ85-BR85-BS85-BT85</f>
        <v>23986.2210610718</v>
      </c>
      <c r="BV85" s="0" t="n">
        <f aca="false">MIN(BU85,Q85)</f>
        <v>0</v>
      </c>
      <c r="BW85" s="0" t="n">
        <f aca="false">BU85-BV85</f>
        <v>23986.2210610718</v>
      </c>
      <c r="BX85" s="0" t="n">
        <f aca="false">BF85*MIN((AT85-BL85-BR85),BW85)</f>
        <v>0</v>
      </c>
      <c r="BY85" s="0" t="n">
        <f aca="false">BF85*MIN((AU85-BM85-BS85),BW85-BX85)</f>
        <v>0</v>
      </c>
      <c r="BZ85" s="0" t="n">
        <f aca="false">BF85*MIN((AV85-BN85-BT85),BW85-BX85-BY85)</f>
        <v>0</v>
      </c>
      <c r="CA85" s="0" t="n">
        <f aca="false">BW85-BX85-BY85-BZ85</f>
        <v>23986.2210610718</v>
      </c>
      <c r="CB85" s="0" t="n">
        <f aca="false">MAX(0,AT85+AU85+AV85-BL85-BM85-BN85-BR85-BS85-BT85-BX85-BY85-BZ85-AW85)</f>
        <v>0</v>
      </c>
      <c r="CC85" s="0" t="n">
        <f aca="false">1*MIN((AT85-BL85-BR85-BX85),MIN(CA85,CB85))</f>
        <v>0</v>
      </c>
      <c r="CD85" s="0" t="n">
        <f aca="false">1*MIN((AU85-BM85-BS85-BY85),MIN(CA85,CB85)-CC85)</f>
        <v>0</v>
      </c>
      <c r="CE85" s="0" t="n">
        <f aca="false">1*MIN((AV85-BN85-BT85-BZ85),MIN(CA85,CB85)-CC85-CD85)</f>
        <v>0</v>
      </c>
      <c r="CF85" s="0" t="n">
        <f aca="false">CA85-CC85-CD85-CE85</f>
        <v>23986.2210610718</v>
      </c>
      <c r="CG85" s="0" t="n">
        <f aca="false">IF(C85+D85+E85&gt;Inputs!$B$19,MIN(CF85,MAX(0,Inputs!$B$15-DO84)),0)</f>
        <v>0</v>
      </c>
      <c r="CH85" s="0" t="n">
        <f aca="false">CF85-CG85</f>
        <v>23986.2210610718</v>
      </c>
      <c r="CI85" s="0" t="n">
        <f aca="false">DO84+CG85</f>
        <v>0</v>
      </c>
      <c r="CJ85" s="0" t="n">
        <f aca="false">MIN(MAX(N85-BH85,0),CI85)</f>
        <v>0</v>
      </c>
      <c r="CK85" s="0" t="n">
        <f aca="false">MIN(MAX(O85-BJ85,0),CI85-CJ85)</f>
        <v>0</v>
      </c>
      <c r="CL85" s="0" t="n">
        <f aca="false">MIN(MAX(P85-BP85,0),CI85-CJ85-CK85)</f>
        <v>0</v>
      </c>
      <c r="CM85" s="0" t="n">
        <f aca="false">CJ85+CK85+CL85</f>
        <v>0</v>
      </c>
      <c r="CN85" s="0" t="n">
        <f aca="false">CI85-CM85</f>
        <v>0</v>
      </c>
      <c r="CO85" s="0" t="n">
        <f aca="false">BH85+CJ85</f>
        <v>1484.72724238121</v>
      </c>
      <c r="CP85" s="0" t="n">
        <f aca="false">BJ85+CK85</f>
        <v>0</v>
      </c>
      <c r="CQ85" s="0" t="n">
        <f aca="false">BP85+CL85</f>
        <v>0</v>
      </c>
      <c r="CR85" s="0" t="n">
        <f aca="false">BV85</f>
        <v>0</v>
      </c>
      <c r="CS85" s="0" t="n">
        <f aca="false">AT85-BL85-BR85-BX85-CC85</f>
        <v>0</v>
      </c>
      <c r="CT85" s="0" t="n">
        <f aca="false">AU85-BM85-BS85-BY85-CD85</f>
        <v>0</v>
      </c>
      <c r="CU85" s="0" t="n">
        <f aca="false">AV85-BN85-BT85-BZ85-CE85</f>
        <v>0</v>
      </c>
      <c r="CV85" s="0" t="n">
        <f aca="false">MAX(0,CS85+CT85+CU85-AW85)</f>
        <v>0</v>
      </c>
      <c r="CW85" s="0" t="n">
        <f aca="false">MIN(CU85,CV85)</f>
        <v>0</v>
      </c>
      <c r="CX85" s="0" t="n">
        <f aca="false">MIN(CT85,CV85-CW85)</f>
        <v>0</v>
      </c>
      <c r="CY85" s="0" t="n">
        <f aca="false">MIN(CS85,CV85-CW85-CX85)</f>
        <v>0</v>
      </c>
      <c r="CZ85" s="0" t="n">
        <f aca="false">IF(CS85-CY85&lt;Inputs!$B$19,0,CS85-CY85)</f>
        <v>0</v>
      </c>
      <c r="DA85" s="0" t="n">
        <f aca="false">IF(CT85-CX85&lt;Inputs!$B$19,0,CT85-CX85)</f>
        <v>0</v>
      </c>
      <c r="DB85" s="0" t="n">
        <f aca="false">IF(CU85-CW85&lt;Inputs!$B$19,0,CU85-CW85)</f>
        <v>0</v>
      </c>
      <c r="DC85" s="0" t="n">
        <f aca="false">N85-CO85</f>
        <v>0</v>
      </c>
      <c r="DD85" s="0" t="n">
        <f aca="false">O85-CP85</f>
        <v>0</v>
      </c>
      <c r="DE85" s="0" t="n">
        <f aca="false">P85-CQ85</f>
        <v>0</v>
      </c>
      <c r="DF85" s="0" t="n">
        <f aca="false">Q85-CR85</f>
        <v>0</v>
      </c>
      <c r="DG85" s="0" t="n">
        <f aca="false">IF(CZ85+DA85+DB85&lt;=Inputs!$B$19,1,0)</f>
        <v>1</v>
      </c>
      <c r="DH85" s="0" t="n">
        <f aca="false">DG85*CN85</f>
        <v>0</v>
      </c>
      <c r="DI85" s="0" t="n">
        <f aca="false">DG85*(AS85+DH85)</f>
        <v>583757.386627666</v>
      </c>
      <c r="DJ85" s="0" t="n">
        <f aca="false">DG85*MIN(DC85,DI85)</f>
        <v>0</v>
      </c>
      <c r="DK85" s="0" t="n">
        <f aca="false">DG85*MIN(DD85,DI85-DJ85)</f>
        <v>0</v>
      </c>
      <c r="DL85" s="0" t="n">
        <f aca="false">DG85*MIN(DE85,DI85-DJ85-DK85)</f>
        <v>0</v>
      </c>
      <c r="DM85" s="0" t="n">
        <f aca="false">DG85*MIN(DF85,DI85-DJ85-DK85-DL85)</f>
        <v>0</v>
      </c>
      <c r="DN85" s="0" t="n">
        <f aca="false">DJ85+DK85+DL85+DM85</f>
        <v>0</v>
      </c>
      <c r="DO85" s="0" t="n">
        <f aca="false">CN85-DH85</f>
        <v>0</v>
      </c>
      <c r="DP85" s="0" t="n">
        <f aca="false">DC85-DJ85</f>
        <v>0</v>
      </c>
      <c r="DQ85" s="0" t="n">
        <f aca="false">DD85-DK85</f>
        <v>0</v>
      </c>
      <c r="DR85" s="0" t="n">
        <f aca="false">DE85-DL85</f>
        <v>0</v>
      </c>
      <c r="DS85" s="0" t="n">
        <f aca="false">DF85-DM85</f>
        <v>0</v>
      </c>
      <c r="DT85" s="0" t="n">
        <f aca="false">CO85+DJ85</f>
        <v>1484.72724238121</v>
      </c>
      <c r="DU85" s="0" t="n">
        <f aca="false">CP85+DK85</f>
        <v>0</v>
      </c>
      <c r="DV85" s="0" t="n">
        <f aca="false">AP85+BL85+BR85+BX85+CC85</f>
        <v>0</v>
      </c>
      <c r="DW85" s="0" t="n">
        <f aca="false">CQ85+DL85</f>
        <v>0</v>
      </c>
      <c r="DX85" s="0" t="n">
        <f aca="false">AQ85+BM85+BS85+BY85+CD85</f>
        <v>0</v>
      </c>
      <c r="DY85" s="0" t="n">
        <f aca="false">CR85+DM85</f>
        <v>0</v>
      </c>
      <c r="DZ85" s="0" t="n">
        <f aca="false">AR85+BN85+BT85+BZ85+CE85</f>
        <v>0</v>
      </c>
      <c r="EA85" s="0" t="n">
        <f aca="false">DI85-DN85</f>
        <v>583757.386627666</v>
      </c>
      <c r="EB85" s="0" t="n">
        <f aca="false">CH85+EA85</f>
        <v>607743.607688738</v>
      </c>
      <c r="EC85" s="0" t="n">
        <f aca="false">R85-I85-MAX(-M85,0)-J85-K85-L85</f>
        <v>23986.2210610718</v>
      </c>
      <c r="ED85" s="0" t="n">
        <f aca="false">R85+S85+CM85+DH85-CG85-DT85-DU85-DW85-DY85-DV85-DX85-DZ85-EB85</f>
        <v>0</v>
      </c>
      <c r="EE85" s="0" t="n">
        <f aca="false">IF(AND(EB85&gt;0.000001,DP85+DQ85+DR85+DS85&gt;0.000001),1,0)</f>
        <v>0</v>
      </c>
    </row>
    <row r="86" customFormat="false" ht="15" hidden="false" customHeight="false" outlineLevel="0" collapsed="false">
      <c r="A86" s="0" t="n">
        <f aca="false">ROW()-5</f>
        <v>81</v>
      </c>
      <c r="B86" s="0" t="n">
        <f aca="false">Inputs!$B$11+(Inputs!$B$12-Inputs!$B$11)*(1-EXP(-A86/Inputs!$B$13))+Inputs!$B$8</f>
        <v>0.0328592902422725</v>
      </c>
      <c r="C86" s="0" t="n">
        <f aca="false">CZ85</f>
        <v>0</v>
      </c>
      <c r="D86" s="0" t="n">
        <f aca="false">DA85</f>
        <v>0</v>
      </c>
      <c r="E86" s="0" t="n">
        <f aca="false">DB85</f>
        <v>0</v>
      </c>
      <c r="F86" s="0" t="n">
        <f aca="false">IF(Inputs!$B$22=1,B86+Inputs!$B$23,Inputs!$B$23)/12</f>
        <v>0.00365494085352271</v>
      </c>
      <c r="G86" s="0" t="n">
        <f aca="false">IF(Inputs!$B$27=1,B86+Inputs!$B$28,Inputs!$B$28)/12</f>
        <v>0.00461327418685604</v>
      </c>
      <c r="H86" s="0" t="n">
        <f aca="false">IF(Inputs!$B$32=1,B86+Inputs!$B$33,Inputs!$B$33)/12</f>
        <v>0.00625</v>
      </c>
      <c r="I86" s="0" t="n">
        <f aca="false">Pool!BT86*Inputs!$B$14/12</f>
        <v>1179.66836244606</v>
      </c>
      <c r="J86" s="0" t="n">
        <f aca="false">C86*F86</f>
        <v>0</v>
      </c>
      <c r="K86" s="0" t="n">
        <f aca="false">D86*G86</f>
        <v>0</v>
      </c>
      <c r="L86" s="0" t="n">
        <f aca="false">E86*H86</f>
        <v>0</v>
      </c>
      <c r="M86" s="0" t="n">
        <f aca="false">Inputs!$B$17*(C86*Inputs!$B$22+D86*Inputs!$B$27+E86*Inputs!$B$32)*(B86-Inputs!$B$18)/12</f>
        <v>-0</v>
      </c>
      <c r="N86" s="0" t="n">
        <f aca="false">DP85+I86+MAX(-M86,0)</f>
        <v>1179.66836244606</v>
      </c>
      <c r="O86" s="0" t="n">
        <f aca="false">DQ85+J86</f>
        <v>0</v>
      </c>
      <c r="P86" s="0" t="n">
        <f aca="false">DR85+K86</f>
        <v>0</v>
      </c>
      <c r="Q86" s="0" t="n">
        <f aca="false">DS85+L86</f>
        <v>0</v>
      </c>
      <c r="R86" s="0" t="n">
        <f aca="false">Pool!BV86+MAX(M86,0)</f>
        <v>20237.6168616497</v>
      </c>
      <c r="S86" s="0" t="n">
        <f aca="false">Pool!BW86+Pool!BX86+Pool!BZ86</f>
        <v>576454.714879701</v>
      </c>
      <c r="T86" s="0" t="n">
        <f aca="false">MAX(T85,BG85)</f>
        <v>1</v>
      </c>
      <c r="U86" s="0" t="n">
        <f aca="false">MIN(C86,S86)</f>
        <v>0</v>
      </c>
      <c r="V86" s="0" t="n">
        <f aca="false">MIN(D86,S86-U86)</f>
        <v>0</v>
      </c>
      <c r="W86" s="0" t="n">
        <f aca="false">MIN(E86,S86-U86-V86)</f>
        <v>0</v>
      </c>
      <c r="X86" s="0" t="n">
        <f aca="false">IF(C86-(0)&gt;Inputs!$B$19,1,0)</f>
        <v>0</v>
      </c>
      <c r="Y86" s="0" t="n">
        <f aca="false">IF(D86-(0)&gt;Inputs!$B$19,1,0)</f>
        <v>0</v>
      </c>
      <c r="Z86" s="0" t="n">
        <f aca="false">IF(E86-(0)&gt;Inputs!$B$19,1,0)</f>
        <v>0</v>
      </c>
      <c r="AA86" s="0" t="n">
        <f aca="false">IF((X86*C86+Y86*D86+Z86*E86)&gt;0,MIN(C86-(0),S86*X86*C86/(X86*C86+Y86*D86+Z86*E86)),0)</f>
        <v>0</v>
      </c>
      <c r="AB86" s="0" t="n">
        <f aca="false">IF((X86*C86+Y86*D86+Z86*E86)&gt;0,MIN(D86-(0),S86*Y86*D86/(X86*C86+Y86*D86+Z86*E86)),0)</f>
        <v>0</v>
      </c>
      <c r="AC86" s="0" t="n">
        <f aca="false">IF((X86*C86+Y86*D86+Z86*E86)&gt;0,MIN(E86-(0),S86*Z86*E86/(X86*C86+Y86*D86+Z86*E86)),0)</f>
        <v>0</v>
      </c>
      <c r="AD86" s="0" t="n">
        <f aca="false">IF(C86-(AA86)&gt;Inputs!$B$19,1,0)</f>
        <v>0</v>
      </c>
      <c r="AE86" s="0" t="n">
        <f aca="false">IF(D86-(AB86)&gt;Inputs!$B$19,1,0)</f>
        <v>0</v>
      </c>
      <c r="AF86" s="0" t="n">
        <f aca="false">IF(E86-(AC86)&gt;Inputs!$B$19,1,0)</f>
        <v>0</v>
      </c>
      <c r="AG86" s="0" t="n">
        <f aca="false">IF((AD86*C86+AE86*D86+AF86*E86)&gt;0,MIN(C86-(AA86),(S86-(AA86+AB86+AC86))*AD86*C86/(AD86*C86+AE86*D86+AF86*E86)),0)</f>
        <v>0</v>
      </c>
      <c r="AH86" s="0" t="n">
        <f aca="false">IF((AD86*C86+AE86*D86+AF86*E86)&gt;0,MIN(D86-(AB86),(S86-(AA86+AB86+AC86))*AE86*D86/(AD86*C86+AE86*D86+AF86*E86)),0)</f>
        <v>0</v>
      </c>
      <c r="AI86" s="0" t="n">
        <f aca="false">IF((AD86*C86+AE86*D86+AF86*E86)&gt;0,MIN(E86-(AC86),(S86-(AA86+AB86+AC86))*AF86*E86/(AD86*C86+AE86*D86+AF86*E86)),0)</f>
        <v>0</v>
      </c>
      <c r="AJ86" s="0" t="n">
        <f aca="false">IF(C86-(AA86+AG86)&gt;Inputs!$B$19,1,0)</f>
        <v>0</v>
      </c>
      <c r="AK86" s="0" t="n">
        <f aca="false">IF(D86-(AB86+AH86)&gt;Inputs!$B$19,1,0)</f>
        <v>0</v>
      </c>
      <c r="AL86" s="0" t="n">
        <f aca="false">IF(E86-(AC86+AI86)&gt;Inputs!$B$19,1,0)</f>
        <v>0</v>
      </c>
      <c r="AM86" s="0" t="n">
        <f aca="false">IF((AJ86*C86+AK86*D86+AL86*E86)&gt;0,MIN(C86-(AA86+AG86),(S86-(AA86+AB86+AC86+AG86+AH86+AI86))*AJ86*C86/(AJ86*C86+AK86*D86+AL86*E86)),0)</f>
        <v>0</v>
      </c>
      <c r="AN86" s="0" t="n">
        <f aca="false">IF((AJ86*C86+AK86*D86+AL86*E86)&gt;0,MIN(D86-(AB86+AH86),(S86-(AA86+AB86+AC86+AG86+AH86+AI86))*AK86*D86/(AJ86*C86+AK86*D86+AL86*E86)),0)</f>
        <v>0</v>
      </c>
      <c r="AO86" s="0" t="n">
        <f aca="false">IF((AJ86*C86+AK86*D86+AL86*E86)&gt;0,MIN(E86-(AC86+AI86),(S86-(AA86+AB86+AC86+AG86+AH86+AI86))*AL86*E86/(AJ86*C86+AK86*D86+AL86*E86)),0)</f>
        <v>0</v>
      </c>
      <c r="AP86" s="0" t="n">
        <f aca="false">IF(T86=1,U86,AA86+AG86+AM86)</f>
        <v>0</v>
      </c>
      <c r="AQ86" s="0" t="n">
        <f aca="false">IF(T86=1,V86,AB86+AH86+AN86)</f>
        <v>0</v>
      </c>
      <c r="AR86" s="0" t="n">
        <f aca="false">IF(T86=1,W86,AC86+AI86+AO86)</f>
        <v>0</v>
      </c>
      <c r="AS86" s="0" t="n">
        <f aca="false">S86-AP86-AQ86-AR86</f>
        <v>576454.714879701</v>
      </c>
      <c r="AT86" s="0" t="n">
        <f aca="false">C86-AP86</f>
        <v>0</v>
      </c>
      <c r="AU86" s="0" t="n">
        <f aca="false">D86-AQ86</f>
        <v>0</v>
      </c>
      <c r="AV86" s="0" t="n">
        <f aca="false">E86-AR86</f>
        <v>0</v>
      </c>
      <c r="AW86" s="0" t="n">
        <f aca="false">Pool!CB86</f>
        <v>1707746.75424068</v>
      </c>
      <c r="AX86" s="0" t="n">
        <f aca="false">IF((AT86)&gt;Inputs!$B$19,AW86/(AT86),1000000000)</f>
        <v>1000000000</v>
      </c>
      <c r="AY86" s="0" t="n">
        <f aca="false">IF((J86)&gt;0.000000001,(R86-I86-MAX(-M86,0))/(J86),1000000000)</f>
        <v>1000000000</v>
      </c>
      <c r="AZ86" s="0" t="n">
        <f aca="false">IF(OR(AX86&lt;Inputs!$B$24,AY86&lt;Inputs!$B$25),1,0)</f>
        <v>0</v>
      </c>
      <c r="BA86" s="0" t="n">
        <f aca="false">IF((AT86+AU86)&gt;Inputs!$B$19,AW86/(AT86+AU86),1000000000)</f>
        <v>1000000000</v>
      </c>
      <c r="BB86" s="0" t="n">
        <f aca="false">IF((J86+K86)&gt;0.000000001,(R86-I86-MAX(-M86,0))/(J86+K86),1000000000)</f>
        <v>1000000000</v>
      </c>
      <c r="BC86" s="0" t="n">
        <f aca="false">IF(OR(BA86&lt;Inputs!$B$29,BB86&lt;Inputs!$B$30),1,0)</f>
        <v>0</v>
      </c>
      <c r="BD86" s="0" t="n">
        <f aca="false">IF((AT86+AU86+AV86)&gt;Inputs!$B$19,AW86/(AT86+AU86+AV86),1000000000)</f>
        <v>1000000000</v>
      </c>
      <c r="BE86" s="0" t="n">
        <f aca="false">IF((J86+K86+L86)&gt;0.000000001,(R86-I86-MAX(-M86,0))/(J86+K86+L86),1000000000)</f>
        <v>1000000000</v>
      </c>
      <c r="BF86" s="0" t="n">
        <f aca="false">IF(OR(BD86&lt;Inputs!$B$34,BE86&lt;Inputs!$B$35),1,0)</f>
        <v>0</v>
      </c>
      <c r="BG86" s="0" t="n">
        <f aca="false">MAX(AZ86,BC86,BF86)</f>
        <v>0</v>
      </c>
      <c r="BH86" s="0" t="n">
        <f aca="false">MIN(R86,N86)</f>
        <v>1179.66836244606</v>
      </c>
      <c r="BI86" s="0" t="n">
        <f aca="false">R86-BH86</f>
        <v>19057.9484992036</v>
      </c>
      <c r="BJ86" s="0" t="n">
        <f aca="false">MIN(BI86,O86)</f>
        <v>0</v>
      </c>
      <c r="BK86" s="0" t="n">
        <f aca="false">BI86-BJ86</f>
        <v>19057.9484992036</v>
      </c>
      <c r="BL86" s="0" t="n">
        <f aca="false">AZ86*MIN(AT86,BK86)</f>
        <v>0</v>
      </c>
      <c r="BM86" s="0" t="n">
        <f aca="false">AZ86*MIN(AU86,BK86-BL86)</f>
        <v>0</v>
      </c>
      <c r="BN86" s="0" t="n">
        <f aca="false">AZ86*MIN(AV86,BK86-BL86-BM86)</f>
        <v>0</v>
      </c>
      <c r="BO86" s="0" t="n">
        <f aca="false">BK86-BL86-BM86-BN86</f>
        <v>19057.9484992036</v>
      </c>
      <c r="BP86" s="0" t="n">
        <f aca="false">MIN(BO86,P86)</f>
        <v>0</v>
      </c>
      <c r="BQ86" s="0" t="n">
        <f aca="false">BO86-BP86</f>
        <v>19057.9484992036</v>
      </c>
      <c r="BR86" s="0" t="n">
        <f aca="false">BC86*MIN((AT86-BL86),BQ86)</f>
        <v>0</v>
      </c>
      <c r="BS86" s="0" t="n">
        <f aca="false">BC86*MIN((AU86-BM86),BQ86-BR86)</f>
        <v>0</v>
      </c>
      <c r="BT86" s="0" t="n">
        <f aca="false">BC86*MIN((AV86-BN86),BQ86-BR86-BS86)</f>
        <v>0</v>
      </c>
      <c r="BU86" s="0" t="n">
        <f aca="false">BQ86-BR86-BS86-BT86</f>
        <v>19057.9484992036</v>
      </c>
      <c r="BV86" s="0" t="n">
        <f aca="false">MIN(BU86,Q86)</f>
        <v>0</v>
      </c>
      <c r="BW86" s="0" t="n">
        <f aca="false">BU86-BV86</f>
        <v>19057.9484992036</v>
      </c>
      <c r="BX86" s="0" t="n">
        <f aca="false">BF86*MIN((AT86-BL86-BR86),BW86)</f>
        <v>0</v>
      </c>
      <c r="BY86" s="0" t="n">
        <f aca="false">BF86*MIN((AU86-BM86-BS86),BW86-BX86)</f>
        <v>0</v>
      </c>
      <c r="BZ86" s="0" t="n">
        <f aca="false">BF86*MIN((AV86-BN86-BT86),BW86-BX86-BY86)</f>
        <v>0</v>
      </c>
      <c r="CA86" s="0" t="n">
        <f aca="false">BW86-BX86-BY86-BZ86</f>
        <v>19057.9484992036</v>
      </c>
      <c r="CB86" s="0" t="n">
        <f aca="false">MAX(0,AT86+AU86+AV86-BL86-BM86-BN86-BR86-BS86-BT86-BX86-BY86-BZ86-AW86)</f>
        <v>0</v>
      </c>
      <c r="CC86" s="0" t="n">
        <f aca="false">1*MIN((AT86-BL86-BR86-BX86),MIN(CA86,CB86))</f>
        <v>0</v>
      </c>
      <c r="CD86" s="0" t="n">
        <f aca="false">1*MIN((AU86-BM86-BS86-BY86),MIN(CA86,CB86)-CC86)</f>
        <v>0</v>
      </c>
      <c r="CE86" s="0" t="n">
        <f aca="false">1*MIN((AV86-BN86-BT86-BZ86),MIN(CA86,CB86)-CC86-CD86)</f>
        <v>0</v>
      </c>
      <c r="CF86" s="0" t="n">
        <f aca="false">CA86-CC86-CD86-CE86</f>
        <v>19057.9484992036</v>
      </c>
      <c r="CG86" s="0" t="n">
        <f aca="false">IF(C86+D86+E86&gt;Inputs!$B$19,MIN(CF86,MAX(0,Inputs!$B$15-DO85)),0)</f>
        <v>0</v>
      </c>
      <c r="CH86" s="0" t="n">
        <f aca="false">CF86-CG86</f>
        <v>19057.9484992036</v>
      </c>
      <c r="CI86" s="0" t="n">
        <f aca="false">DO85+CG86</f>
        <v>0</v>
      </c>
      <c r="CJ86" s="0" t="n">
        <f aca="false">MIN(MAX(N86-BH86,0),CI86)</f>
        <v>0</v>
      </c>
      <c r="CK86" s="0" t="n">
        <f aca="false">MIN(MAX(O86-BJ86,0),CI86-CJ86)</f>
        <v>0</v>
      </c>
      <c r="CL86" s="0" t="n">
        <f aca="false">MIN(MAX(P86-BP86,0),CI86-CJ86-CK86)</f>
        <v>0</v>
      </c>
      <c r="CM86" s="0" t="n">
        <f aca="false">CJ86+CK86+CL86</f>
        <v>0</v>
      </c>
      <c r="CN86" s="0" t="n">
        <f aca="false">CI86-CM86</f>
        <v>0</v>
      </c>
      <c r="CO86" s="0" t="n">
        <f aca="false">BH86+CJ86</f>
        <v>1179.66836244606</v>
      </c>
      <c r="CP86" s="0" t="n">
        <f aca="false">BJ86+CK86</f>
        <v>0</v>
      </c>
      <c r="CQ86" s="0" t="n">
        <f aca="false">BP86+CL86</f>
        <v>0</v>
      </c>
      <c r="CR86" s="0" t="n">
        <f aca="false">BV86</f>
        <v>0</v>
      </c>
      <c r="CS86" s="0" t="n">
        <f aca="false">AT86-BL86-BR86-BX86-CC86</f>
        <v>0</v>
      </c>
      <c r="CT86" s="0" t="n">
        <f aca="false">AU86-BM86-BS86-BY86-CD86</f>
        <v>0</v>
      </c>
      <c r="CU86" s="0" t="n">
        <f aca="false">AV86-BN86-BT86-BZ86-CE86</f>
        <v>0</v>
      </c>
      <c r="CV86" s="0" t="n">
        <f aca="false">MAX(0,CS86+CT86+CU86-AW86)</f>
        <v>0</v>
      </c>
      <c r="CW86" s="0" t="n">
        <f aca="false">MIN(CU86,CV86)</f>
        <v>0</v>
      </c>
      <c r="CX86" s="0" t="n">
        <f aca="false">MIN(CT86,CV86-CW86)</f>
        <v>0</v>
      </c>
      <c r="CY86" s="0" t="n">
        <f aca="false">MIN(CS86,CV86-CW86-CX86)</f>
        <v>0</v>
      </c>
      <c r="CZ86" s="0" t="n">
        <f aca="false">IF(CS86-CY86&lt;Inputs!$B$19,0,CS86-CY86)</f>
        <v>0</v>
      </c>
      <c r="DA86" s="0" t="n">
        <f aca="false">IF(CT86-CX86&lt;Inputs!$B$19,0,CT86-CX86)</f>
        <v>0</v>
      </c>
      <c r="DB86" s="0" t="n">
        <f aca="false">IF(CU86-CW86&lt;Inputs!$B$19,0,CU86-CW86)</f>
        <v>0</v>
      </c>
      <c r="DC86" s="0" t="n">
        <f aca="false">N86-CO86</f>
        <v>0</v>
      </c>
      <c r="DD86" s="0" t="n">
        <f aca="false">O86-CP86</f>
        <v>0</v>
      </c>
      <c r="DE86" s="0" t="n">
        <f aca="false">P86-CQ86</f>
        <v>0</v>
      </c>
      <c r="DF86" s="0" t="n">
        <f aca="false">Q86-CR86</f>
        <v>0</v>
      </c>
      <c r="DG86" s="0" t="n">
        <f aca="false">IF(CZ86+DA86+DB86&lt;=Inputs!$B$19,1,0)</f>
        <v>1</v>
      </c>
      <c r="DH86" s="0" t="n">
        <f aca="false">DG86*CN86</f>
        <v>0</v>
      </c>
      <c r="DI86" s="0" t="n">
        <f aca="false">DG86*(AS86+DH86)</f>
        <v>576454.714879701</v>
      </c>
      <c r="DJ86" s="0" t="n">
        <f aca="false">DG86*MIN(DC86,DI86)</f>
        <v>0</v>
      </c>
      <c r="DK86" s="0" t="n">
        <f aca="false">DG86*MIN(DD86,DI86-DJ86)</f>
        <v>0</v>
      </c>
      <c r="DL86" s="0" t="n">
        <f aca="false">DG86*MIN(DE86,DI86-DJ86-DK86)</f>
        <v>0</v>
      </c>
      <c r="DM86" s="0" t="n">
        <f aca="false">DG86*MIN(DF86,DI86-DJ86-DK86-DL86)</f>
        <v>0</v>
      </c>
      <c r="DN86" s="0" t="n">
        <f aca="false">DJ86+DK86+DL86+DM86</f>
        <v>0</v>
      </c>
      <c r="DO86" s="0" t="n">
        <f aca="false">CN86-DH86</f>
        <v>0</v>
      </c>
      <c r="DP86" s="0" t="n">
        <f aca="false">DC86-DJ86</f>
        <v>0</v>
      </c>
      <c r="DQ86" s="0" t="n">
        <f aca="false">DD86-DK86</f>
        <v>0</v>
      </c>
      <c r="DR86" s="0" t="n">
        <f aca="false">DE86-DL86</f>
        <v>0</v>
      </c>
      <c r="DS86" s="0" t="n">
        <f aca="false">DF86-DM86</f>
        <v>0</v>
      </c>
      <c r="DT86" s="0" t="n">
        <f aca="false">CO86+DJ86</f>
        <v>1179.66836244606</v>
      </c>
      <c r="DU86" s="0" t="n">
        <f aca="false">CP86+DK86</f>
        <v>0</v>
      </c>
      <c r="DV86" s="0" t="n">
        <f aca="false">AP86+BL86+BR86+BX86+CC86</f>
        <v>0</v>
      </c>
      <c r="DW86" s="0" t="n">
        <f aca="false">CQ86+DL86</f>
        <v>0</v>
      </c>
      <c r="DX86" s="0" t="n">
        <f aca="false">AQ86+BM86+BS86+BY86+CD86</f>
        <v>0</v>
      </c>
      <c r="DY86" s="0" t="n">
        <f aca="false">CR86+DM86</f>
        <v>0</v>
      </c>
      <c r="DZ86" s="0" t="n">
        <f aca="false">AR86+BN86+BT86+BZ86+CE86</f>
        <v>0</v>
      </c>
      <c r="EA86" s="0" t="n">
        <f aca="false">DI86-DN86</f>
        <v>576454.714879701</v>
      </c>
      <c r="EB86" s="0" t="n">
        <f aca="false">CH86+EA86</f>
        <v>595512.663378904</v>
      </c>
      <c r="EC86" s="0" t="n">
        <f aca="false">R86-I86-MAX(-M86,0)-J86-K86-L86</f>
        <v>19057.9484992036</v>
      </c>
      <c r="ED86" s="0" t="n">
        <f aca="false">R86+S86+CM86+DH86-CG86-DT86-DU86-DW86-DY86-DV86-DX86-DZ86-EB86</f>
        <v>0</v>
      </c>
      <c r="EE86" s="0" t="n">
        <f aca="false">IF(AND(EB86&gt;0.000001,DP86+DQ86+DR86+DS86&gt;0.000001),1,0)</f>
        <v>0</v>
      </c>
    </row>
    <row r="87" customFormat="false" ht="15" hidden="false" customHeight="false" outlineLevel="0" collapsed="false">
      <c r="A87" s="0" t="n">
        <f aca="false">ROW()-5</f>
        <v>82</v>
      </c>
      <c r="B87" s="0" t="n">
        <f aca="false">Inputs!$B$11+(Inputs!$B$12-Inputs!$B$11)*(1-EXP(-A87/Inputs!$B$13))+Inputs!$B$8</f>
        <v>0.03284462741243</v>
      </c>
      <c r="C87" s="0" t="n">
        <f aca="false">CZ86</f>
        <v>0</v>
      </c>
      <c r="D87" s="0" t="n">
        <f aca="false">DA86</f>
        <v>0</v>
      </c>
      <c r="E87" s="0" t="n">
        <f aca="false">DB86</f>
        <v>0</v>
      </c>
      <c r="F87" s="0" t="n">
        <f aca="false">IF(Inputs!$B$22=1,B87+Inputs!$B$23,Inputs!$B$23)/12</f>
        <v>0.00365371895103583</v>
      </c>
      <c r="G87" s="0" t="n">
        <f aca="false">IF(Inputs!$B$27=1,B87+Inputs!$B$28,Inputs!$B$28)/12</f>
        <v>0.00461205228436916</v>
      </c>
      <c r="H87" s="0" t="n">
        <f aca="false">IF(Inputs!$B$32=1,B87+Inputs!$B$33,Inputs!$B$33)/12</f>
        <v>0.00625</v>
      </c>
      <c r="I87" s="0" t="n">
        <f aca="false">Pool!BT87*Inputs!$B$14/12</f>
        <v>878.713692122742</v>
      </c>
      <c r="J87" s="0" t="n">
        <f aca="false">C87*F87</f>
        <v>0</v>
      </c>
      <c r="K87" s="0" t="n">
        <f aca="false">D87*G87</f>
        <v>0</v>
      </c>
      <c r="L87" s="0" t="n">
        <f aca="false">E87*H87</f>
        <v>0</v>
      </c>
      <c r="M87" s="0" t="n">
        <f aca="false">Inputs!$B$17*(C87*Inputs!$B$22+D87*Inputs!$B$27+E87*Inputs!$B$32)*(B87-Inputs!$B$18)/12</f>
        <v>-0</v>
      </c>
      <c r="N87" s="0" t="n">
        <f aca="false">DP86+I87+MAX(-M87,0)</f>
        <v>878.713692122742</v>
      </c>
      <c r="O87" s="0" t="n">
        <f aca="false">DQ86+J87</f>
        <v>0</v>
      </c>
      <c r="P87" s="0" t="n">
        <f aca="false">DR86+K87</f>
        <v>0</v>
      </c>
      <c r="Q87" s="0" t="n">
        <f aca="false">DS86+L87</f>
        <v>0</v>
      </c>
      <c r="R87" s="0" t="n">
        <f aca="false">Pool!BV87+MAX(M87,0)</f>
        <v>15074.6707094262</v>
      </c>
      <c r="S87" s="0" t="n">
        <f aca="false">Pool!BW87+Pool!BX87+Pool!BZ87</f>
        <v>569235.959104847</v>
      </c>
      <c r="T87" s="0" t="n">
        <f aca="false">MAX(T86,BG86)</f>
        <v>1</v>
      </c>
      <c r="U87" s="0" t="n">
        <f aca="false">MIN(C87,S87)</f>
        <v>0</v>
      </c>
      <c r="V87" s="0" t="n">
        <f aca="false">MIN(D87,S87-U87)</f>
        <v>0</v>
      </c>
      <c r="W87" s="0" t="n">
        <f aca="false">MIN(E87,S87-U87-V87)</f>
        <v>0</v>
      </c>
      <c r="X87" s="0" t="n">
        <f aca="false">IF(C87-(0)&gt;Inputs!$B$19,1,0)</f>
        <v>0</v>
      </c>
      <c r="Y87" s="0" t="n">
        <f aca="false">IF(D87-(0)&gt;Inputs!$B$19,1,0)</f>
        <v>0</v>
      </c>
      <c r="Z87" s="0" t="n">
        <f aca="false">IF(E87-(0)&gt;Inputs!$B$19,1,0)</f>
        <v>0</v>
      </c>
      <c r="AA87" s="0" t="n">
        <f aca="false">IF((X87*C87+Y87*D87+Z87*E87)&gt;0,MIN(C87-(0),S87*X87*C87/(X87*C87+Y87*D87+Z87*E87)),0)</f>
        <v>0</v>
      </c>
      <c r="AB87" s="0" t="n">
        <f aca="false">IF((X87*C87+Y87*D87+Z87*E87)&gt;0,MIN(D87-(0),S87*Y87*D87/(X87*C87+Y87*D87+Z87*E87)),0)</f>
        <v>0</v>
      </c>
      <c r="AC87" s="0" t="n">
        <f aca="false">IF((X87*C87+Y87*D87+Z87*E87)&gt;0,MIN(E87-(0),S87*Z87*E87/(X87*C87+Y87*D87+Z87*E87)),0)</f>
        <v>0</v>
      </c>
      <c r="AD87" s="0" t="n">
        <f aca="false">IF(C87-(AA87)&gt;Inputs!$B$19,1,0)</f>
        <v>0</v>
      </c>
      <c r="AE87" s="0" t="n">
        <f aca="false">IF(D87-(AB87)&gt;Inputs!$B$19,1,0)</f>
        <v>0</v>
      </c>
      <c r="AF87" s="0" t="n">
        <f aca="false">IF(E87-(AC87)&gt;Inputs!$B$19,1,0)</f>
        <v>0</v>
      </c>
      <c r="AG87" s="0" t="n">
        <f aca="false">IF((AD87*C87+AE87*D87+AF87*E87)&gt;0,MIN(C87-(AA87),(S87-(AA87+AB87+AC87))*AD87*C87/(AD87*C87+AE87*D87+AF87*E87)),0)</f>
        <v>0</v>
      </c>
      <c r="AH87" s="0" t="n">
        <f aca="false">IF((AD87*C87+AE87*D87+AF87*E87)&gt;0,MIN(D87-(AB87),(S87-(AA87+AB87+AC87))*AE87*D87/(AD87*C87+AE87*D87+AF87*E87)),0)</f>
        <v>0</v>
      </c>
      <c r="AI87" s="0" t="n">
        <f aca="false">IF((AD87*C87+AE87*D87+AF87*E87)&gt;0,MIN(E87-(AC87),(S87-(AA87+AB87+AC87))*AF87*E87/(AD87*C87+AE87*D87+AF87*E87)),0)</f>
        <v>0</v>
      </c>
      <c r="AJ87" s="0" t="n">
        <f aca="false">IF(C87-(AA87+AG87)&gt;Inputs!$B$19,1,0)</f>
        <v>0</v>
      </c>
      <c r="AK87" s="0" t="n">
        <f aca="false">IF(D87-(AB87+AH87)&gt;Inputs!$B$19,1,0)</f>
        <v>0</v>
      </c>
      <c r="AL87" s="0" t="n">
        <f aca="false">IF(E87-(AC87+AI87)&gt;Inputs!$B$19,1,0)</f>
        <v>0</v>
      </c>
      <c r="AM87" s="0" t="n">
        <f aca="false">IF((AJ87*C87+AK87*D87+AL87*E87)&gt;0,MIN(C87-(AA87+AG87),(S87-(AA87+AB87+AC87+AG87+AH87+AI87))*AJ87*C87/(AJ87*C87+AK87*D87+AL87*E87)),0)</f>
        <v>0</v>
      </c>
      <c r="AN87" s="0" t="n">
        <f aca="false">IF((AJ87*C87+AK87*D87+AL87*E87)&gt;0,MIN(D87-(AB87+AH87),(S87-(AA87+AB87+AC87+AG87+AH87+AI87))*AK87*D87/(AJ87*C87+AK87*D87+AL87*E87)),0)</f>
        <v>0</v>
      </c>
      <c r="AO87" s="0" t="n">
        <f aca="false">IF((AJ87*C87+AK87*D87+AL87*E87)&gt;0,MIN(E87-(AC87+AI87),(S87-(AA87+AB87+AC87+AG87+AH87+AI87))*AL87*E87/(AJ87*C87+AK87*D87+AL87*E87)),0)</f>
        <v>0</v>
      </c>
      <c r="AP87" s="0" t="n">
        <f aca="false">IF(T87=1,U87,AA87+AG87+AM87)</f>
        <v>0</v>
      </c>
      <c r="AQ87" s="0" t="n">
        <f aca="false">IF(T87=1,V87,AB87+AH87+AN87)</f>
        <v>0</v>
      </c>
      <c r="AR87" s="0" t="n">
        <f aca="false">IF(T87=1,W87,AC87+AI87+AO87)</f>
        <v>0</v>
      </c>
      <c r="AS87" s="0" t="n">
        <f aca="false">S87-AP87-AQ87-AR87</f>
        <v>569235.959104847</v>
      </c>
      <c r="AT87" s="0" t="n">
        <f aca="false">C87-AP87</f>
        <v>0</v>
      </c>
      <c r="AU87" s="0" t="n">
        <f aca="false">D87-AQ87</f>
        <v>0</v>
      </c>
      <c r="AV87" s="0" t="n">
        <f aca="false">E87-AR87</f>
        <v>0</v>
      </c>
      <c r="AW87" s="0" t="n">
        <f aca="false">Pool!CB87</f>
        <v>1136813.58985798</v>
      </c>
      <c r="AX87" s="0" t="n">
        <f aca="false">IF((AT87)&gt;Inputs!$B$19,AW87/(AT87),1000000000)</f>
        <v>1000000000</v>
      </c>
      <c r="AY87" s="0" t="n">
        <f aca="false">IF((J87)&gt;0.000000001,(R87-I87-MAX(-M87,0))/(J87),1000000000)</f>
        <v>1000000000</v>
      </c>
      <c r="AZ87" s="0" t="n">
        <f aca="false">IF(OR(AX87&lt;Inputs!$B$24,AY87&lt;Inputs!$B$25),1,0)</f>
        <v>0</v>
      </c>
      <c r="BA87" s="0" t="n">
        <f aca="false">IF((AT87+AU87)&gt;Inputs!$B$19,AW87/(AT87+AU87),1000000000)</f>
        <v>1000000000</v>
      </c>
      <c r="BB87" s="0" t="n">
        <f aca="false">IF((J87+K87)&gt;0.000000001,(R87-I87-MAX(-M87,0))/(J87+K87),1000000000)</f>
        <v>1000000000</v>
      </c>
      <c r="BC87" s="0" t="n">
        <f aca="false">IF(OR(BA87&lt;Inputs!$B$29,BB87&lt;Inputs!$B$30),1,0)</f>
        <v>0</v>
      </c>
      <c r="BD87" s="0" t="n">
        <f aca="false">IF((AT87+AU87+AV87)&gt;Inputs!$B$19,AW87/(AT87+AU87+AV87),1000000000)</f>
        <v>1000000000</v>
      </c>
      <c r="BE87" s="0" t="n">
        <f aca="false">IF((J87+K87+L87)&gt;0.000000001,(R87-I87-MAX(-M87,0))/(J87+K87+L87),1000000000)</f>
        <v>1000000000</v>
      </c>
      <c r="BF87" s="0" t="n">
        <f aca="false">IF(OR(BD87&lt;Inputs!$B$34,BE87&lt;Inputs!$B$35),1,0)</f>
        <v>0</v>
      </c>
      <c r="BG87" s="0" t="n">
        <f aca="false">MAX(AZ87,BC87,BF87)</f>
        <v>0</v>
      </c>
      <c r="BH87" s="0" t="n">
        <f aca="false">MIN(R87,N87)</f>
        <v>878.713692122742</v>
      </c>
      <c r="BI87" s="0" t="n">
        <f aca="false">R87-BH87</f>
        <v>14195.9570173034</v>
      </c>
      <c r="BJ87" s="0" t="n">
        <f aca="false">MIN(BI87,O87)</f>
        <v>0</v>
      </c>
      <c r="BK87" s="0" t="n">
        <f aca="false">BI87-BJ87</f>
        <v>14195.9570173034</v>
      </c>
      <c r="BL87" s="0" t="n">
        <f aca="false">AZ87*MIN(AT87,BK87)</f>
        <v>0</v>
      </c>
      <c r="BM87" s="0" t="n">
        <f aca="false">AZ87*MIN(AU87,BK87-BL87)</f>
        <v>0</v>
      </c>
      <c r="BN87" s="0" t="n">
        <f aca="false">AZ87*MIN(AV87,BK87-BL87-BM87)</f>
        <v>0</v>
      </c>
      <c r="BO87" s="0" t="n">
        <f aca="false">BK87-BL87-BM87-BN87</f>
        <v>14195.9570173034</v>
      </c>
      <c r="BP87" s="0" t="n">
        <f aca="false">MIN(BO87,P87)</f>
        <v>0</v>
      </c>
      <c r="BQ87" s="0" t="n">
        <f aca="false">BO87-BP87</f>
        <v>14195.9570173034</v>
      </c>
      <c r="BR87" s="0" t="n">
        <f aca="false">BC87*MIN((AT87-BL87),BQ87)</f>
        <v>0</v>
      </c>
      <c r="BS87" s="0" t="n">
        <f aca="false">BC87*MIN((AU87-BM87),BQ87-BR87)</f>
        <v>0</v>
      </c>
      <c r="BT87" s="0" t="n">
        <f aca="false">BC87*MIN((AV87-BN87),BQ87-BR87-BS87)</f>
        <v>0</v>
      </c>
      <c r="BU87" s="0" t="n">
        <f aca="false">BQ87-BR87-BS87-BT87</f>
        <v>14195.9570173034</v>
      </c>
      <c r="BV87" s="0" t="n">
        <f aca="false">MIN(BU87,Q87)</f>
        <v>0</v>
      </c>
      <c r="BW87" s="0" t="n">
        <f aca="false">BU87-BV87</f>
        <v>14195.9570173034</v>
      </c>
      <c r="BX87" s="0" t="n">
        <f aca="false">BF87*MIN((AT87-BL87-BR87),BW87)</f>
        <v>0</v>
      </c>
      <c r="BY87" s="0" t="n">
        <f aca="false">BF87*MIN((AU87-BM87-BS87),BW87-BX87)</f>
        <v>0</v>
      </c>
      <c r="BZ87" s="0" t="n">
        <f aca="false">BF87*MIN((AV87-BN87-BT87),BW87-BX87-BY87)</f>
        <v>0</v>
      </c>
      <c r="CA87" s="0" t="n">
        <f aca="false">BW87-BX87-BY87-BZ87</f>
        <v>14195.9570173034</v>
      </c>
      <c r="CB87" s="0" t="n">
        <f aca="false">MAX(0,AT87+AU87+AV87-BL87-BM87-BN87-BR87-BS87-BT87-BX87-BY87-BZ87-AW87)</f>
        <v>0</v>
      </c>
      <c r="CC87" s="0" t="n">
        <f aca="false">1*MIN((AT87-BL87-BR87-BX87),MIN(CA87,CB87))</f>
        <v>0</v>
      </c>
      <c r="CD87" s="0" t="n">
        <f aca="false">1*MIN((AU87-BM87-BS87-BY87),MIN(CA87,CB87)-CC87)</f>
        <v>0</v>
      </c>
      <c r="CE87" s="0" t="n">
        <f aca="false">1*MIN((AV87-BN87-BT87-BZ87),MIN(CA87,CB87)-CC87-CD87)</f>
        <v>0</v>
      </c>
      <c r="CF87" s="0" t="n">
        <f aca="false">CA87-CC87-CD87-CE87</f>
        <v>14195.9570173034</v>
      </c>
      <c r="CG87" s="0" t="n">
        <f aca="false">IF(C87+D87+E87&gt;Inputs!$B$19,MIN(CF87,MAX(0,Inputs!$B$15-DO86)),0)</f>
        <v>0</v>
      </c>
      <c r="CH87" s="0" t="n">
        <f aca="false">CF87-CG87</f>
        <v>14195.9570173034</v>
      </c>
      <c r="CI87" s="0" t="n">
        <f aca="false">DO86+CG87</f>
        <v>0</v>
      </c>
      <c r="CJ87" s="0" t="n">
        <f aca="false">MIN(MAX(N87-BH87,0),CI87)</f>
        <v>0</v>
      </c>
      <c r="CK87" s="0" t="n">
        <f aca="false">MIN(MAX(O87-BJ87,0),CI87-CJ87)</f>
        <v>0</v>
      </c>
      <c r="CL87" s="0" t="n">
        <f aca="false">MIN(MAX(P87-BP87,0),CI87-CJ87-CK87)</f>
        <v>0</v>
      </c>
      <c r="CM87" s="0" t="n">
        <f aca="false">CJ87+CK87+CL87</f>
        <v>0</v>
      </c>
      <c r="CN87" s="0" t="n">
        <f aca="false">CI87-CM87</f>
        <v>0</v>
      </c>
      <c r="CO87" s="0" t="n">
        <f aca="false">BH87+CJ87</f>
        <v>878.713692122742</v>
      </c>
      <c r="CP87" s="0" t="n">
        <f aca="false">BJ87+CK87</f>
        <v>0</v>
      </c>
      <c r="CQ87" s="0" t="n">
        <f aca="false">BP87+CL87</f>
        <v>0</v>
      </c>
      <c r="CR87" s="0" t="n">
        <f aca="false">BV87</f>
        <v>0</v>
      </c>
      <c r="CS87" s="0" t="n">
        <f aca="false">AT87-BL87-BR87-BX87-CC87</f>
        <v>0</v>
      </c>
      <c r="CT87" s="0" t="n">
        <f aca="false">AU87-BM87-BS87-BY87-CD87</f>
        <v>0</v>
      </c>
      <c r="CU87" s="0" t="n">
        <f aca="false">AV87-BN87-BT87-BZ87-CE87</f>
        <v>0</v>
      </c>
      <c r="CV87" s="0" t="n">
        <f aca="false">MAX(0,CS87+CT87+CU87-AW87)</f>
        <v>0</v>
      </c>
      <c r="CW87" s="0" t="n">
        <f aca="false">MIN(CU87,CV87)</f>
        <v>0</v>
      </c>
      <c r="CX87" s="0" t="n">
        <f aca="false">MIN(CT87,CV87-CW87)</f>
        <v>0</v>
      </c>
      <c r="CY87" s="0" t="n">
        <f aca="false">MIN(CS87,CV87-CW87-CX87)</f>
        <v>0</v>
      </c>
      <c r="CZ87" s="0" t="n">
        <f aca="false">IF(CS87-CY87&lt;Inputs!$B$19,0,CS87-CY87)</f>
        <v>0</v>
      </c>
      <c r="DA87" s="0" t="n">
        <f aca="false">IF(CT87-CX87&lt;Inputs!$B$19,0,CT87-CX87)</f>
        <v>0</v>
      </c>
      <c r="DB87" s="0" t="n">
        <f aca="false">IF(CU87-CW87&lt;Inputs!$B$19,0,CU87-CW87)</f>
        <v>0</v>
      </c>
      <c r="DC87" s="0" t="n">
        <f aca="false">N87-CO87</f>
        <v>0</v>
      </c>
      <c r="DD87" s="0" t="n">
        <f aca="false">O87-CP87</f>
        <v>0</v>
      </c>
      <c r="DE87" s="0" t="n">
        <f aca="false">P87-CQ87</f>
        <v>0</v>
      </c>
      <c r="DF87" s="0" t="n">
        <f aca="false">Q87-CR87</f>
        <v>0</v>
      </c>
      <c r="DG87" s="0" t="n">
        <f aca="false">IF(CZ87+DA87+DB87&lt;=Inputs!$B$19,1,0)</f>
        <v>1</v>
      </c>
      <c r="DH87" s="0" t="n">
        <f aca="false">DG87*CN87</f>
        <v>0</v>
      </c>
      <c r="DI87" s="0" t="n">
        <f aca="false">DG87*(AS87+DH87)</f>
        <v>569235.959104847</v>
      </c>
      <c r="DJ87" s="0" t="n">
        <f aca="false">DG87*MIN(DC87,DI87)</f>
        <v>0</v>
      </c>
      <c r="DK87" s="0" t="n">
        <f aca="false">DG87*MIN(DD87,DI87-DJ87)</f>
        <v>0</v>
      </c>
      <c r="DL87" s="0" t="n">
        <f aca="false">DG87*MIN(DE87,DI87-DJ87-DK87)</f>
        <v>0</v>
      </c>
      <c r="DM87" s="0" t="n">
        <f aca="false">DG87*MIN(DF87,DI87-DJ87-DK87-DL87)</f>
        <v>0</v>
      </c>
      <c r="DN87" s="0" t="n">
        <f aca="false">DJ87+DK87+DL87+DM87</f>
        <v>0</v>
      </c>
      <c r="DO87" s="0" t="n">
        <f aca="false">CN87-DH87</f>
        <v>0</v>
      </c>
      <c r="DP87" s="0" t="n">
        <f aca="false">DC87-DJ87</f>
        <v>0</v>
      </c>
      <c r="DQ87" s="0" t="n">
        <f aca="false">DD87-DK87</f>
        <v>0</v>
      </c>
      <c r="DR87" s="0" t="n">
        <f aca="false">DE87-DL87</f>
        <v>0</v>
      </c>
      <c r="DS87" s="0" t="n">
        <f aca="false">DF87-DM87</f>
        <v>0</v>
      </c>
      <c r="DT87" s="0" t="n">
        <f aca="false">CO87+DJ87</f>
        <v>878.713692122742</v>
      </c>
      <c r="DU87" s="0" t="n">
        <f aca="false">CP87+DK87</f>
        <v>0</v>
      </c>
      <c r="DV87" s="0" t="n">
        <f aca="false">AP87+BL87+BR87+BX87+CC87</f>
        <v>0</v>
      </c>
      <c r="DW87" s="0" t="n">
        <f aca="false">CQ87+DL87</f>
        <v>0</v>
      </c>
      <c r="DX87" s="0" t="n">
        <f aca="false">AQ87+BM87+BS87+BY87+CD87</f>
        <v>0</v>
      </c>
      <c r="DY87" s="0" t="n">
        <f aca="false">CR87+DM87</f>
        <v>0</v>
      </c>
      <c r="DZ87" s="0" t="n">
        <f aca="false">AR87+BN87+BT87+BZ87+CE87</f>
        <v>0</v>
      </c>
      <c r="EA87" s="0" t="n">
        <f aca="false">DI87-DN87</f>
        <v>569235.959104847</v>
      </c>
      <c r="EB87" s="0" t="n">
        <f aca="false">CH87+EA87</f>
        <v>583431.916122151</v>
      </c>
      <c r="EC87" s="0" t="n">
        <f aca="false">R87-I87-MAX(-M87,0)-J87-K87-L87</f>
        <v>14195.9570173034</v>
      </c>
      <c r="ED87" s="0" t="n">
        <f aca="false">R87+S87+CM87+DH87-CG87-DT87-DU87-DW87-DY87-DV87-DX87-DZ87-EB87</f>
        <v>0</v>
      </c>
      <c r="EE87" s="0" t="n">
        <f aca="false">IF(AND(EB87&gt;0.000001,DP87+DQ87+DR87+DS87&gt;0.000001),1,0)</f>
        <v>0</v>
      </c>
    </row>
    <row r="88" customFormat="false" ht="15" hidden="false" customHeight="false" outlineLevel="0" collapsed="false">
      <c r="A88" s="0" t="n">
        <f aca="false">ROW()-5</f>
        <v>83</v>
      </c>
      <c r="B88" s="0" t="n">
        <f aca="false">Inputs!$B$11+(Inputs!$B$12-Inputs!$B$11)*(1-EXP(-A88/Inputs!$B$13))+Inputs!$B$8</f>
        <v>0.0328305629806336</v>
      </c>
      <c r="C88" s="0" t="n">
        <f aca="false">CZ87</f>
        <v>0</v>
      </c>
      <c r="D88" s="0" t="n">
        <f aca="false">DA87</f>
        <v>0</v>
      </c>
      <c r="E88" s="0" t="n">
        <f aca="false">DB87</f>
        <v>0</v>
      </c>
      <c r="F88" s="0" t="n">
        <f aca="false">IF(Inputs!$B$22=1,B88+Inputs!$B$23,Inputs!$B$23)/12</f>
        <v>0.0036525469150528</v>
      </c>
      <c r="G88" s="0" t="n">
        <f aca="false">IF(Inputs!$B$27=1,B88+Inputs!$B$28,Inputs!$B$28)/12</f>
        <v>0.00461088024838614</v>
      </c>
      <c r="H88" s="0" t="n">
        <f aca="false">IF(Inputs!$B$32=1,B88+Inputs!$B$33,Inputs!$B$33)/12</f>
        <v>0.00625</v>
      </c>
      <c r="I88" s="0" t="n">
        <f aca="false">Pool!BT88*Inputs!$B$14/12</f>
        <v>581.815467501129</v>
      </c>
      <c r="J88" s="0" t="n">
        <f aca="false">C88*F88</f>
        <v>0</v>
      </c>
      <c r="K88" s="0" t="n">
        <f aca="false">D88*G88</f>
        <v>0</v>
      </c>
      <c r="L88" s="0" t="n">
        <f aca="false">E88*H88</f>
        <v>0</v>
      </c>
      <c r="M88" s="0" t="n">
        <f aca="false">Inputs!$B$17*(C88*Inputs!$B$22+D88*Inputs!$B$27+E88*Inputs!$B$32)*(B88-Inputs!$B$18)/12</f>
        <v>-0</v>
      </c>
      <c r="N88" s="0" t="n">
        <f aca="false">DP87+I88+MAX(-M88,0)</f>
        <v>581.815467501129</v>
      </c>
      <c r="O88" s="0" t="n">
        <f aca="false">DQ87+J88</f>
        <v>0</v>
      </c>
      <c r="P88" s="0" t="n">
        <f aca="false">DR87+K88</f>
        <v>0</v>
      </c>
      <c r="Q88" s="0" t="n">
        <f aca="false">DS87+L88</f>
        <v>0</v>
      </c>
      <c r="R88" s="0" t="n">
        <f aca="false">Pool!BV88+MAX(M88,0)</f>
        <v>9981.29081764997</v>
      </c>
      <c r="S88" s="0" t="n">
        <f aca="false">Pool!BW88+Pool!BX88+Pool!BZ88</f>
        <v>562100.170764585</v>
      </c>
      <c r="T88" s="0" t="n">
        <f aca="false">MAX(T87,BG87)</f>
        <v>1</v>
      </c>
      <c r="U88" s="0" t="n">
        <f aca="false">MIN(C88,S88)</f>
        <v>0</v>
      </c>
      <c r="V88" s="0" t="n">
        <f aca="false">MIN(D88,S88-U88)</f>
        <v>0</v>
      </c>
      <c r="W88" s="0" t="n">
        <f aca="false">MIN(E88,S88-U88-V88)</f>
        <v>0</v>
      </c>
      <c r="X88" s="0" t="n">
        <f aca="false">IF(C88-(0)&gt;Inputs!$B$19,1,0)</f>
        <v>0</v>
      </c>
      <c r="Y88" s="0" t="n">
        <f aca="false">IF(D88-(0)&gt;Inputs!$B$19,1,0)</f>
        <v>0</v>
      </c>
      <c r="Z88" s="0" t="n">
        <f aca="false">IF(E88-(0)&gt;Inputs!$B$19,1,0)</f>
        <v>0</v>
      </c>
      <c r="AA88" s="0" t="n">
        <f aca="false">IF((X88*C88+Y88*D88+Z88*E88)&gt;0,MIN(C88-(0),S88*X88*C88/(X88*C88+Y88*D88+Z88*E88)),0)</f>
        <v>0</v>
      </c>
      <c r="AB88" s="0" t="n">
        <f aca="false">IF((X88*C88+Y88*D88+Z88*E88)&gt;0,MIN(D88-(0),S88*Y88*D88/(X88*C88+Y88*D88+Z88*E88)),0)</f>
        <v>0</v>
      </c>
      <c r="AC88" s="0" t="n">
        <f aca="false">IF((X88*C88+Y88*D88+Z88*E88)&gt;0,MIN(E88-(0),S88*Z88*E88/(X88*C88+Y88*D88+Z88*E88)),0)</f>
        <v>0</v>
      </c>
      <c r="AD88" s="0" t="n">
        <f aca="false">IF(C88-(AA88)&gt;Inputs!$B$19,1,0)</f>
        <v>0</v>
      </c>
      <c r="AE88" s="0" t="n">
        <f aca="false">IF(D88-(AB88)&gt;Inputs!$B$19,1,0)</f>
        <v>0</v>
      </c>
      <c r="AF88" s="0" t="n">
        <f aca="false">IF(E88-(AC88)&gt;Inputs!$B$19,1,0)</f>
        <v>0</v>
      </c>
      <c r="AG88" s="0" t="n">
        <f aca="false">IF((AD88*C88+AE88*D88+AF88*E88)&gt;0,MIN(C88-(AA88),(S88-(AA88+AB88+AC88))*AD88*C88/(AD88*C88+AE88*D88+AF88*E88)),0)</f>
        <v>0</v>
      </c>
      <c r="AH88" s="0" t="n">
        <f aca="false">IF((AD88*C88+AE88*D88+AF88*E88)&gt;0,MIN(D88-(AB88),(S88-(AA88+AB88+AC88))*AE88*D88/(AD88*C88+AE88*D88+AF88*E88)),0)</f>
        <v>0</v>
      </c>
      <c r="AI88" s="0" t="n">
        <f aca="false">IF((AD88*C88+AE88*D88+AF88*E88)&gt;0,MIN(E88-(AC88),(S88-(AA88+AB88+AC88))*AF88*E88/(AD88*C88+AE88*D88+AF88*E88)),0)</f>
        <v>0</v>
      </c>
      <c r="AJ88" s="0" t="n">
        <f aca="false">IF(C88-(AA88+AG88)&gt;Inputs!$B$19,1,0)</f>
        <v>0</v>
      </c>
      <c r="AK88" s="0" t="n">
        <f aca="false">IF(D88-(AB88+AH88)&gt;Inputs!$B$19,1,0)</f>
        <v>0</v>
      </c>
      <c r="AL88" s="0" t="n">
        <f aca="false">IF(E88-(AC88+AI88)&gt;Inputs!$B$19,1,0)</f>
        <v>0</v>
      </c>
      <c r="AM88" s="0" t="n">
        <f aca="false">IF((AJ88*C88+AK88*D88+AL88*E88)&gt;0,MIN(C88-(AA88+AG88),(S88-(AA88+AB88+AC88+AG88+AH88+AI88))*AJ88*C88/(AJ88*C88+AK88*D88+AL88*E88)),0)</f>
        <v>0</v>
      </c>
      <c r="AN88" s="0" t="n">
        <f aca="false">IF((AJ88*C88+AK88*D88+AL88*E88)&gt;0,MIN(D88-(AB88+AH88),(S88-(AA88+AB88+AC88+AG88+AH88+AI88))*AK88*D88/(AJ88*C88+AK88*D88+AL88*E88)),0)</f>
        <v>0</v>
      </c>
      <c r="AO88" s="0" t="n">
        <f aca="false">IF((AJ88*C88+AK88*D88+AL88*E88)&gt;0,MIN(E88-(AC88+AI88),(S88-(AA88+AB88+AC88+AG88+AH88+AI88))*AL88*E88/(AJ88*C88+AK88*D88+AL88*E88)),0)</f>
        <v>0</v>
      </c>
      <c r="AP88" s="0" t="n">
        <f aca="false">IF(T88=1,U88,AA88+AG88+AM88)</f>
        <v>0</v>
      </c>
      <c r="AQ88" s="0" t="n">
        <f aca="false">IF(T88=1,V88,AB88+AH88+AN88)</f>
        <v>0</v>
      </c>
      <c r="AR88" s="0" t="n">
        <f aca="false">IF(T88=1,W88,AC88+AI88+AO88)</f>
        <v>0</v>
      </c>
      <c r="AS88" s="0" t="n">
        <f aca="false">S88-AP88-AQ88-AR88</f>
        <v>562100.170764585</v>
      </c>
      <c r="AT88" s="0" t="n">
        <f aca="false">C88-AP88</f>
        <v>0</v>
      </c>
      <c r="AU88" s="0" t="n">
        <f aca="false">D88-AQ88</f>
        <v>0</v>
      </c>
      <c r="AV88" s="0" t="n">
        <f aca="false">E88-AR88</f>
        <v>0</v>
      </c>
      <c r="AW88" s="0" t="n">
        <f aca="false">Pool!CB88</f>
        <v>573589.662526239</v>
      </c>
      <c r="AX88" s="0" t="n">
        <f aca="false">IF((AT88)&gt;Inputs!$B$19,AW88/(AT88),1000000000)</f>
        <v>1000000000</v>
      </c>
      <c r="AY88" s="0" t="n">
        <f aca="false">IF((J88)&gt;0.000000001,(R88-I88-MAX(-M88,0))/(J88),1000000000)</f>
        <v>1000000000</v>
      </c>
      <c r="AZ88" s="0" t="n">
        <f aca="false">IF(OR(AX88&lt;Inputs!$B$24,AY88&lt;Inputs!$B$25),1,0)</f>
        <v>0</v>
      </c>
      <c r="BA88" s="0" t="n">
        <f aca="false">IF((AT88+AU88)&gt;Inputs!$B$19,AW88/(AT88+AU88),1000000000)</f>
        <v>1000000000</v>
      </c>
      <c r="BB88" s="0" t="n">
        <f aca="false">IF((J88+K88)&gt;0.000000001,(R88-I88-MAX(-M88,0))/(J88+K88),1000000000)</f>
        <v>1000000000</v>
      </c>
      <c r="BC88" s="0" t="n">
        <f aca="false">IF(OR(BA88&lt;Inputs!$B$29,BB88&lt;Inputs!$B$30),1,0)</f>
        <v>0</v>
      </c>
      <c r="BD88" s="0" t="n">
        <f aca="false">IF((AT88+AU88+AV88)&gt;Inputs!$B$19,AW88/(AT88+AU88+AV88),1000000000)</f>
        <v>1000000000</v>
      </c>
      <c r="BE88" s="0" t="n">
        <f aca="false">IF((J88+K88+L88)&gt;0.000000001,(R88-I88-MAX(-M88,0))/(J88+K88+L88),1000000000)</f>
        <v>1000000000</v>
      </c>
      <c r="BF88" s="0" t="n">
        <f aca="false">IF(OR(BD88&lt;Inputs!$B$34,BE88&lt;Inputs!$B$35),1,0)</f>
        <v>0</v>
      </c>
      <c r="BG88" s="0" t="n">
        <f aca="false">MAX(AZ88,BC88,BF88)</f>
        <v>0</v>
      </c>
      <c r="BH88" s="0" t="n">
        <f aca="false">MIN(R88,N88)</f>
        <v>581.815467501129</v>
      </c>
      <c r="BI88" s="0" t="n">
        <f aca="false">R88-BH88</f>
        <v>9399.47535014884</v>
      </c>
      <c r="BJ88" s="0" t="n">
        <f aca="false">MIN(BI88,O88)</f>
        <v>0</v>
      </c>
      <c r="BK88" s="0" t="n">
        <f aca="false">BI88-BJ88</f>
        <v>9399.47535014884</v>
      </c>
      <c r="BL88" s="0" t="n">
        <f aca="false">AZ88*MIN(AT88,BK88)</f>
        <v>0</v>
      </c>
      <c r="BM88" s="0" t="n">
        <f aca="false">AZ88*MIN(AU88,BK88-BL88)</f>
        <v>0</v>
      </c>
      <c r="BN88" s="0" t="n">
        <f aca="false">AZ88*MIN(AV88,BK88-BL88-BM88)</f>
        <v>0</v>
      </c>
      <c r="BO88" s="0" t="n">
        <f aca="false">BK88-BL88-BM88-BN88</f>
        <v>9399.47535014884</v>
      </c>
      <c r="BP88" s="0" t="n">
        <f aca="false">MIN(BO88,P88)</f>
        <v>0</v>
      </c>
      <c r="BQ88" s="0" t="n">
        <f aca="false">BO88-BP88</f>
        <v>9399.47535014884</v>
      </c>
      <c r="BR88" s="0" t="n">
        <f aca="false">BC88*MIN((AT88-BL88),BQ88)</f>
        <v>0</v>
      </c>
      <c r="BS88" s="0" t="n">
        <f aca="false">BC88*MIN((AU88-BM88),BQ88-BR88)</f>
        <v>0</v>
      </c>
      <c r="BT88" s="0" t="n">
        <f aca="false">BC88*MIN((AV88-BN88),BQ88-BR88-BS88)</f>
        <v>0</v>
      </c>
      <c r="BU88" s="0" t="n">
        <f aca="false">BQ88-BR88-BS88-BT88</f>
        <v>9399.47535014884</v>
      </c>
      <c r="BV88" s="0" t="n">
        <f aca="false">MIN(BU88,Q88)</f>
        <v>0</v>
      </c>
      <c r="BW88" s="0" t="n">
        <f aca="false">BU88-BV88</f>
        <v>9399.47535014884</v>
      </c>
      <c r="BX88" s="0" t="n">
        <f aca="false">BF88*MIN((AT88-BL88-BR88),BW88)</f>
        <v>0</v>
      </c>
      <c r="BY88" s="0" t="n">
        <f aca="false">BF88*MIN((AU88-BM88-BS88),BW88-BX88)</f>
        <v>0</v>
      </c>
      <c r="BZ88" s="0" t="n">
        <f aca="false">BF88*MIN((AV88-BN88-BT88),BW88-BX88-BY88)</f>
        <v>0</v>
      </c>
      <c r="CA88" s="0" t="n">
        <f aca="false">BW88-BX88-BY88-BZ88</f>
        <v>9399.47535014884</v>
      </c>
      <c r="CB88" s="0" t="n">
        <f aca="false">MAX(0,AT88+AU88+AV88-BL88-BM88-BN88-BR88-BS88-BT88-BX88-BY88-BZ88-AW88)</f>
        <v>0</v>
      </c>
      <c r="CC88" s="0" t="n">
        <f aca="false">1*MIN((AT88-BL88-BR88-BX88),MIN(CA88,CB88))</f>
        <v>0</v>
      </c>
      <c r="CD88" s="0" t="n">
        <f aca="false">1*MIN((AU88-BM88-BS88-BY88),MIN(CA88,CB88)-CC88)</f>
        <v>0</v>
      </c>
      <c r="CE88" s="0" t="n">
        <f aca="false">1*MIN((AV88-BN88-BT88-BZ88),MIN(CA88,CB88)-CC88-CD88)</f>
        <v>0</v>
      </c>
      <c r="CF88" s="0" t="n">
        <f aca="false">CA88-CC88-CD88-CE88</f>
        <v>9399.47535014884</v>
      </c>
      <c r="CG88" s="0" t="n">
        <f aca="false">IF(C88+D88+E88&gt;Inputs!$B$19,MIN(CF88,MAX(0,Inputs!$B$15-DO87)),0)</f>
        <v>0</v>
      </c>
      <c r="CH88" s="0" t="n">
        <f aca="false">CF88-CG88</f>
        <v>9399.47535014884</v>
      </c>
      <c r="CI88" s="0" t="n">
        <f aca="false">DO87+CG88</f>
        <v>0</v>
      </c>
      <c r="CJ88" s="0" t="n">
        <f aca="false">MIN(MAX(N88-BH88,0),CI88)</f>
        <v>0</v>
      </c>
      <c r="CK88" s="0" t="n">
        <f aca="false">MIN(MAX(O88-BJ88,0),CI88-CJ88)</f>
        <v>0</v>
      </c>
      <c r="CL88" s="0" t="n">
        <f aca="false">MIN(MAX(P88-BP88,0),CI88-CJ88-CK88)</f>
        <v>0</v>
      </c>
      <c r="CM88" s="0" t="n">
        <f aca="false">CJ88+CK88+CL88</f>
        <v>0</v>
      </c>
      <c r="CN88" s="0" t="n">
        <f aca="false">CI88-CM88</f>
        <v>0</v>
      </c>
      <c r="CO88" s="0" t="n">
        <f aca="false">BH88+CJ88</f>
        <v>581.815467501129</v>
      </c>
      <c r="CP88" s="0" t="n">
        <f aca="false">BJ88+CK88</f>
        <v>0</v>
      </c>
      <c r="CQ88" s="0" t="n">
        <f aca="false">BP88+CL88</f>
        <v>0</v>
      </c>
      <c r="CR88" s="0" t="n">
        <f aca="false">BV88</f>
        <v>0</v>
      </c>
      <c r="CS88" s="0" t="n">
        <f aca="false">AT88-BL88-BR88-BX88-CC88</f>
        <v>0</v>
      </c>
      <c r="CT88" s="0" t="n">
        <f aca="false">AU88-BM88-BS88-BY88-CD88</f>
        <v>0</v>
      </c>
      <c r="CU88" s="0" t="n">
        <f aca="false">AV88-BN88-BT88-BZ88-CE88</f>
        <v>0</v>
      </c>
      <c r="CV88" s="0" t="n">
        <f aca="false">MAX(0,CS88+CT88+CU88-AW88)</f>
        <v>0</v>
      </c>
      <c r="CW88" s="0" t="n">
        <f aca="false">MIN(CU88,CV88)</f>
        <v>0</v>
      </c>
      <c r="CX88" s="0" t="n">
        <f aca="false">MIN(CT88,CV88-CW88)</f>
        <v>0</v>
      </c>
      <c r="CY88" s="0" t="n">
        <f aca="false">MIN(CS88,CV88-CW88-CX88)</f>
        <v>0</v>
      </c>
      <c r="CZ88" s="0" t="n">
        <f aca="false">IF(CS88-CY88&lt;Inputs!$B$19,0,CS88-CY88)</f>
        <v>0</v>
      </c>
      <c r="DA88" s="0" t="n">
        <f aca="false">IF(CT88-CX88&lt;Inputs!$B$19,0,CT88-CX88)</f>
        <v>0</v>
      </c>
      <c r="DB88" s="0" t="n">
        <f aca="false">IF(CU88-CW88&lt;Inputs!$B$19,0,CU88-CW88)</f>
        <v>0</v>
      </c>
      <c r="DC88" s="0" t="n">
        <f aca="false">N88-CO88</f>
        <v>0</v>
      </c>
      <c r="DD88" s="0" t="n">
        <f aca="false">O88-CP88</f>
        <v>0</v>
      </c>
      <c r="DE88" s="0" t="n">
        <f aca="false">P88-CQ88</f>
        <v>0</v>
      </c>
      <c r="DF88" s="0" t="n">
        <f aca="false">Q88-CR88</f>
        <v>0</v>
      </c>
      <c r="DG88" s="0" t="n">
        <f aca="false">IF(CZ88+DA88+DB88&lt;=Inputs!$B$19,1,0)</f>
        <v>1</v>
      </c>
      <c r="DH88" s="0" t="n">
        <f aca="false">DG88*CN88</f>
        <v>0</v>
      </c>
      <c r="DI88" s="0" t="n">
        <f aca="false">DG88*(AS88+DH88)</f>
        <v>562100.170764585</v>
      </c>
      <c r="DJ88" s="0" t="n">
        <f aca="false">DG88*MIN(DC88,DI88)</f>
        <v>0</v>
      </c>
      <c r="DK88" s="0" t="n">
        <f aca="false">DG88*MIN(DD88,DI88-DJ88)</f>
        <v>0</v>
      </c>
      <c r="DL88" s="0" t="n">
        <f aca="false">DG88*MIN(DE88,DI88-DJ88-DK88)</f>
        <v>0</v>
      </c>
      <c r="DM88" s="0" t="n">
        <f aca="false">DG88*MIN(DF88,DI88-DJ88-DK88-DL88)</f>
        <v>0</v>
      </c>
      <c r="DN88" s="0" t="n">
        <f aca="false">DJ88+DK88+DL88+DM88</f>
        <v>0</v>
      </c>
      <c r="DO88" s="0" t="n">
        <f aca="false">CN88-DH88</f>
        <v>0</v>
      </c>
      <c r="DP88" s="0" t="n">
        <f aca="false">DC88-DJ88</f>
        <v>0</v>
      </c>
      <c r="DQ88" s="0" t="n">
        <f aca="false">DD88-DK88</f>
        <v>0</v>
      </c>
      <c r="DR88" s="0" t="n">
        <f aca="false">DE88-DL88</f>
        <v>0</v>
      </c>
      <c r="DS88" s="0" t="n">
        <f aca="false">DF88-DM88</f>
        <v>0</v>
      </c>
      <c r="DT88" s="0" t="n">
        <f aca="false">CO88+DJ88</f>
        <v>581.815467501129</v>
      </c>
      <c r="DU88" s="0" t="n">
        <f aca="false">CP88+DK88</f>
        <v>0</v>
      </c>
      <c r="DV88" s="0" t="n">
        <f aca="false">AP88+BL88+BR88+BX88+CC88</f>
        <v>0</v>
      </c>
      <c r="DW88" s="0" t="n">
        <f aca="false">CQ88+DL88</f>
        <v>0</v>
      </c>
      <c r="DX88" s="0" t="n">
        <f aca="false">AQ88+BM88+BS88+BY88+CD88</f>
        <v>0</v>
      </c>
      <c r="DY88" s="0" t="n">
        <f aca="false">CR88+DM88</f>
        <v>0</v>
      </c>
      <c r="DZ88" s="0" t="n">
        <f aca="false">AR88+BN88+BT88+BZ88+CE88</f>
        <v>0</v>
      </c>
      <c r="EA88" s="0" t="n">
        <f aca="false">DI88-DN88</f>
        <v>562100.170764585</v>
      </c>
      <c r="EB88" s="0" t="n">
        <f aca="false">CH88+EA88</f>
        <v>571499.646114734</v>
      </c>
      <c r="EC88" s="0" t="n">
        <f aca="false">R88-I88-MAX(-M88,0)-J88-K88-L88</f>
        <v>9399.47535014884</v>
      </c>
      <c r="ED88" s="0" t="n">
        <f aca="false">R88+S88+CM88+DH88-CG88-DT88-DU88-DW88-DY88-DV88-DX88-DZ88-EB88</f>
        <v>0</v>
      </c>
      <c r="EE88" s="0" t="n">
        <f aca="false">IF(AND(EB88&gt;0.000001,DP88+DQ88+DR88+DS88&gt;0.000001),1,0)</f>
        <v>0</v>
      </c>
    </row>
    <row r="89" customFormat="false" ht="15" hidden="false" customHeight="false" outlineLevel="0" collapsed="false">
      <c r="A89" s="0" t="n">
        <f aca="false">ROW()-5</f>
        <v>84</v>
      </c>
      <c r="B89" s="0" t="n">
        <f aca="false">Inputs!$B$11+(Inputs!$B$12-Inputs!$B$11)*(1-EXP(-A89/Inputs!$B$13))+Inputs!$B$8</f>
        <v>0.0328170725259344</v>
      </c>
      <c r="C89" s="0" t="n">
        <f aca="false">CZ88</f>
        <v>0</v>
      </c>
      <c r="D89" s="0" t="n">
        <f aca="false">DA88</f>
        <v>0</v>
      </c>
      <c r="E89" s="0" t="n">
        <f aca="false">DB88</f>
        <v>0</v>
      </c>
      <c r="F89" s="0" t="n">
        <f aca="false">IF(Inputs!$B$22=1,B89+Inputs!$B$23,Inputs!$B$23)/12</f>
        <v>0.00365142271049453</v>
      </c>
      <c r="G89" s="0" t="n">
        <f aca="false">IF(Inputs!$B$27=1,B89+Inputs!$B$28,Inputs!$B$28)/12</f>
        <v>0.00460975604382786</v>
      </c>
      <c r="H89" s="0" t="n">
        <f aca="false">IF(Inputs!$B$32=1,B89+Inputs!$B$33,Inputs!$B$33)/12</f>
        <v>0.00625</v>
      </c>
      <c r="I89" s="0" t="n">
        <f aca="false">Pool!BT89*Inputs!$B$14/12</f>
        <v>288.926465946723</v>
      </c>
      <c r="J89" s="0" t="n">
        <f aca="false">C89*F89</f>
        <v>0</v>
      </c>
      <c r="K89" s="0" t="n">
        <f aca="false">D89*G89</f>
        <v>0</v>
      </c>
      <c r="L89" s="0" t="n">
        <f aca="false">E89*H89</f>
        <v>0</v>
      </c>
      <c r="M89" s="0" t="n">
        <f aca="false">Inputs!$B$17*(C89*Inputs!$B$22+D89*Inputs!$B$27+E89*Inputs!$B$32)*(B89-Inputs!$B$18)/12</f>
        <v>-0</v>
      </c>
      <c r="N89" s="0" t="n">
        <f aca="false">DP88+I89+MAX(-M89,0)</f>
        <v>288.926465946723</v>
      </c>
      <c r="O89" s="0" t="n">
        <f aca="false">DQ88+J89</f>
        <v>0</v>
      </c>
      <c r="P89" s="0" t="n">
        <f aca="false">DR88+K89</f>
        <v>0</v>
      </c>
      <c r="Q89" s="0" t="n">
        <f aca="false">DS88+L89</f>
        <v>0</v>
      </c>
      <c r="R89" s="0" t="n">
        <f aca="false">Pool!BV89+MAX(M89,0)</f>
        <v>4956.66743832776</v>
      </c>
      <c r="S89" s="0" t="n">
        <f aca="false">Pool!BW89+Pool!BX89+Pool!BZ89</f>
        <v>555046.412005554</v>
      </c>
      <c r="T89" s="0" t="n">
        <f aca="false">MAX(T88,BG88)</f>
        <v>1</v>
      </c>
      <c r="U89" s="0" t="n">
        <f aca="false">MIN(C89,S89)</f>
        <v>0</v>
      </c>
      <c r="V89" s="0" t="n">
        <f aca="false">MIN(D89,S89-U89)</f>
        <v>0</v>
      </c>
      <c r="W89" s="0" t="n">
        <f aca="false">MIN(E89,S89-U89-V89)</f>
        <v>0</v>
      </c>
      <c r="X89" s="0" t="n">
        <f aca="false">IF(C89-(0)&gt;Inputs!$B$19,1,0)</f>
        <v>0</v>
      </c>
      <c r="Y89" s="0" t="n">
        <f aca="false">IF(D89-(0)&gt;Inputs!$B$19,1,0)</f>
        <v>0</v>
      </c>
      <c r="Z89" s="0" t="n">
        <f aca="false">IF(E89-(0)&gt;Inputs!$B$19,1,0)</f>
        <v>0</v>
      </c>
      <c r="AA89" s="0" t="n">
        <f aca="false">IF((X89*C89+Y89*D89+Z89*E89)&gt;0,MIN(C89-(0),S89*X89*C89/(X89*C89+Y89*D89+Z89*E89)),0)</f>
        <v>0</v>
      </c>
      <c r="AB89" s="0" t="n">
        <f aca="false">IF((X89*C89+Y89*D89+Z89*E89)&gt;0,MIN(D89-(0),S89*Y89*D89/(X89*C89+Y89*D89+Z89*E89)),0)</f>
        <v>0</v>
      </c>
      <c r="AC89" s="0" t="n">
        <f aca="false">IF((X89*C89+Y89*D89+Z89*E89)&gt;0,MIN(E89-(0),S89*Z89*E89/(X89*C89+Y89*D89+Z89*E89)),0)</f>
        <v>0</v>
      </c>
      <c r="AD89" s="0" t="n">
        <f aca="false">IF(C89-(AA89)&gt;Inputs!$B$19,1,0)</f>
        <v>0</v>
      </c>
      <c r="AE89" s="0" t="n">
        <f aca="false">IF(D89-(AB89)&gt;Inputs!$B$19,1,0)</f>
        <v>0</v>
      </c>
      <c r="AF89" s="0" t="n">
        <f aca="false">IF(E89-(AC89)&gt;Inputs!$B$19,1,0)</f>
        <v>0</v>
      </c>
      <c r="AG89" s="0" t="n">
        <f aca="false">IF((AD89*C89+AE89*D89+AF89*E89)&gt;0,MIN(C89-(AA89),(S89-(AA89+AB89+AC89))*AD89*C89/(AD89*C89+AE89*D89+AF89*E89)),0)</f>
        <v>0</v>
      </c>
      <c r="AH89" s="0" t="n">
        <f aca="false">IF((AD89*C89+AE89*D89+AF89*E89)&gt;0,MIN(D89-(AB89),(S89-(AA89+AB89+AC89))*AE89*D89/(AD89*C89+AE89*D89+AF89*E89)),0)</f>
        <v>0</v>
      </c>
      <c r="AI89" s="0" t="n">
        <f aca="false">IF((AD89*C89+AE89*D89+AF89*E89)&gt;0,MIN(E89-(AC89),(S89-(AA89+AB89+AC89))*AF89*E89/(AD89*C89+AE89*D89+AF89*E89)),0)</f>
        <v>0</v>
      </c>
      <c r="AJ89" s="0" t="n">
        <f aca="false">IF(C89-(AA89+AG89)&gt;Inputs!$B$19,1,0)</f>
        <v>0</v>
      </c>
      <c r="AK89" s="0" t="n">
        <f aca="false">IF(D89-(AB89+AH89)&gt;Inputs!$B$19,1,0)</f>
        <v>0</v>
      </c>
      <c r="AL89" s="0" t="n">
        <f aca="false">IF(E89-(AC89+AI89)&gt;Inputs!$B$19,1,0)</f>
        <v>0</v>
      </c>
      <c r="AM89" s="0" t="n">
        <f aca="false">IF((AJ89*C89+AK89*D89+AL89*E89)&gt;0,MIN(C89-(AA89+AG89),(S89-(AA89+AB89+AC89+AG89+AH89+AI89))*AJ89*C89/(AJ89*C89+AK89*D89+AL89*E89)),0)</f>
        <v>0</v>
      </c>
      <c r="AN89" s="0" t="n">
        <f aca="false">IF((AJ89*C89+AK89*D89+AL89*E89)&gt;0,MIN(D89-(AB89+AH89),(S89-(AA89+AB89+AC89+AG89+AH89+AI89))*AK89*D89/(AJ89*C89+AK89*D89+AL89*E89)),0)</f>
        <v>0</v>
      </c>
      <c r="AO89" s="0" t="n">
        <f aca="false">IF((AJ89*C89+AK89*D89+AL89*E89)&gt;0,MIN(E89-(AC89+AI89),(S89-(AA89+AB89+AC89+AG89+AH89+AI89))*AL89*E89/(AJ89*C89+AK89*D89+AL89*E89)),0)</f>
        <v>0</v>
      </c>
      <c r="AP89" s="0" t="n">
        <f aca="false">IF(T89=1,U89,AA89+AG89+AM89)</f>
        <v>0</v>
      </c>
      <c r="AQ89" s="0" t="n">
        <f aca="false">IF(T89=1,V89,AB89+AH89+AN89)</f>
        <v>0</v>
      </c>
      <c r="AR89" s="0" t="n">
        <f aca="false">IF(T89=1,W89,AC89+AI89+AO89)</f>
        <v>0</v>
      </c>
      <c r="AS89" s="0" t="n">
        <f aca="false">S89-AP89-AQ89-AR89</f>
        <v>555046.412005554</v>
      </c>
      <c r="AT89" s="0" t="n">
        <f aca="false">C89-AP89</f>
        <v>0</v>
      </c>
      <c r="AU89" s="0" t="n">
        <f aca="false">D89-AQ89</f>
        <v>0</v>
      </c>
      <c r="AV89" s="0" t="n">
        <f aca="false">E89-AR89</f>
        <v>0</v>
      </c>
      <c r="AW89" s="0" t="n">
        <f aca="false">Pool!CB89</f>
        <v>17985.1989877332</v>
      </c>
      <c r="AX89" s="0" t="n">
        <f aca="false">IF((AT89)&gt;Inputs!$B$19,AW89/(AT89),1000000000)</f>
        <v>1000000000</v>
      </c>
      <c r="AY89" s="0" t="n">
        <f aca="false">IF((J89)&gt;0.000000001,(R89-I89-MAX(-M89,0))/(J89),1000000000)</f>
        <v>1000000000</v>
      </c>
      <c r="AZ89" s="0" t="n">
        <f aca="false">IF(OR(AX89&lt;Inputs!$B$24,AY89&lt;Inputs!$B$25),1,0)</f>
        <v>0</v>
      </c>
      <c r="BA89" s="0" t="n">
        <f aca="false">IF((AT89+AU89)&gt;Inputs!$B$19,AW89/(AT89+AU89),1000000000)</f>
        <v>1000000000</v>
      </c>
      <c r="BB89" s="0" t="n">
        <f aca="false">IF((J89+K89)&gt;0.000000001,(R89-I89-MAX(-M89,0))/(J89+K89),1000000000)</f>
        <v>1000000000</v>
      </c>
      <c r="BC89" s="0" t="n">
        <f aca="false">IF(OR(BA89&lt;Inputs!$B$29,BB89&lt;Inputs!$B$30),1,0)</f>
        <v>0</v>
      </c>
      <c r="BD89" s="0" t="n">
        <f aca="false">IF((AT89+AU89+AV89)&gt;Inputs!$B$19,AW89/(AT89+AU89+AV89),1000000000)</f>
        <v>1000000000</v>
      </c>
      <c r="BE89" s="0" t="n">
        <f aca="false">IF((J89+K89+L89)&gt;0.000000001,(R89-I89-MAX(-M89,0))/(J89+K89+L89),1000000000)</f>
        <v>1000000000</v>
      </c>
      <c r="BF89" s="0" t="n">
        <f aca="false">IF(OR(BD89&lt;Inputs!$B$34,BE89&lt;Inputs!$B$35),1,0)</f>
        <v>0</v>
      </c>
      <c r="BG89" s="0" t="n">
        <f aca="false">MAX(AZ89,BC89,BF89)</f>
        <v>0</v>
      </c>
      <c r="BH89" s="0" t="n">
        <f aca="false">MIN(R89,N89)</f>
        <v>288.926465946723</v>
      </c>
      <c r="BI89" s="0" t="n">
        <f aca="false">R89-BH89</f>
        <v>4667.74097238103</v>
      </c>
      <c r="BJ89" s="0" t="n">
        <f aca="false">MIN(BI89,O89)</f>
        <v>0</v>
      </c>
      <c r="BK89" s="0" t="n">
        <f aca="false">BI89-BJ89</f>
        <v>4667.74097238103</v>
      </c>
      <c r="BL89" s="0" t="n">
        <f aca="false">AZ89*MIN(AT89,BK89)</f>
        <v>0</v>
      </c>
      <c r="BM89" s="0" t="n">
        <f aca="false">AZ89*MIN(AU89,BK89-BL89)</f>
        <v>0</v>
      </c>
      <c r="BN89" s="0" t="n">
        <f aca="false">AZ89*MIN(AV89,BK89-BL89-BM89)</f>
        <v>0</v>
      </c>
      <c r="BO89" s="0" t="n">
        <f aca="false">BK89-BL89-BM89-BN89</f>
        <v>4667.74097238103</v>
      </c>
      <c r="BP89" s="0" t="n">
        <f aca="false">MIN(BO89,P89)</f>
        <v>0</v>
      </c>
      <c r="BQ89" s="0" t="n">
        <f aca="false">BO89-BP89</f>
        <v>4667.74097238103</v>
      </c>
      <c r="BR89" s="0" t="n">
        <f aca="false">BC89*MIN((AT89-BL89),BQ89)</f>
        <v>0</v>
      </c>
      <c r="BS89" s="0" t="n">
        <f aca="false">BC89*MIN((AU89-BM89),BQ89-BR89)</f>
        <v>0</v>
      </c>
      <c r="BT89" s="0" t="n">
        <f aca="false">BC89*MIN((AV89-BN89),BQ89-BR89-BS89)</f>
        <v>0</v>
      </c>
      <c r="BU89" s="0" t="n">
        <f aca="false">BQ89-BR89-BS89-BT89</f>
        <v>4667.74097238103</v>
      </c>
      <c r="BV89" s="0" t="n">
        <f aca="false">MIN(BU89,Q89)</f>
        <v>0</v>
      </c>
      <c r="BW89" s="0" t="n">
        <f aca="false">BU89-BV89</f>
        <v>4667.74097238103</v>
      </c>
      <c r="BX89" s="0" t="n">
        <f aca="false">BF89*MIN((AT89-BL89-BR89),BW89)</f>
        <v>0</v>
      </c>
      <c r="BY89" s="0" t="n">
        <f aca="false">BF89*MIN((AU89-BM89-BS89),BW89-BX89)</f>
        <v>0</v>
      </c>
      <c r="BZ89" s="0" t="n">
        <f aca="false">BF89*MIN((AV89-BN89-BT89),BW89-BX89-BY89)</f>
        <v>0</v>
      </c>
      <c r="CA89" s="0" t="n">
        <f aca="false">BW89-BX89-BY89-BZ89</f>
        <v>4667.74097238103</v>
      </c>
      <c r="CB89" s="0" t="n">
        <f aca="false">MAX(0,AT89+AU89+AV89-BL89-BM89-BN89-BR89-BS89-BT89-BX89-BY89-BZ89-AW89)</f>
        <v>0</v>
      </c>
      <c r="CC89" s="0" t="n">
        <f aca="false">1*MIN((AT89-BL89-BR89-BX89),MIN(CA89,CB89))</f>
        <v>0</v>
      </c>
      <c r="CD89" s="0" t="n">
        <f aca="false">1*MIN((AU89-BM89-BS89-BY89),MIN(CA89,CB89)-CC89)</f>
        <v>0</v>
      </c>
      <c r="CE89" s="0" t="n">
        <f aca="false">1*MIN((AV89-BN89-BT89-BZ89),MIN(CA89,CB89)-CC89-CD89)</f>
        <v>0</v>
      </c>
      <c r="CF89" s="0" t="n">
        <f aca="false">CA89-CC89-CD89-CE89</f>
        <v>4667.74097238103</v>
      </c>
      <c r="CG89" s="0" t="n">
        <f aca="false">IF(C89+D89+E89&gt;Inputs!$B$19,MIN(CF89,MAX(0,Inputs!$B$15-DO88)),0)</f>
        <v>0</v>
      </c>
      <c r="CH89" s="0" t="n">
        <f aca="false">CF89-CG89</f>
        <v>4667.74097238103</v>
      </c>
      <c r="CI89" s="0" t="n">
        <f aca="false">DO88+CG89</f>
        <v>0</v>
      </c>
      <c r="CJ89" s="0" t="n">
        <f aca="false">MIN(MAX(N89-BH89,0),CI89)</f>
        <v>0</v>
      </c>
      <c r="CK89" s="0" t="n">
        <f aca="false">MIN(MAX(O89-BJ89,0),CI89-CJ89)</f>
        <v>0</v>
      </c>
      <c r="CL89" s="0" t="n">
        <f aca="false">MIN(MAX(P89-BP89,0),CI89-CJ89-CK89)</f>
        <v>0</v>
      </c>
      <c r="CM89" s="0" t="n">
        <f aca="false">CJ89+CK89+CL89</f>
        <v>0</v>
      </c>
      <c r="CN89" s="0" t="n">
        <f aca="false">CI89-CM89</f>
        <v>0</v>
      </c>
      <c r="CO89" s="0" t="n">
        <f aca="false">BH89+CJ89</f>
        <v>288.926465946723</v>
      </c>
      <c r="CP89" s="0" t="n">
        <f aca="false">BJ89+CK89</f>
        <v>0</v>
      </c>
      <c r="CQ89" s="0" t="n">
        <f aca="false">BP89+CL89</f>
        <v>0</v>
      </c>
      <c r="CR89" s="0" t="n">
        <f aca="false">BV89</f>
        <v>0</v>
      </c>
      <c r="CS89" s="0" t="n">
        <f aca="false">AT89-BL89-BR89-BX89-CC89</f>
        <v>0</v>
      </c>
      <c r="CT89" s="0" t="n">
        <f aca="false">AU89-BM89-BS89-BY89-CD89</f>
        <v>0</v>
      </c>
      <c r="CU89" s="0" t="n">
        <f aca="false">AV89-BN89-BT89-BZ89-CE89</f>
        <v>0</v>
      </c>
      <c r="CV89" s="0" t="n">
        <f aca="false">MAX(0,CS89+CT89+CU89-AW89)</f>
        <v>0</v>
      </c>
      <c r="CW89" s="0" t="n">
        <f aca="false">MIN(CU89,CV89)</f>
        <v>0</v>
      </c>
      <c r="CX89" s="0" t="n">
        <f aca="false">MIN(CT89,CV89-CW89)</f>
        <v>0</v>
      </c>
      <c r="CY89" s="0" t="n">
        <f aca="false">MIN(CS89,CV89-CW89-CX89)</f>
        <v>0</v>
      </c>
      <c r="CZ89" s="0" t="n">
        <f aca="false">IF(CS89-CY89&lt;Inputs!$B$19,0,CS89-CY89)</f>
        <v>0</v>
      </c>
      <c r="DA89" s="0" t="n">
        <f aca="false">IF(CT89-CX89&lt;Inputs!$B$19,0,CT89-CX89)</f>
        <v>0</v>
      </c>
      <c r="DB89" s="0" t="n">
        <f aca="false">IF(CU89-CW89&lt;Inputs!$B$19,0,CU89-CW89)</f>
        <v>0</v>
      </c>
      <c r="DC89" s="0" t="n">
        <f aca="false">N89-CO89</f>
        <v>0</v>
      </c>
      <c r="DD89" s="0" t="n">
        <f aca="false">O89-CP89</f>
        <v>0</v>
      </c>
      <c r="DE89" s="0" t="n">
        <f aca="false">P89-CQ89</f>
        <v>0</v>
      </c>
      <c r="DF89" s="0" t="n">
        <f aca="false">Q89-CR89</f>
        <v>0</v>
      </c>
      <c r="DG89" s="0" t="n">
        <f aca="false">IF(CZ89+DA89+DB89&lt;=Inputs!$B$19,1,0)</f>
        <v>1</v>
      </c>
      <c r="DH89" s="0" t="n">
        <f aca="false">DG89*CN89</f>
        <v>0</v>
      </c>
      <c r="DI89" s="0" t="n">
        <f aca="false">DG89*(AS89+DH89)</f>
        <v>555046.412005554</v>
      </c>
      <c r="DJ89" s="0" t="n">
        <f aca="false">DG89*MIN(DC89,DI89)</f>
        <v>0</v>
      </c>
      <c r="DK89" s="0" t="n">
        <f aca="false">DG89*MIN(DD89,DI89-DJ89)</f>
        <v>0</v>
      </c>
      <c r="DL89" s="0" t="n">
        <f aca="false">DG89*MIN(DE89,DI89-DJ89-DK89)</f>
        <v>0</v>
      </c>
      <c r="DM89" s="0" t="n">
        <f aca="false">DG89*MIN(DF89,DI89-DJ89-DK89-DL89)</f>
        <v>0</v>
      </c>
      <c r="DN89" s="0" t="n">
        <f aca="false">DJ89+DK89+DL89+DM89</f>
        <v>0</v>
      </c>
      <c r="DO89" s="0" t="n">
        <f aca="false">CN89-DH89</f>
        <v>0</v>
      </c>
      <c r="DP89" s="0" t="n">
        <f aca="false">DC89-DJ89</f>
        <v>0</v>
      </c>
      <c r="DQ89" s="0" t="n">
        <f aca="false">DD89-DK89</f>
        <v>0</v>
      </c>
      <c r="DR89" s="0" t="n">
        <f aca="false">DE89-DL89</f>
        <v>0</v>
      </c>
      <c r="DS89" s="0" t="n">
        <f aca="false">DF89-DM89</f>
        <v>0</v>
      </c>
      <c r="DT89" s="0" t="n">
        <f aca="false">CO89+DJ89</f>
        <v>288.926465946723</v>
      </c>
      <c r="DU89" s="0" t="n">
        <f aca="false">CP89+DK89</f>
        <v>0</v>
      </c>
      <c r="DV89" s="0" t="n">
        <f aca="false">AP89+BL89+BR89+BX89+CC89</f>
        <v>0</v>
      </c>
      <c r="DW89" s="0" t="n">
        <f aca="false">CQ89+DL89</f>
        <v>0</v>
      </c>
      <c r="DX89" s="0" t="n">
        <f aca="false">AQ89+BM89+BS89+BY89+CD89</f>
        <v>0</v>
      </c>
      <c r="DY89" s="0" t="n">
        <f aca="false">CR89+DM89</f>
        <v>0</v>
      </c>
      <c r="DZ89" s="0" t="n">
        <f aca="false">AR89+BN89+BT89+BZ89+CE89</f>
        <v>0</v>
      </c>
      <c r="EA89" s="0" t="n">
        <f aca="false">DI89-DN89</f>
        <v>555046.412005554</v>
      </c>
      <c r="EB89" s="0" t="n">
        <f aca="false">CH89+EA89</f>
        <v>559714.152977935</v>
      </c>
      <c r="EC89" s="0" t="n">
        <f aca="false">R89-I89-MAX(-M89,0)-J89-K89-L89</f>
        <v>4667.74097238103</v>
      </c>
      <c r="ED89" s="0" t="n">
        <f aca="false">R89+S89+CM89+DH89-CG89-DT89-DU89-DW89-DY89-DV89-DX89-DZ89-EB89</f>
        <v>0</v>
      </c>
      <c r="EE89" s="0" t="n">
        <f aca="false">IF(AND(EB89&gt;0.000001,DP89+DQ89+DR89+DS89&gt;0.000001),1,0)</f>
        <v>0</v>
      </c>
    </row>
    <row r="90" customFormat="false" ht="15" hidden="false" customHeight="false" outlineLevel="0" collapsed="false">
      <c r="A90" s="0" t="n">
        <f aca="false">ROW()-5</f>
        <v>85</v>
      </c>
      <c r="B90" s="0" t="n">
        <f aca="false">Inputs!$B$11+(Inputs!$B$12-Inputs!$B$11)*(1-EXP(-A90/Inputs!$B$13))+Inputs!$B$8</f>
        <v>0.0328041326240152</v>
      </c>
      <c r="C90" s="0" t="n">
        <f aca="false">CZ89</f>
        <v>0</v>
      </c>
      <c r="D90" s="0" t="n">
        <f aca="false">DA89</f>
        <v>0</v>
      </c>
      <c r="E90" s="0" t="n">
        <f aca="false">DB89</f>
        <v>0</v>
      </c>
      <c r="F90" s="0" t="n">
        <f aca="false">IF(Inputs!$B$22=1,B90+Inputs!$B$23,Inputs!$B$23)/12</f>
        <v>0.0036503443853346</v>
      </c>
      <c r="G90" s="0" t="n">
        <f aca="false">IF(Inputs!$B$27=1,B90+Inputs!$B$28,Inputs!$B$28)/12</f>
        <v>0.00460867771866793</v>
      </c>
      <c r="H90" s="0" t="n">
        <f aca="false">IF(Inputs!$B$32=1,B90+Inputs!$B$33,Inputs!$B$33)/12</f>
        <v>0.00625</v>
      </c>
      <c r="I90" s="0" t="n">
        <f aca="false">Pool!BT90*Inputs!$B$14/12</f>
        <v>0</v>
      </c>
      <c r="J90" s="0" t="n">
        <f aca="false">C90*F90</f>
        <v>0</v>
      </c>
      <c r="K90" s="0" t="n">
        <f aca="false">D90*G90</f>
        <v>0</v>
      </c>
      <c r="L90" s="0" t="n">
        <f aca="false">E90*H90</f>
        <v>0</v>
      </c>
      <c r="M90" s="0" t="n">
        <f aca="false">Inputs!$B$17*(C90*Inputs!$B$22+D90*Inputs!$B$27+E90*Inputs!$B$32)*(B90-Inputs!$B$18)/12</f>
        <v>-0</v>
      </c>
      <c r="N90" s="0" t="n">
        <f aca="false">DP89+I90+MAX(-M90,0)</f>
        <v>0</v>
      </c>
      <c r="O90" s="0" t="n">
        <f aca="false">DQ89+J90</f>
        <v>0</v>
      </c>
      <c r="P90" s="0" t="n">
        <f aca="false">DR89+K90</f>
        <v>0</v>
      </c>
      <c r="Q90" s="0" t="n">
        <f aca="false">DS89+L90</f>
        <v>0</v>
      </c>
      <c r="R90" s="0" t="n">
        <f aca="false">Pool!BV90+MAX(M90,0)</f>
        <v>0</v>
      </c>
      <c r="S90" s="0" t="n">
        <f aca="false">Pool!BW90+Pool!BX90+Pool!BZ90</f>
        <v>5197.39619538878</v>
      </c>
      <c r="T90" s="0" t="n">
        <f aca="false">MAX(T89,BG89)</f>
        <v>1</v>
      </c>
      <c r="U90" s="0" t="n">
        <f aca="false">MIN(C90,S90)</f>
        <v>0</v>
      </c>
      <c r="V90" s="0" t="n">
        <f aca="false">MIN(D90,S90-U90)</f>
        <v>0</v>
      </c>
      <c r="W90" s="0" t="n">
        <f aca="false">MIN(E90,S90-U90-V90)</f>
        <v>0</v>
      </c>
      <c r="X90" s="0" t="n">
        <f aca="false">IF(C90-(0)&gt;Inputs!$B$19,1,0)</f>
        <v>0</v>
      </c>
      <c r="Y90" s="0" t="n">
        <f aca="false">IF(D90-(0)&gt;Inputs!$B$19,1,0)</f>
        <v>0</v>
      </c>
      <c r="Z90" s="0" t="n">
        <f aca="false">IF(E90-(0)&gt;Inputs!$B$19,1,0)</f>
        <v>0</v>
      </c>
      <c r="AA90" s="0" t="n">
        <f aca="false">IF((X90*C90+Y90*D90+Z90*E90)&gt;0,MIN(C90-(0),S90*X90*C90/(X90*C90+Y90*D90+Z90*E90)),0)</f>
        <v>0</v>
      </c>
      <c r="AB90" s="0" t="n">
        <f aca="false">IF((X90*C90+Y90*D90+Z90*E90)&gt;0,MIN(D90-(0),S90*Y90*D90/(X90*C90+Y90*D90+Z90*E90)),0)</f>
        <v>0</v>
      </c>
      <c r="AC90" s="0" t="n">
        <f aca="false">IF((X90*C90+Y90*D90+Z90*E90)&gt;0,MIN(E90-(0),S90*Z90*E90/(X90*C90+Y90*D90+Z90*E90)),0)</f>
        <v>0</v>
      </c>
      <c r="AD90" s="0" t="n">
        <f aca="false">IF(C90-(AA90)&gt;Inputs!$B$19,1,0)</f>
        <v>0</v>
      </c>
      <c r="AE90" s="0" t="n">
        <f aca="false">IF(D90-(AB90)&gt;Inputs!$B$19,1,0)</f>
        <v>0</v>
      </c>
      <c r="AF90" s="0" t="n">
        <f aca="false">IF(E90-(AC90)&gt;Inputs!$B$19,1,0)</f>
        <v>0</v>
      </c>
      <c r="AG90" s="0" t="n">
        <f aca="false">IF((AD90*C90+AE90*D90+AF90*E90)&gt;0,MIN(C90-(AA90),(S90-(AA90+AB90+AC90))*AD90*C90/(AD90*C90+AE90*D90+AF90*E90)),0)</f>
        <v>0</v>
      </c>
      <c r="AH90" s="0" t="n">
        <f aca="false">IF((AD90*C90+AE90*D90+AF90*E90)&gt;0,MIN(D90-(AB90),(S90-(AA90+AB90+AC90))*AE90*D90/(AD90*C90+AE90*D90+AF90*E90)),0)</f>
        <v>0</v>
      </c>
      <c r="AI90" s="0" t="n">
        <f aca="false">IF((AD90*C90+AE90*D90+AF90*E90)&gt;0,MIN(E90-(AC90),(S90-(AA90+AB90+AC90))*AF90*E90/(AD90*C90+AE90*D90+AF90*E90)),0)</f>
        <v>0</v>
      </c>
      <c r="AJ90" s="0" t="n">
        <f aca="false">IF(C90-(AA90+AG90)&gt;Inputs!$B$19,1,0)</f>
        <v>0</v>
      </c>
      <c r="AK90" s="0" t="n">
        <f aca="false">IF(D90-(AB90+AH90)&gt;Inputs!$B$19,1,0)</f>
        <v>0</v>
      </c>
      <c r="AL90" s="0" t="n">
        <f aca="false">IF(E90-(AC90+AI90)&gt;Inputs!$B$19,1,0)</f>
        <v>0</v>
      </c>
      <c r="AM90" s="0" t="n">
        <f aca="false">IF((AJ90*C90+AK90*D90+AL90*E90)&gt;0,MIN(C90-(AA90+AG90),(S90-(AA90+AB90+AC90+AG90+AH90+AI90))*AJ90*C90/(AJ90*C90+AK90*D90+AL90*E90)),0)</f>
        <v>0</v>
      </c>
      <c r="AN90" s="0" t="n">
        <f aca="false">IF((AJ90*C90+AK90*D90+AL90*E90)&gt;0,MIN(D90-(AB90+AH90),(S90-(AA90+AB90+AC90+AG90+AH90+AI90))*AK90*D90/(AJ90*C90+AK90*D90+AL90*E90)),0)</f>
        <v>0</v>
      </c>
      <c r="AO90" s="0" t="n">
        <f aca="false">IF((AJ90*C90+AK90*D90+AL90*E90)&gt;0,MIN(E90-(AC90+AI90),(S90-(AA90+AB90+AC90+AG90+AH90+AI90))*AL90*E90/(AJ90*C90+AK90*D90+AL90*E90)),0)</f>
        <v>0</v>
      </c>
      <c r="AP90" s="0" t="n">
        <f aca="false">IF(T90=1,U90,AA90+AG90+AM90)</f>
        <v>0</v>
      </c>
      <c r="AQ90" s="0" t="n">
        <f aca="false">IF(T90=1,V90,AB90+AH90+AN90)</f>
        <v>0</v>
      </c>
      <c r="AR90" s="0" t="n">
        <f aca="false">IF(T90=1,W90,AC90+AI90+AO90)</f>
        <v>0</v>
      </c>
      <c r="AS90" s="0" t="n">
        <f aca="false">S90-AP90-AQ90-AR90</f>
        <v>5197.39619538878</v>
      </c>
      <c r="AT90" s="0" t="n">
        <f aca="false">C90-AP90</f>
        <v>0</v>
      </c>
      <c r="AU90" s="0" t="n">
        <f aca="false">D90-AQ90</f>
        <v>0</v>
      </c>
      <c r="AV90" s="0" t="n">
        <f aca="false">E90-AR90</f>
        <v>0</v>
      </c>
      <c r="AW90" s="0" t="n">
        <f aca="false">Pool!CB90</f>
        <v>12787.8027923444</v>
      </c>
      <c r="AX90" s="0" t="n">
        <f aca="false">IF((AT90)&gt;Inputs!$B$19,AW90/(AT90),1000000000)</f>
        <v>1000000000</v>
      </c>
      <c r="AY90" s="0" t="n">
        <f aca="false">IF((J90)&gt;0.000000001,(R90-I90-MAX(-M90,0))/(J90),1000000000)</f>
        <v>1000000000</v>
      </c>
      <c r="AZ90" s="0" t="n">
        <f aca="false">IF(OR(AX90&lt;Inputs!$B$24,AY90&lt;Inputs!$B$25),1,0)</f>
        <v>0</v>
      </c>
      <c r="BA90" s="0" t="n">
        <f aca="false">IF((AT90+AU90)&gt;Inputs!$B$19,AW90/(AT90+AU90),1000000000)</f>
        <v>1000000000</v>
      </c>
      <c r="BB90" s="0" t="n">
        <f aca="false">IF((J90+K90)&gt;0.000000001,(R90-I90-MAX(-M90,0))/(J90+K90),1000000000)</f>
        <v>1000000000</v>
      </c>
      <c r="BC90" s="0" t="n">
        <f aca="false">IF(OR(BA90&lt;Inputs!$B$29,BB90&lt;Inputs!$B$30),1,0)</f>
        <v>0</v>
      </c>
      <c r="BD90" s="0" t="n">
        <f aca="false">IF((AT90+AU90+AV90)&gt;Inputs!$B$19,AW90/(AT90+AU90+AV90),1000000000)</f>
        <v>1000000000</v>
      </c>
      <c r="BE90" s="0" t="n">
        <f aca="false">IF((J90+K90+L90)&gt;0.000000001,(R90-I90-MAX(-M90,0))/(J90+K90+L90),1000000000)</f>
        <v>1000000000</v>
      </c>
      <c r="BF90" s="0" t="n">
        <f aca="false">IF(OR(BD90&lt;Inputs!$B$34,BE90&lt;Inputs!$B$35),1,0)</f>
        <v>0</v>
      </c>
      <c r="BG90" s="0" t="n">
        <f aca="false">MAX(AZ90,BC90,BF90)</f>
        <v>0</v>
      </c>
      <c r="BH90" s="0" t="n">
        <f aca="false">MIN(R90,N90)</f>
        <v>0</v>
      </c>
      <c r="BI90" s="0" t="n">
        <f aca="false">R90-BH90</f>
        <v>0</v>
      </c>
      <c r="BJ90" s="0" t="n">
        <f aca="false">MIN(BI90,O90)</f>
        <v>0</v>
      </c>
      <c r="BK90" s="0" t="n">
        <f aca="false">BI90-BJ90</f>
        <v>0</v>
      </c>
      <c r="BL90" s="0" t="n">
        <f aca="false">AZ90*MIN(AT90,BK90)</f>
        <v>0</v>
      </c>
      <c r="BM90" s="0" t="n">
        <f aca="false">AZ90*MIN(AU90,BK90-BL90)</f>
        <v>0</v>
      </c>
      <c r="BN90" s="0" t="n">
        <f aca="false">AZ90*MIN(AV90,BK90-BL90-BM90)</f>
        <v>0</v>
      </c>
      <c r="BO90" s="0" t="n">
        <f aca="false">BK90-BL90-BM90-BN90</f>
        <v>0</v>
      </c>
      <c r="BP90" s="0" t="n">
        <f aca="false">MIN(BO90,P90)</f>
        <v>0</v>
      </c>
      <c r="BQ90" s="0" t="n">
        <f aca="false">BO90-BP90</f>
        <v>0</v>
      </c>
      <c r="BR90" s="0" t="n">
        <f aca="false">BC90*MIN((AT90-BL90),BQ90)</f>
        <v>0</v>
      </c>
      <c r="BS90" s="0" t="n">
        <f aca="false">BC90*MIN((AU90-BM90),BQ90-BR90)</f>
        <v>0</v>
      </c>
      <c r="BT90" s="0" t="n">
        <f aca="false">BC90*MIN((AV90-BN90),BQ90-BR90-BS90)</f>
        <v>0</v>
      </c>
      <c r="BU90" s="0" t="n">
        <f aca="false">BQ90-BR90-BS90-BT90</f>
        <v>0</v>
      </c>
      <c r="BV90" s="0" t="n">
        <f aca="false">MIN(BU90,Q90)</f>
        <v>0</v>
      </c>
      <c r="BW90" s="0" t="n">
        <f aca="false">BU90-BV90</f>
        <v>0</v>
      </c>
      <c r="BX90" s="0" t="n">
        <f aca="false">BF90*MIN((AT90-BL90-BR90),BW90)</f>
        <v>0</v>
      </c>
      <c r="BY90" s="0" t="n">
        <f aca="false">BF90*MIN((AU90-BM90-BS90),BW90-BX90)</f>
        <v>0</v>
      </c>
      <c r="BZ90" s="0" t="n">
        <f aca="false">BF90*MIN((AV90-BN90-BT90),BW90-BX90-BY90)</f>
        <v>0</v>
      </c>
      <c r="CA90" s="0" t="n">
        <f aca="false">BW90-BX90-BY90-BZ90</f>
        <v>0</v>
      </c>
      <c r="CB90" s="0" t="n">
        <f aca="false">MAX(0,AT90+AU90+AV90-BL90-BM90-BN90-BR90-BS90-BT90-BX90-BY90-BZ90-AW90)</f>
        <v>0</v>
      </c>
      <c r="CC90" s="0" t="n">
        <f aca="false">1*MIN((AT90-BL90-BR90-BX90),MIN(CA90,CB90))</f>
        <v>0</v>
      </c>
      <c r="CD90" s="0" t="n">
        <f aca="false">1*MIN((AU90-BM90-BS90-BY90),MIN(CA90,CB90)-CC90)</f>
        <v>0</v>
      </c>
      <c r="CE90" s="0" t="n">
        <f aca="false">1*MIN((AV90-BN90-BT90-BZ90),MIN(CA90,CB90)-CC90-CD90)</f>
        <v>0</v>
      </c>
      <c r="CF90" s="0" t="n">
        <f aca="false">CA90-CC90-CD90-CE90</f>
        <v>0</v>
      </c>
      <c r="CG90" s="0" t="n">
        <f aca="false">IF(C90+D90+E90&gt;Inputs!$B$19,MIN(CF90,MAX(0,Inputs!$B$15-DO89)),0)</f>
        <v>0</v>
      </c>
      <c r="CH90" s="0" t="n">
        <f aca="false">CF90-CG90</f>
        <v>0</v>
      </c>
      <c r="CI90" s="0" t="n">
        <f aca="false">DO89+CG90</f>
        <v>0</v>
      </c>
      <c r="CJ90" s="0" t="n">
        <f aca="false">MIN(MAX(N90-BH90,0),CI90)</f>
        <v>0</v>
      </c>
      <c r="CK90" s="0" t="n">
        <f aca="false">MIN(MAX(O90-BJ90,0),CI90-CJ90)</f>
        <v>0</v>
      </c>
      <c r="CL90" s="0" t="n">
        <f aca="false">MIN(MAX(P90-BP90,0),CI90-CJ90-CK90)</f>
        <v>0</v>
      </c>
      <c r="CM90" s="0" t="n">
        <f aca="false">CJ90+CK90+CL90</f>
        <v>0</v>
      </c>
      <c r="CN90" s="0" t="n">
        <f aca="false">CI90-CM90</f>
        <v>0</v>
      </c>
      <c r="CO90" s="0" t="n">
        <f aca="false">BH90+CJ90</f>
        <v>0</v>
      </c>
      <c r="CP90" s="0" t="n">
        <f aca="false">BJ90+CK90</f>
        <v>0</v>
      </c>
      <c r="CQ90" s="0" t="n">
        <f aca="false">BP90+CL90</f>
        <v>0</v>
      </c>
      <c r="CR90" s="0" t="n">
        <f aca="false">BV90</f>
        <v>0</v>
      </c>
      <c r="CS90" s="0" t="n">
        <f aca="false">AT90-BL90-BR90-BX90-CC90</f>
        <v>0</v>
      </c>
      <c r="CT90" s="0" t="n">
        <f aca="false">AU90-BM90-BS90-BY90-CD90</f>
        <v>0</v>
      </c>
      <c r="CU90" s="0" t="n">
        <f aca="false">AV90-BN90-BT90-BZ90-CE90</f>
        <v>0</v>
      </c>
      <c r="CV90" s="0" t="n">
        <f aca="false">MAX(0,CS90+CT90+CU90-AW90)</f>
        <v>0</v>
      </c>
      <c r="CW90" s="0" t="n">
        <f aca="false">MIN(CU90,CV90)</f>
        <v>0</v>
      </c>
      <c r="CX90" s="0" t="n">
        <f aca="false">MIN(CT90,CV90-CW90)</f>
        <v>0</v>
      </c>
      <c r="CY90" s="0" t="n">
        <f aca="false">MIN(CS90,CV90-CW90-CX90)</f>
        <v>0</v>
      </c>
      <c r="CZ90" s="0" t="n">
        <f aca="false">IF(CS90-CY90&lt;Inputs!$B$19,0,CS90-CY90)</f>
        <v>0</v>
      </c>
      <c r="DA90" s="0" t="n">
        <f aca="false">IF(CT90-CX90&lt;Inputs!$B$19,0,CT90-CX90)</f>
        <v>0</v>
      </c>
      <c r="DB90" s="0" t="n">
        <f aca="false">IF(CU90-CW90&lt;Inputs!$B$19,0,CU90-CW90)</f>
        <v>0</v>
      </c>
      <c r="DC90" s="0" t="n">
        <f aca="false">N90-CO90</f>
        <v>0</v>
      </c>
      <c r="DD90" s="0" t="n">
        <f aca="false">O90-CP90</f>
        <v>0</v>
      </c>
      <c r="DE90" s="0" t="n">
        <f aca="false">P90-CQ90</f>
        <v>0</v>
      </c>
      <c r="DF90" s="0" t="n">
        <f aca="false">Q90-CR90</f>
        <v>0</v>
      </c>
      <c r="DG90" s="0" t="n">
        <f aca="false">IF(CZ90+DA90+DB90&lt;=Inputs!$B$19,1,0)</f>
        <v>1</v>
      </c>
      <c r="DH90" s="0" t="n">
        <f aca="false">DG90*CN90</f>
        <v>0</v>
      </c>
      <c r="DI90" s="0" t="n">
        <f aca="false">DG90*(AS90+DH90)</f>
        <v>5197.39619538878</v>
      </c>
      <c r="DJ90" s="0" t="n">
        <f aca="false">DG90*MIN(DC90,DI90)</f>
        <v>0</v>
      </c>
      <c r="DK90" s="0" t="n">
        <f aca="false">DG90*MIN(DD90,DI90-DJ90)</f>
        <v>0</v>
      </c>
      <c r="DL90" s="0" t="n">
        <f aca="false">DG90*MIN(DE90,DI90-DJ90-DK90)</f>
        <v>0</v>
      </c>
      <c r="DM90" s="0" t="n">
        <f aca="false">DG90*MIN(DF90,DI90-DJ90-DK90-DL90)</f>
        <v>0</v>
      </c>
      <c r="DN90" s="0" t="n">
        <f aca="false">DJ90+DK90+DL90+DM90</f>
        <v>0</v>
      </c>
      <c r="DO90" s="0" t="n">
        <f aca="false">CN90-DH90</f>
        <v>0</v>
      </c>
      <c r="DP90" s="0" t="n">
        <f aca="false">DC90-DJ90</f>
        <v>0</v>
      </c>
      <c r="DQ90" s="0" t="n">
        <f aca="false">DD90-DK90</f>
        <v>0</v>
      </c>
      <c r="DR90" s="0" t="n">
        <f aca="false">DE90-DL90</f>
        <v>0</v>
      </c>
      <c r="DS90" s="0" t="n">
        <f aca="false">DF90-DM90</f>
        <v>0</v>
      </c>
      <c r="DT90" s="0" t="n">
        <f aca="false">CO90+DJ90</f>
        <v>0</v>
      </c>
      <c r="DU90" s="0" t="n">
        <f aca="false">CP90+DK90</f>
        <v>0</v>
      </c>
      <c r="DV90" s="0" t="n">
        <f aca="false">AP90+BL90+BR90+BX90+CC90</f>
        <v>0</v>
      </c>
      <c r="DW90" s="0" t="n">
        <f aca="false">CQ90+DL90</f>
        <v>0</v>
      </c>
      <c r="DX90" s="0" t="n">
        <f aca="false">AQ90+BM90+BS90+BY90+CD90</f>
        <v>0</v>
      </c>
      <c r="DY90" s="0" t="n">
        <f aca="false">CR90+DM90</f>
        <v>0</v>
      </c>
      <c r="DZ90" s="0" t="n">
        <f aca="false">AR90+BN90+BT90+BZ90+CE90</f>
        <v>0</v>
      </c>
      <c r="EA90" s="0" t="n">
        <f aca="false">DI90-DN90</f>
        <v>5197.39619538878</v>
      </c>
      <c r="EB90" s="0" t="n">
        <f aca="false">CH90+EA90</f>
        <v>5197.39619538878</v>
      </c>
      <c r="EC90" s="0" t="n">
        <f aca="false">R90-I90-MAX(-M90,0)-J90-K90-L90</f>
        <v>0</v>
      </c>
      <c r="ED90" s="0" t="n">
        <f aca="false">R90+S90+CM90+DH90-CG90-DT90-DU90-DW90-DY90-DV90-DX90-DZ90-EB90</f>
        <v>0</v>
      </c>
      <c r="EE90" s="0" t="n">
        <f aca="false">IF(AND(EB90&gt;0.000001,DP90+DQ90+DR90+DS90&gt;0.000001),1,0)</f>
        <v>0</v>
      </c>
    </row>
    <row r="91" customFormat="false" ht="15" hidden="false" customHeight="false" outlineLevel="0" collapsed="false">
      <c r="A91" s="0" t="n">
        <f aca="false">ROW()-5</f>
        <v>86</v>
      </c>
      <c r="B91" s="0" t="n">
        <f aca="false">Inputs!$B$11+(Inputs!$B$12-Inputs!$B$11)*(1-EXP(-A91/Inputs!$B$13))+Inputs!$B$8</f>
        <v>0.0327917208065183</v>
      </c>
      <c r="C91" s="0" t="n">
        <f aca="false">CZ90</f>
        <v>0</v>
      </c>
      <c r="D91" s="0" t="n">
        <f aca="false">DA90</f>
        <v>0</v>
      </c>
      <c r="E91" s="0" t="n">
        <f aca="false">DB90</f>
        <v>0</v>
      </c>
      <c r="F91" s="0" t="n">
        <f aca="false">IF(Inputs!$B$22=1,B91+Inputs!$B$23,Inputs!$B$23)/12</f>
        <v>0.00364931006720986</v>
      </c>
      <c r="G91" s="0" t="n">
        <f aca="false">IF(Inputs!$B$27=1,B91+Inputs!$B$28,Inputs!$B$28)/12</f>
        <v>0.00460764340054319</v>
      </c>
      <c r="H91" s="0" t="n">
        <f aca="false">IF(Inputs!$B$32=1,B91+Inputs!$B$33,Inputs!$B$33)/12</f>
        <v>0.00625</v>
      </c>
      <c r="I91" s="0" t="n">
        <f aca="false">Pool!BT91*Inputs!$B$14/12</f>
        <v>0</v>
      </c>
      <c r="J91" s="0" t="n">
        <f aca="false">C91*F91</f>
        <v>0</v>
      </c>
      <c r="K91" s="0" t="n">
        <f aca="false">D91*G91</f>
        <v>0</v>
      </c>
      <c r="L91" s="0" t="n">
        <f aca="false">E91*H91</f>
        <v>0</v>
      </c>
      <c r="M91" s="0" t="n">
        <f aca="false">Inputs!$B$17*(C91*Inputs!$B$22+D91*Inputs!$B$27+E91*Inputs!$B$32)*(B91-Inputs!$B$18)/12</f>
        <v>-0</v>
      </c>
      <c r="N91" s="0" t="n">
        <f aca="false">DP90+I91+MAX(-M91,0)</f>
        <v>0</v>
      </c>
      <c r="O91" s="0" t="n">
        <f aca="false">DQ90+J91</f>
        <v>0</v>
      </c>
      <c r="P91" s="0" t="n">
        <f aca="false">DR90+K91</f>
        <v>0</v>
      </c>
      <c r="Q91" s="0" t="n">
        <f aca="false">DS90+L91</f>
        <v>0</v>
      </c>
      <c r="R91" s="0" t="n">
        <f aca="false">Pool!BV91+MAX(M91,0)</f>
        <v>0</v>
      </c>
      <c r="S91" s="0" t="n">
        <f aca="false">Pool!BW91+Pool!BX91+Pool!BZ91</f>
        <v>4301.54941454177</v>
      </c>
      <c r="T91" s="0" t="n">
        <f aca="false">MAX(T90,BG90)</f>
        <v>1</v>
      </c>
      <c r="U91" s="0" t="n">
        <f aca="false">MIN(C91,S91)</f>
        <v>0</v>
      </c>
      <c r="V91" s="0" t="n">
        <f aca="false">MIN(D91,S91-U91)</f>
        <v>0</v>
      </c>
      <c r="W91" s="0" t="n">
        <f aca="false">MIN(E91,S91-U91-V91)</f>
        <v>0</v>
      </c>
      <c r="X91" s="0" t="n">
        <f aca="false">IF(C91-(0)&gt;Inputs!$B$19,1,0)</f>
        <v>0</v>
      </c>
      <c r="Y91" s="0" t="n">
        <f aca="false">IF(D91-(0)&gt;Inputs!$B$19,1,0)</f>
        <v>0</v>
      </c>
      <c r="Z91" s="0" t="n">
        <f aca="false">IF(E91-(0)&gt;Inputs!$B$19,1,0)</f>
        <v>0</v>
      </c>
      <c r="AA91" s="0" t="n">
        <f aca="false">IF((X91*C91+Y91*D91+Z91*E91)&gt;0,MIN(C91-(0),S91*X91*C91/(X91*C91+Y91*D91+Z91*E91)),0)</f>
        <v>0</v>
      </c>
      <c r="AB91" s="0" t="n">
        <f aca="false">IF((X91*C91+Y91*D91+Z91*E91)&gt;0,MIN(D91-(0),S91*Y91*D91/(X91*C91+Y91*D91+Z91*E91)),0)</f>
        <v>0</v>
      </c>
      <c r="AC91" s="0" t="n">
        <f aca="false">IF((X91*C91+Y91*D91+Z91*E91)&gt;0,MIN(E91-(0),S91*Z91*E91/(X91*C91+Y91*D91+Z91*E91)),0)</f>
        <v>0</v>
      </c>
      <c r="AD91" s="0" t="n">
        <f aca="false">IF(C91-(AA91)&gt;Inputs!$B$19,1,0)</f>
        <v>0</v>
      </c>
      <c r="AE91" s="0" t="n">
        <f aca="false">IF(D91-(AB91)&gt;Inputs!$B$19,1,0)</f>
        <v>0</v>
      </c>
      <c r="AF91" s="0" t="n">
        <f aca="false">IF(E91-(AC91)&gt;Inputs!$B$19,1,0)</f>
        <v>0</v>
      </c>
      <c r="AG91" s="0" t="n">
        <f aca="false">IF((AD91*C91+AE91*D91+AF91*E91)&gt;0,MIN(C91-(AA91),(S91-(AA91+AB91+AC91))*AD91*C91/(AD91*C91+AE91*D91+AF91*E91)),0)</f>
        <v>0</v>
      </c>
      <c r="AH91" s="0" t="n">
        <f aca="false">IF((AD91*C91+AE91*D91+AF91*E91)&gt;0,MIN(D91-(AB91),(S91-(AA91+AB91+AC91))*AE91*D91/(AD91*C91+AE91*D91+AF91*E91)),0)</f>
        <v>0</v>
      </c>
      <c r="AI91" s="0" t="n">
        <f aca="false">IF((AD91*C91+AE91*D91+AF91*E91)&gt;0,MIN(E91-(AC91),(S91-(AA91+AB91+AC91))*AF91*E91/(AD91*C91+AE91*D91+AF91*E91)),0)</f>
        <v>0</v>
      </c>
      <c r="AJ91" s="0" t="n">
        <f aca="false">IF(C91-(AA91+AG91)&gt;Inputs!$B$19,1,0)</f>
        <v>0</v>
      </c>
      <c r="AK91" s="0" t="n">
        <f aca="false">IF(D91-(AB91+AH91)&gt;Inputs!$B$19,1,0)</f>
        <v>0</v>
      </c>
      <c r="AL91" s="0" t="n">
        <f aca="false">IF(E91-(AC91+AI91)&gt;Inputs!$B$19,1,0)</f>
        <v>0</v>
      </c>
      <c r="AM91" s="0" t="n">
        <f aca="false">IF((AJ91*C91+AK91*D91+AL91*E91)&gt;0,MIN(C91-(AA91+AG91),(S91-(AA91+AB91+AC91+AG91+AH91+AI91))*AJ91*C91/(AJ91*C91+AK91*D91+AL91*E91)),0)</f>
        <v>0</v>
      </c>
      <c r="AN91" s="0" t="n">
        <f aca="false">IF((AJ91*C91+AK91*D91+AL91*E91)&gt;0,MIN(D91-(AB91+AH91),(S91-(AA91+AB91+AC91+AG91+AH91+AI91))*AK91*D91/(AJ91*C91+AK91*D91+AL91*E91)),0)</f>
        <v>0</v>
      </c>
      <c r="AO91" s="0" t="n">
        <f aca="false">IF((AJ91*C91+AK91*D91+AL91*E91)&gt;0,MIN(E91-(AC91+AI91),(S91-(AA91+AB91+AC91+AG91+AH91+AI91))*AL91*E91/(AJ91*C91+AK91*D91+AL91*E91)),0)</f>
        <v>0</v>
      </c>
      <c r="AP91" s="0" t="n">
        <f aca="false">IF(T91=1,U91,AA91+AG91+AM91)</f>
        <v>0</v>
      </c>
      <c r="AQ91" s="0" t="n">
        <f aca="false">IF(T91=1,V91,AB91+AH91+AN91)</f>
        <v>0</v>
      </c>
      <c r="AR91" s="0" t="n">
        <f aca="false">IF(T91=1,W91,AC91+AI91+AO91)</f>
        <v>0</v>
      </c>
      <c r="AS91" s="0" t="n">
        <f aca="false">S91-AP91-AQ91-AR91</f>
        <v>4301.54941454177</v>
      </c>
      <c r="AT91" s="0" t="n">
        <f aca="false">C91-AP91</f>
        <v>0</v>
      </c>
      <c r="AU91" s="0" t="n">
        <f aca="false">D91-AQ91</f>
        <v>0</v>
      </c>
      <c r="AV91" s="0" t="n">
        <f aca="false">E91-AR91</f>
        <v>0</v>
      </c>
      <c r="AW91" s="0" t="n">
        <f aca="false">Pool!CB91</f>
        <v>8486.25337780265</v>
      </c>
      <c r="AX91" s="0" t="n">
        <f aca="false">IF((AT91)&gt;Inputs!$B$19,AW91/(AT91),1000000000)</f>
        <v>1000000000</v>
      </c>
      <c r="AY91" s="0" t="n">
        <f aca="false">IF((J91)&gt;0.000000001,(R91-I91-MAX(-M91,0))/(J91),1000000000)</f>
        <v>1000000000</v>
      </c>
      <c r="AZ91" s="0" t="n">
        <f aca="false">IF(OR(AX91&lt;Inputs!$B$24,AY91&lt;Inputs!$B$25),1,0)</f>
        <v>0</v>
      </c>
      <c r="BA91" s="0" t="n">
        <f aca="false">IF((AT91+AU91)&gt;Inputs!$B$19,AW91/(AT91+AU91),1000000000)</f>
        <v>1000000000</v>
      </c>
      <c r="BB91" s="0" t="n">
        <f aca="false">IF((J91+K91)&gt;0.000000001,(R91-I91-MAX(-M91,0))/(J91+K91),1000000000)</f>
        <v>1000000000</v>
      </c>
      <c r="BC91" s="0" t="n">
        <f aca="false">IF(OR(BA91&lt;Inputs!$B$29,BB91&lt;Inputs!$B$30),1,0)</f>
        <v>0</v>
      </c>
      <c r="BD91" s="0" t="n">
        <f aca="false">IF((AT91+AU91+AV91)&gt;Inputs!$B$19,AW91/(AT91+AU91+AV91),1000000000)</f>
        <v>1000000000</v>
      </c>
      <c r="BE91" s="0" t="n">
        <f aca="false">IF((J91+K91+L91)&gt;0.000000001,(R91-I91-MAX(-M91,0))/(J91+K91+L91),1000000000)</f>
        <v>1000000000</v>
      </c>
      <c r="BF91" s="0" t="n">
        <f aca="false">IF(OR(BD91&lt;Inputs!$B$34,BE91&lt;Inputs!$B$35),1,0)</f>
        <v>0</v>
      </c>
      <c r="BG91" s="0" t="n">
        <f aca="false">MAX(AZ91,BC91,BF91)</f>
        <v>0</v>
      </c>
      <c r="BH91" s="0" t="n">
        <f aca="false">MIN(R91,N91)</f>
        <v>0</v>
      </c>
      <c r="BI91" s="0" t="n">
        <f aca="false">R91-BH91</f>
        <v>0</v>
      </c>
      <c r="BJ91" s="0" t="n">
        <f aca="false">MIN(BI91,O91)</f>
        <v>0</v>
      </c>
      <c r="BK91" s="0" t="n">
        <f aca="false">BI91-BJ91</f>
        <v>0</v>
      </c>
      <c r="BL91" s="0" t="n">
        <f aca="false">AZ91*MIN(AT91,BK91)</f>
        <v>0</v>
      </c>
      <c r="BM91" s="0" t="n">
        <f aca="false">AZ91*MIN(AU91,BK91-BL91)</f>
        <v>0</v>
      </c>
      <c r="BN91" s="0" t="n">
        <f aca="false">AZ91*MIN(AV91,BK91-BL91-BM91)</f>
        <v>0</v>
      </c>
      <c r="BO91" s="0" t="n">
        <f aca="false">BK91-BL91-BM91-BN91</f>
        <v>0</v>
      </c>
      <c r="BP91" s="0" t="n">
        <f aca="false">MIN(BO91,P91)</f>
        <v>0</v>
      </c>
      <c r="BQ91" s="0" t="n">
        <f aca="false">BO91-BP91</f>
        <v>0</v>
      </c>
      <c r="BR91" s="0" t="n">
        <f aca="false">BC91*MIN((AT91-BL91),BQ91)</f>
        <v>0</v>
      </c>
      <c r="BS91" s="0" t="n">
        <f aca="false">BC91*MIN((AU91-BM91),BQ91-BR91)</f>
        <v>0</v>
      </c>
      <c r="BT91" s="0" t="n">
        <f aca="false">BC91*MIN((AV91-BN91),BQ91-BR91-BS91)</f>
        <v>0</v>
      </c>
      <c r="BU91" s="0" t="n">
        <f aca="false">BQ91-BR91-BS91-BT91</f>
        <v>0</v>
      </c>
      <c r="BV91" s="0" t="n">
        <f aca="false">MIN(BU91,Q91)</f>
        <v>0</v>
      </c>
      <c r="BW91" s="0" t="n">
        <f aca="false">BU91-BV91</f>
        <v>0</v>
      </c>
      <c r="BX91" s="0" t="n">
        <f aca="false">BF91*MIN((AT91-BL91-BR91),BW91)</f>
        <v>0</v>
      </c>
      <c r="BY91" s="0" t="n">
        <f aca="false">BF91*MIN((AU91-BM91-BS91),BW91-BX91)</f>
        <v>0</v>
      </c>
      <c r="BZ91" s="0" t="n">
        <f aca="false">BF91*MIN((AV91-BN91-BT91),BW91-BX91-BY91)</f>
        <v>0</v>
      </c>
      <c r="CA91" s="0" t="n">
        <f aca="false">BW91-BX91-BY91-BZ91</f>
        <v>0</v>
      </c>
      <c r="CB91" s="0" t="n">
        <f aca="false">MAX(0,AT91+AU91+AV91-BL91-BM91-BN91-BR91-BS91-BT91-BX91-BY91-BZ91-AW91)</f>
        <v>0</v>
      </c>
      <c r="CC91" s="0" t="n">
        <f aca="false">1*MIN((AT91-BL91-BR91-BX91),MIN(CA91,CB91))</f>
        <v>0</v>
      </c>
      <c r="CD91" s="0" t="n">
        <f aca="false">1*MIN((AU91-BM91-BS91-BY91),MIN(CA91,CB91)-CC91)</f>
        <v>0</v>
      </c>
      <c r="CE91" s="0" t="n">
        <f aca="false">1*MIN((AV91-BN91-BT91-BZ91),MIN(CA91,CB91)-CC91-CD91)</f>
        <v>0</v>
      </c>
      <c r="CF91" s="0" t="n">
        <f aca="false">CA91-CC91-CD91-CE91</f>
        <v>0</v>
      </c>
      <c r="CG91" s="0" t="n">
        <f aca="false">IF(C91+D91+E91&gt;Inputs!$B$19,MIN(CF91,MAX(0,Inputs!$B$15-DO90)),0)</f>
        <v>0</v>
      </c>
      <c r="CH91" s="0" t="n">
        <f aca="false">CF91-CG91</f>
        <v>0</v>
      </c>
      <c r="CI91" s="0" t="n">
        <f aca="false">DO90+CG91</f>
        <v>0</v>
      </c>
      <c r="CJ91" s="0" t="n">
        <f aca="false">MIN(MAX(N91-BH91,0),CI91)</f>
        <v>0</v>
      </c>
      <c r="CK91" s="0" t="n">
        <f aca="false">MIN(MAX(O91-BJ91,0),CI91-CJ91)</f>
        <v>0</v>
      </c>
      <c r="CL91" s="0" t="n">
        <f aca="false">MIN(MAX(P91-BP91,0),CI91-CJ91-CK91)</f>
        <v>0</v>
      </c>
      <c r="CM91" s="0" t="n">
        <f aca="false">CJ91+CK91+CL91</f>
        <v>0</v>
      </c>
      <c r="CN91" s="0" t="n">
        <f aca="false">CI91-CM91</f>
        <v>0</v>
      </c>
      <c r="CO91" s="0" t="n">
        <f aca="false">BH91+CJ91</f>
        <v>0</v>
      </c>
      <c r="CP91" s="0" t="n">
        <f aca="false">BJ91+CK91</f>
        <v>0</v>
      </c>
      <c r="CQ91" s="0" t="n">
        <f aca="false">BP91+CL91</f>
        <v>0</v>
      </c>
      <c r="CR91" s="0" t="n">
        <f aca="false">BV91</f>
        <v>0</v>
      </c>
      <c r="CS91" s="0" t="n">
        <f aca="false">AT91-BL91-BR91-BX91-CC91</f>
        <v>0</v>
      </c>
      <c r="CT91" s="0" t="n">
        <f aca="false">AU91-BM91-BS91-BY91-CD91</f>
        <v>0</v>
      </c>
      <c r="CU91" s="0" t="n">
        <f aca="false">AV91-BN91-BT91-BZ91-CE91</f>
        <v>0</v>
      </c>
      <c r="CV91" s="0" t="n">
        <f aca="false">MAX(0,CS91+CT91+CU91-AW91)</f>
        <v>0</v>
      </c>
      <c r="CW91" s="0" t="n">
        <f aca="false">MIN(CU91,CV91)</f>
        <v>0</v>
      </c>
      <c r="CX91" s="0" t="n">
        <f aca="false">MIN(CT91,CV91-CW91)</f>
        <v>0</v>
      </c>
      <c r="CY91" s="0" t="n">
        <f aca="false">MIN(CS91,CV91-CW91-CX91)</f>
        <v>0</v>
      </c>
      <c r="CZ91" s="0" t="n">
        <f aca="false">IF(CS91-CY91&lt;Inputs!$B$19,0,CS91-CY91)</f>
        <v>0</v>
      </c>
      <c r="DA91" s="0" t="n">
        <f aca="false">IF(CT91-CX91&lt;Inputs!$B$19,0,CT91-CX91)</f>
        <v>0</v>
      </c>
      <c r="DB91" s="0" t="n">
        <f aca="false">IF(CU91-CW91&lt;Inputs!$B$19,0,CU91-CW91)</f>
        <v>0</v>
      </c>
      <c r="DC91" s="0" t="n">
        <f aca="false">N91-CO91</f>
        <v>0</v>
      </c>
      <c r="DD91" s="0" t="n">
        <f aca="false">O91-CP91</f>
        <v>0</v>
      </c>
      <c r="DE91" s="0" t="n">
        <f aca="false">P91-CQ91</f>
        <v>0</v>
      </c>
      <c r="DF91" s="0" t="n">
        <f aca="false">Q91-CR91</f>
        <v>0</v>
      </c>
      <c r="DG91" s="0" t="n">
        <f aca="false">IF(CZ91+DA91+DB91&lt;=Inputs!$B$19,1,0)</f>
        <v>1</v>
      </c>
      <c r="DH91" s="0" t="n">
        <f aca="false">DG91*CN91</f>
        <v>0</v>
      </c>
      <c r="DI91" s="0" t="n">
        <f aca="false">DG91*(AS91+DH91)</f>
        <v>4301.54941454177</v>
      </c>
      <c r="DJ91" s="0" t="n">
        <f aca="false">DG91*MIN(DC91,DI91)</f>
        <v>0</v>
      </c>
      <c r="DK91" s="0" t="n">
        <f aca="false">DG91*MIN(DD91,DI91-DJ91)</f>
        <v>0</v>
      </c>
      <c r="DL91" s="0" t="n">
        <f aca="false">DG91*MIN(DE91,DI91-DJ91-DK91)</f>
        <v>0</v>
      </c>
      <c r="DM91" s="0" t="n">
        <f aca="false">DG91*MIN(DF91,DI91-DJ91-DK91-DL91)</f>
        <v>0</v>
      </c>
      <c r="DN91" s="0" t="n">
        <f aca="false">DJ91+DK91+DL91+DM91</f>
        <v>0</v>
      </c>
      <c r="DO91" s="0" t="n">
        <f aca="false">CN91-DH91</f>
        <v>0</v>
      </c>
      <c r="DP91" s="0" t="n">
        <f aca="false">DC91-DJ91</f>
        <v>0</v>
      </c>
      <c r="DQ91" s="0" t="n">
        <f aca="false">DD91-DK91</f>
        <v>0</v>
      </c>
      <c r="DR91" s="0" t="n">
        <f aca="false">DE91-DL91</f>
        <v>0</v>
      </c>
      <c r="DS91" s="0" t="n">
        <f aca="false">DF91-DM91</f>
        <v>0</v>
      </c>
      <c r="DT91" s="0" t="n">
        <f aca="false">CO91+DJ91</f>
        <v>0</v>
      </c>
      <c r="DU91" s="0" t="n">
        <f aca="false">CP91+DK91</f>
        <v>0</v>
      </c>
      <c r="DV91" s="0" t="n">
        <f aca="false">AP91+BL91+BR91+BX91+CC91</f>
        <v>0</v>
      </c>
      <c r="DW91" s="0" t="n">
        <f aca="false">CQ91+DL91</f>
        <v>0</v>
      </c>
      <c r="DX91" s="0" t="n">
        <f aca="false">AQ91+BM91+BS91+BY91+CD91</f>
        <v>0</v>
      </c>
      <c r="DY91" s="0" t="n">
        <f aca="false">CR91+DM91</f>
        <v>0</v>
      </c>
      <c r="DZ91" s="0" t="n">
        <f aca="false">AR91+BN91+BT91+BZ91+CE91</f>
        <v>0</v>
      </c>
      <c r="EA91" s="0" t="n">
        <f aca="false">DI91-DN91</f>
        <v>4301.54941454177</v>
      </c>
      <c r="EB91" s="0" t="n">
        <f aca="false">CH91+EA91</f>
        <v>4301.54941454177</v>
      </c>
      <c r="EC91" s="0" t="n">
        <f aca="false">R91-I91-MAX(-M91,0)-J91-K91-L91</f>
        <v>0</v>
      </c>
      <c r="ED91" s="0" t="n">
        <f aca="false">R91+S91+CM91+DH91-CG91-DT91-DU91-DW91-DY91-DV91-DX91-DZ91-EB91</f>
        <v>0</v>
      </c>
      <c r="EE91" s="0" t="n">
        <f aca="false">IF(AND(EB91&gt;0.000001,DP91+DQ91+DR91+DS91&gt;0.000001),1,0)</f>
        <v>0</v>
      </c>
    </row>
    <row r="92" customFormat="false" ht="15" hidden="false" customHeight="false" outlineLevel="0" collapsed="false">
      <c r="A92" s="0" t="n">
        <f aca="false">ROW()-5</f>
        <v>87</v>
      </c>
      <c r="B92" s="0" t="n">
        <f aca="false">Inputs!$B$11+(Inputs!$B$12-Inputs!$B$11)*(1-EXP(-A92/Inputs!$B$13))+Inputs!$B$8</f>
        <v>0.0327798155220317</v>
      </c>
      <c r="C92" s="0" t="n">
        <f aca="false">CZ91</f>
        <v>0</v>
      </c>
      <c r="D92" s="0" t="n">
        <f aca="false">DA91</f>
        <v>0</v>
      </c>
      <c r="E92" s="0" t="n">
        <f aca="false">DB91</f>
        <v>0</v>
      </c>
      <c r="F92" s="0" t="n">
        <f aca="false">IF(Inputs!$B$22=1,B92+Inputs!$B$23,Inputs!$B$23)/12</f>
        <v>0.00364831796016931</v>
      </c>
      <c r="G92" s="0" t="n">
        <f aca="false">IF(Inputs!$B$27=1,B92+Inputs!$B$28,Inputs!$B$28)/12</f>
        <v>0.00460665129350265</v>
      </c>
      <c r="H92" s="0" t="n">
        <f aca="false">IF(Inputs!$B$32=1,B92+Inputs!$B$33,Inputs!$B$33)/12</f>
        <v>0.00625</v>
      </c>
      <c r="I92" s="0" t="n">
        <f aca="false">Pool!BT92*Inputs!$B$14/12</f>
        <v>0</v>
      </c>
      <c r="J92" s="0" t="n">
        <f aca="false">C92*F92</f>
        <v>0</v>
      </c>
      <c r="K92" s="0" t="n">
        <f aca="false">D92*G92</f>
        <v>0</v>
      </c>
      <c r="L92" s="0" t="n">
        <f aca="false">E92*H92</f>
        <v>0</v>
      </c>
      <c r="M92" s="0" t="n">
        <f aca="false">Inputs!$B$17*(C92*Inputs!$B$22+D92*Inputs!$B$27+E92*Inputs!$B$32)*(B92-Inputs!$B$18)/12</f>
        <v>-0</v>
      </c>
      <c r="N92" s="0" t="n">
        <f aca="false">DP91+I92+MAX(-M92,0)</f>
        <v>0</v>
      </c>
      <c r="O92" s="0" t="n">
        <f aca="false">DQ91+J92</f>
        <v>0</v>
      </c>
      <c r="P92" s="0" t="n">
        <f aca="false">DR91+K92</f>
        <v>0</v>
      </c>
      <c r="Q92" s="0" t="n">
        <f aca="false">DS91+L92</f>
        <v>0</v>
      </c>
      <c r="R92" s="0" t="n">
        <f aca="false">Pool!BV92+MAX(M92,0)</f>
        <v>0</v>
      </c>
      <c r="S92" s="0" t="n">
        <f aca="false">Pool!BW92+Pool!BX92+Pool!BZ92</f>
        <v>3417.73331086387</v>
      </c>
      <c r="T92" s="0" t="n">
        <f aca="false">MAX(T91,BG91)</f>
        <v>1</v>
      </c>
      <c r="U92" s="0" t="n">
        <f aca="false">MIN(C92,S92)</f>
        <v>0</v>
      </c>
      <c r="V92" s="0" t="n">
        <f aca="false">MIN(D92,S92-U92)</f>
        <v>0</v>
      </c>
      <c r="W92" s="0" t="n">
        <f aca="false">MIN(E92,S92-U92-V92)</f>
        <v>0</v>
      </c>
      <c r="X92" s="0" t="n">
        <f aca="false">IF(C92-(0)&gt;Inputs!$B$19,1,0)</f>
        <v>0</v>
      </c>
      <c r="Y92" s="0" t="n">
        <f aca="false">IF(D92-(0)&gt;Inputs!$B$19,1,0)</f>
        <v>0</v>
      </c>
      <c r="Z92" s="0" t="n">
        <f aca="false">IF(E92-(0)&gt;Inputs!$B$19,1,0)</f>
        <v>0</v>
      </c>
      <c r="AA92" s="0" t="n">
        <f aca="false">IF((X92*C92+Y92*D92+Z92*E92)&gt;0,MIN(C92-(0),S92*X92*C92/(X92*C92+Y92*D92+Z92*E92)),0)</f>
        <v>0</v>
      </c>
      <c r="AB92" s="0" t="n">
        <f aca="false">IF((X92*C92+Y92*D92+Z92*E92)&gt;0,MIN(D92-(0),S92*Y92*D92/(X92*C92+Y92*D92+Z92*E92)),0)</f>
        <v>0</v>
      </c>
      <c r="AC92" s="0" t="n">
        <f aca="false">IF((X92*C92+Y92*D92+Z92*E92)&gt;0,MIN(E92-(0),S92*Z92*E92/(X92*C92+Y92*D92+Z92*E92)),0)</f>
        <v>0</v>
      </c>
      <c r="AD92" s="0" t="n">
        <f aca="false">IF(C92-(AA92)&gt;Inputs!$B$19,1,0)</f>
        <v>0</v>
      </c>
      <c r="AE92" s="0" t="n">
        <f aca="false">IF(D92-(AB92)&gt;Inputs!$B$19,1,0)</f>
        <v>0</v>
      </c>
      <c r="AF92" s="0" t="n">
        <f aca="false">IF(E92-(AC92)&gt;Inputs!$B$19,1,0)</f>
        <v>0</v>
      </c>
      <c r="AG92" s="0" t="n">
        <f aca="false">IF((AD92*C92+AE92*D92+AF92*E92)&gt;0,MIN(C92-(AA92),(S92-(AA92+AB92+AC92))*AD92*C92/(AD92*C92+AE92*D92+AF92*E92)),0)</f>
        <v>0</v>
      </c>
      <c r="AH92" s="0" t="n">
        <f aca="false">IF((AD92*C92+AE92*D92+AF92*E92)&gt;0,MIN(D92-(AB92),(S92-(AA92+AB92+AC92))*AE92*D92/(AD92*C92+AE92*D92+AF92*E92)),0)</f>
        <v>0</v>
      </c>
      <c r="AI92" s="0" t="n">
        <f aca="false">IF((AD92*C92+AE92*D92+AF92*E92)&gt;0,MIN(E92-(AC92),(S92-(AA92+AB92+AC92))*AF92*E92/(AD92*C92+AE92*D92+AF92*E92)),0)</f>
        <v>0</v>
      </c>
      <c r="AJ92" s="0" t="n">
        <f aca="false">IF(C92-(AA92+AG92)&gt;Inputs!$B$19,1,0)</f>
        <v>0</v>
      </c>
      <c r="AK92" s="0" t="n">
        <f aca="false">IF(D92-(AB92+AH92)&gt;Inputs!$B$19,1,0)</f>
        <v>0</v>
      </c>
      <c r="AL92" s="0" t="n">
        <f aca="false">IF(E92-(AC92+AI92)&gt;Inputs!$B$19,1,0)</f>
        <v>0</v>
      </c>
      <c r="AM92" s="0" t="n">
        <f aca="false">IF((AJ92*C92+AK92*D92+AL92*E92)&gt;0,MIN(C92-(AA92+AG92),(S92-(AA92+AB92+AC92+AG92+AH92+AI92))*AJ92*C92/(AJ92*C92+AK92*D92+AL92*E92)),0)</f>
        <v>0</v>
      </c>
      <c r="AN92" s="0" t="n">
        <f aca="false">IF((AJ92*C92+AK92*D92+AL92*E92)&gt;0,MIN(D92-(AB92+AH92),(S92-(AA92+AB92+AC92+AG92+AH92+AI92))*AK92*D92/(AJ92*C92+AK92*D92+AL92*E92)),0)</f>
        <v>0</v>
      </c>
      <c r="AO92" s="0" t="n">
        <f aca="false">IF((AJ92*C92+AK92*D92+AL92*E92)&gt;0,MIN(E92-(AC92+AI92),(S92-(AA92+AB92+AC92+AG92+AH92+AI92))*AL92*E92/(AJ92*C92+AK92*D92+AL92*E92)),0)</f>
        <v>0</v>
      </c>
      <c r="AP92" s="0" t="n">
        <f aca="false">IF(T92=1,U92,AA92+AG92+AM92)</f>
        <v>0</v>
      </c>
      <c r="AQ92" s="0" t="n">
        <f aca="false">IF(T92=1,V92,AB92+AH92+AN92)</f>
        <v>0</v>
      </c>
      <c r="AR92" s="0" t="n">
        <f aca="false">IF(T92=1,W92,AC92+AI92+AO92)</f>
        <v>0</v>
      </c>
      <c r="AS92" s="0" t="n">
        <f aca="false">S92-AP92-AQ92-AR92</f>
        <v>3417.73331086387</v>
      </c>
      <c r="AT92" s="0" t="n">
        <f aca="false">C92-AP92</f>
        <v>0</v>
      </c>
      <c r="AU92" s="0" t="n">
        <f aca="false">D92-AQ92</f>
        <v>0</v>
      </c>
      <c r="AV92" s="0" t="n">
        <f aca="false">E92-AR92</f>
        <v>0</v>
      </c>
      <c r="AW92" s="0" t="n">
        <f aca="false">Pool!CB92</f>
        <v>5068.52006693879</v>
      </c>
      <c r="AX92" s="0" t="n">
        <f aca="false">IF((AT92)&gt;Inputs!$B$19,AW92/(AT92),1000000000)</f>
        <v>1000000000</v>
      </c>
      <c r="AY92" s="0" t="n">
        <f aca="false">IF((J92)&gt;0.000000001,(R92-I92-MAX(-M92,0))/(J92),1000000000)</f>
        <v>1000000000</v>
      </c>
      <c r="AZ92" s="0" t="n">
        <f aca="false">IF(OR(AX92&lt;Inputs!$B$24,AY92&lt;Inputs!$B$25),1,0)</f>
        <v>0</v>
      </c>
      <c r="BA92" s="0" t="n">
        <f aca="false">IF((AT92+AU92)&gt;Inputs!$B$19,AW92/(AT92+AU92),1000000000)</f>
        <v>1000000000</v>
      </c>
      <c r="BB92" s="0" t="n">
        <f aca="false">IF((J92+K92)&gt;0.000000001,(R92-I92-MAX(-M92,0))/(J92+K92),1000000000)</f>
        <v>1000000000</v>
      </c>
      <c r="BC92" s="0" t="n">
        <f aca="false">IF(OR(BA92&lt;Inputs!$B$29,BB92&lt;Inputs!$B$30),1,0)</f>
        <v>0</v>
      </c>
      <c r="BD92" s="0" t="n">
        <f aca="false">IF((AT92+AU92+AV92)&gt;Inputs!$B$19,AW92/(AT92+AU92+AV92),1000000000)</f>
        <v>1000000000</v>
      </c>
      <c r="BE92" s="0" t="n">
        <f aca="false">IF((J92+K92+L92)&gt;0.000000001,(R92-I92-MAX(-M92,0))/(J92+K92+L92),1000000000)</f>
        <v>1000000000</v>
      </c>
      <c r="BF92" s="0" t="n">
        <f aca="false">IF(OR(BD92&lt;Inputs!$B$34,BE92&lt;Inputs!$B$35),1,0)</f>
        <v>0</v>
      </c>
      <c r="BG92" s="0" t="n">
        <f aca="false">MAX(AZ92,BC92,BF92)</f>
        <v>0</v>
      </c>
      <c r="BH92" s="0" t="n">
        <f aca="false">MIN(R92,N92)</f>
        <v>0</v>
      </c>
      <c r="BI92" s="0" t="n">
        <f aca="false">R92-BH92</f>
        <v>0</v>
      </c>
      <c r="BJ92" s="0" t="n">
        <f aca="false">MIN(BI92,O92)</f>
        <v>0</v>
      </c>
      <c r="BK92" s="0" t="n">
        <f aca="false">BI92-BJ92</f>
        <v>0</v>
      </c>
      <c r="BL92" s="0" t="n">
        <f aca="false">AZ92*MIN(AT92,BK92)</f>
        <v>0</v>
      </c>
      <c r="BM92" s="0" t="n">
        <f aca="false">AZ92*MIN(AU92,BK92-BL92)</f>
        <v>0</v>
      </c>
      <c r="BN92" s="0" t="n">
        <f aca="false">AZ92*MIN(AV92,BK92-BL92-BM92)</f>
        <v>0</v>
      </c>
      <c r="BO92" s="0" t="n">
        <f aca="false">BK92-BL92-BM92-BN92</f>
        <v>0</v>
      </c>
      <c r="BP92" s="0" t="n">
        <f aca="false">MIN(BO92,P92)</f>
        <v>0</v>
      </c>
      <c r="BQ92" s="0" t="n">
        <f aca="false">BO92-BP92</f>
        <v>0</v>
      </c>
      <c r="BR92" s="0" t="n">
        <f aca="false">BC92*MIN((AT92-BL92),BQ92)</f>
        <v>0</v>
      </c>
      <c r="BS92" s="0" t="n">
        <f aca="false">BC92*MIN((AU92-BM92),BQ92-BR92)</f>
        <v>0</v>
      </c>
      <c r="BT92" s="0" t="n">
        <f aca="false">BC92*MIN((AV92-BN92),BQ92-BR92-BS92)</f>
        <v>0</v>
      </c>
      <c r="BU92" s="0" t="n">
        <f aca="false">BQ92-BR92-BS92-BT92</f>
        <v>0</v>
      </c>
      <c r="BV92" s="0" t="n">
        <f aca="false">MIN(BU92,Q92)</f>
        <v>0</v>
      </c>
      <c r="BW92" s="0" t="n">
        <f aca="false">BU92-BV92</f>
        <v>0</v>
      </c>
      <c r="BX92" s="0" t="n">
        <f aca="false">BF92*MIN((AT92-BL92-BR92),BW92)</f>
        <v>0</v>
      </c>
      <c r="BY92" s="0" t="n">
        <f aca="false">BF92*MIN((AU92-BM92-BS92),BW92-BX92)</f>
        <v>0</v>
      </c>
      <c r="BZ92" s="0" t="n">
        <f aca="false">BF92*MIN((AV92-BN92-BT92),BW92-BX92-BY92)</f>
        <v>0</v>
      </c>
      <c r="CA92" s="0" t="n">
        <f aca="false">BW92-BX92-BY92-BZ92</f>
        <v>0</v>
      </c>
      <c r="CB92" s="0" t="n">
        <f aca="false">MAX(0,AT92+AU92+AV92-BL92-BM92-BN92-BR92-BS92-BT92-BX92-BY92-BZ92-AW92)</f>
        <v>0</v>
      </c>
      <c r="CC92" s="0" t="n">
        <f aca="false">1*MIN((AT92-BL92-BR92-BX92),MIN(CA92,CB92))</f>
        <v>0</v>
      </c>
      <c r="CD92" s="0" t="n">
        <f aca="false">1*MIN((AU92-BM92-BS92-BY92),MIN(CA92,CB92)-CC92)</f>
        <v>0</v>
      </c>
      <c r="CE92" s="0" t="n">
        <f aca="false">1*MIN((AV92-BN92-BT92-BZ92),MIN(CA92,CB92)-CC92-CD92)</f>
        <v>0</v>
      </c>
      <c r="CF92" s="0" t="n">
        <f aca="false">CA92-CC92-CD92-CE92</f>
        <v>0</v>
      </c>
      <c r="CG92" s="0" t="n">
        <f aca="false">IF(C92+D92+E92&gt;Inputs!$B$19,MIN(CF92,MAX(0,Inputs!$B$15-DO91)),0)</f>
        <v>0</v>
      </c>
      <c r="CH92" s="0" t="n">
        <f aca="false">CF92-CG92</f>
        <v>0</v>
      </c>
      <c r="CI92" s="0" t="n">
        <f aca="false">DO91+CG92</f>
        <v>0</v>
      </c>
      <c r="CJ92" s="0" t="n">
        <f aca="false">MIN(MAX(N92-BH92,0),CI92)</f>
        <v>0</v>
      </c>
      <c r="CK92" s="0" t="n">
        <f aca="false">MIN(MAX(O92-BJ92,0),CI92-CJ92)</f>
        <v>0</v>
      </c>
      <c r="CL92" s="0" t="n">
        <f aca="false">MIN(MAX(P92-BP92,0),CI92-CJ92-CK92)</f>
        <v>0</v>
      </c>
      <c r="CM92" s="0" t="n">
        <f aca="false">CJ92+CK92+CL92</f>
        <v>0</v>
      </c>
      <c r="CN92" s="0" t="n">
        <f aca="false">CI92-CM92</f>
        <v>0</v>
      </c>
      <c r="CO92" s="0" t="n">
        <f aca="false">BH92+CJ92</f>
        <v>0</v>
      </c>
      <c r="CP92" s="0" t="n">
        <f aca="false">BJ92+CK92</f>
        <v>0</v>
      </c>
      <c r="CQ92" s="0" t="n">
        <f aca="false">BP92+CL92</f>
        <v>0</v>
      </c>
      <c r="CR92" s="0" t="n">
        <f aca="false">BV92</f>
        <v>0</v>
      </c>
      <c r="CS92" s="0" t="n">
        <f aca="false">AT92-BL92-BR92-BX92-CC92</f>
        <v>0</v>
      </c>
      <c r="CT92" s="0" t="n">
        <f aca="false">AU92-BM92-BS92-BY92-CD92</f>
        <v>0</v>
      </c>
      <c r="CU92" s="0" t="n">
        <f aca="false">AV92-BN92-BT92-BZ92-CE92</f>
        <v>0</v>
      </c>
      <c r="CV92" s="0" t="n">
        <f aca="false">MAX(0,CS92+CT92+CU92-AW92)</f>
        <v>0</v>
      </c>
      <c r="CW92" s="0" t="n">
        <f aca="false">MIN(CU92,CV92)</f>
        <v>0</v>
      </c>
      <c r="CX92" s="0" t="n">
        <f aca="false">MIN(CT92,CV92-CW92)</f>
        <v>0</v>
      </c>
      <c r="CY92" s="0" t="n">
        <f aca="false">MIN(CS92,CV92-CW92-CX92)</f>
        <v>0</v>
      </c>
      <c r="CZ92" s="0" t="n">
        <f aca="false">IF(CS92-CY92&lt;Inputs!$B$19,0,CS92-CY92)</f>
        <v>0</v>
      </c>
      <c r="DA92" s="0" t="n">
        <f aca="false">IF(CT92-CX92&lt;Inputs!$B$19,0,CT92-CX92)</f>
        <v>0</v>
      </c>
      <c r="DB92" s="0" t="n">
        <f aca="false">IF(CU92-CW92&lt;Inputs!$B$19,0,CU92-CW92)</f>
        <v>0</v>
      </c>
      <c r="DC92" s="0" t="n">
        <f aca="false">N92-CO92</f>
        <v>0</v>
      </c>
      <c r="DD92" s="0" t="n">
        <f aca="false">O92-CP92</f>
        <v>0</v>
      </c>
      <c r="DE92" s="0" t="n">
        <f aca="false">P92-CQ92</f>
        <v>0</v>
      </c>
      <c r="DF92" s="0" t="n">
        <f aca="false">Q92-CR92</f>
        <v>0</v>
      </c>
      <c r="DG92" s="0" t="n">
        <f aca="false">IF(CZ92+DA92+DB92&lt;=Inputs!$B$19,1,0)</f>
        <v>1</v>
      </c>
      <c r="DH92" s="0" t="n">
        <f aca="false">DG92*CN92</f>
        <v>0</v>
      </c>
      <c r="DI92" s="0" t="n">
        <f aca="false">DG92*(AS92+DH92)</f>
        <v>3417.73331086387</v>
      </c>
      <c r="DJ92" s="0" t="n">
        <f aca="false">DG92*MIN(DC92,DI92)</f>
        <v>0</v>
      </c>
      <c r="DK92" s="0" t="n">
        <f aca="false">DG92*MIN(DD92,DI92-DJ92)</f>
        <v>0</v>
      </c>
      <c r="DL92" s="0" t="n">
        <f aca="false">DG92*MIN(DE92,DI92-DJ92-DK92)</f>
        <v>0</v>
      </c>
      <c r="DM92" s="0" t="n">
        <f aca="false">DG92*MIN(DF92,DI92-DJ92-DK92-DL92)</f>
        <v>0</v>
      </c>
      <c r="DN92" s="0" t="n">
        <f aca="false">DJ92+DK92+DL92+DM92</f>
        <v>0</v>
      </c>
      <c r="DO92" s="0" t="n">
        <f aca="false">CN92-DH92</f>
        <v>0</v>
      </c>
      <c r="DP92" s="0" t="n">
        <f aca="false">DC92-DJ92</f>
        <v>0</v>
      </c>
      <c r="DQ92" s="0" t="n">
        <f aca="false">DD92-DK92</f>
        <v>0</v>
      </c>
      <c r="DR92" s="0" t="n">
        <f aca="false">DE92-DL92</f>
        <v>0</v>
      </c>
      <c r="DS92" s="0" t="n">
        <f aca="false">DF92-DM92</f>
        <v>0</v>
      </c>
      <c r="DT92" s="0" t="n">
        <f aca="false">CO92+DJ92</f>
        <v>0</v>
      </c>
      <c r="DU92" s="0" t="n">
        <f aca="false">CP92+DK92</f>
        <v>0</v>
      </c>
      <c r="DV92" s="0" t="n">
        <f aca="false">AP92+BL92+BR92+BX92+CC92</f>
        <v>0</v>
      </c>
      <c r="DW92" s="0" t="n">
        <f aca="false">CQ92+DL92</f>
        <v>0</v>
      </c>
      <c r="DX92" s="0" t="n">
        <f aca="false">AQ92+BM92+BS92+BY92+CD92</f>
        <v>0</v>
      </c>
      <c r="DY92" s="0" t="n">
        <f aca="false">CR92+DM92</f>
        <v>0</v>
      </c>
      <c r="DZ92" s="0" t="n">
        <f aca="false">AR92+BN92+BT92+BZ92+CE92</f>
        <v>0</v>
      </c>
      <c r="EA92" s="0" t="n">
        <f aca="false">DI92-DN92</f>
        <v>3417.73331086387</v>
      </c>
      <c r="EB92" s="0" t="n">
        <f aca="false">CH92+EA92</f>
        <v>3417.73331086387</v>
      </c>
      <c r="EC92" s="0" t="n">
        <f aca="false">R92-I92-MAX(-M92,0)-J92-K92-L92</f>
        <v>0</v>
      </c>
      <c r="ED92" s="0" t="n">
        <f aca="false">R92+S92+CM92+DH92-CG92-DT92-DU92-DW92-DY92-DV92-DX92-DZ92-EB92</f>
        <v>0</v>
      </c>
      <c r="EE92" s="0" t="n">
        <f aca="false">IF(AND(EB92&gt;0.000001,DP92+DQ92+DR92+DS92&gt;0.000001),1,0)</f>
        <v>0</v>
      </c>
    </row>
    <row r="93" customFormat="false" ht="15" hidden="false" customHeight="false" outlineLevel="0" collapsed="false">
      <c r="A93" s="0" t="n">
        <f aca="false">ROW()-5</f>
        <v>88</v>
      </c>
      <c r="B93" s="0" t="n">
        <f aca="false">Inputs!$B$11+(Inputs!$B$12-Inputs!$B$11)*(1-EXP(-A93/Inputs!$B$13))+Inputs!$B$8</f>
        <v>0.0327683960986683</v>
      </c>
      <c r="C93" s="0" t="n">
        <f aca="false">CZ92</f>
        <v>0</v>
      </c>
      <c r="D93" s="0" t="n">
        <f aca="false">DA92</f>
        <v>0</v>
      </c>
      <c r="E93" s="0" t="n">
        <f aca="false">DB92</f>
        <v>0</v>
      </c>
      <c r="F93" s="0" t="n">
        <f aca="false">IF(Inputs!$B$22=1,B93+Inputs!$B$23,Inputs!$B$23)/12</f>
        <v>0.00364736634155569</v>
      </c>
      <c r="G93" s="0" t="n">
        <f aca="false">IF(Inputs!$B$27=1,B93+Inputs!$B$28,Inputs!$B$28)/12</f>
        <v>0.00460569967488903</v>
      </c>
      <c r="H93" s="0" t="n">
        <f aca="false">IF(Inputs!$B$32=1,B93+Inputs!$B$33,Inputs!$B$33)/12</f>
        <v>0.00625</v>
      </c>
      <c r="I93" s="0" t="n">
        <f aca="false">Pool!BT93*Inputs!$B$14/12</f>
        <v>0</v>
      </c>
      <c r="J93" s="0" t="n">
        <f aca="false">C93*F93</f>
        <v>0</v>
      </c>
      <c r="K93" s="0" t="n">
        <f aca="false">D93*G93</f>
        <v>0</v>
      </c>
      <c r="L93" s="0" t="n">
        <f aca="false">E93*H93</f>
        <v>0</v>
      </c>
      <c r="M93" s="0" t="n">
        <f aca="false">Inputs!$B$17*(C93*Inputs!$B$22+D93*Inputs!$B$27+E93*Inputs!$B$32)*(B93-Inputs!$B$18)/12</f>
        <v>-0</v>
      </c>
      <c r="N93" s="0" t="n">
        <f aca="false">DP92+I93+MAX(-M93,0)</f>
        <v>0</v>
      </c>
      <c r="O93" s="0" t="n">
        <f aca="false">DQ92+J93</f>
        <v>0</v>
      </c>
      <c r="P93" s="0" t="n">
        <f aca="false">DR92+K93</f>
        <v>0</v>
      </c>
      <c r="Q93" s="0" t="n">
        <f aca="false">DS92+L93</f>
        <v>0</v>
      </c>
      <c r="R93" s="0" t="n">
        <f aca="false">Pool!BV93+MAX(M93,0)</f>
        <v>0</v>
      </c>
      <c r="S93" s="0" t="n">
        <f aca="false">Pool!BW93+Pool!BX93+Pool!BZ93</f>
        <v>2545.80791677151</v>
      </c>
      <c r="T93" s="0" t="n">
        <f aca="false">MAX(T92,BG92)</f>
        <v>1</v>
      </c>
      <c r="U93" s="0" t="n">
        <f aca="false">MIN(C93,S93)</f>
        <v>0</v>
      </c>
      <c r="V93" s="0" t="n">
        <f aca="false">MIN(D93,S93-U93)</f>
        <v>0</v>
      </c>
      <c r="W93" s="0" t="n">
        <f aca="false">MIN(E93,S93-U93-V93)</f>
        <v>0</v>
      </c>
      <c r="X93" s="0" t="n">
        <f aca="false">IF(C93-(0)&gt;Inputs!$B$19,1,0)</f>
        <v>0</v>
      </c>
      <c r="Y93" s="0" t="n">
        <f aca="false">IF(D93-(0)&gt;Inputs!$B$19,1,0)</f>
        <v>0</v>
      </c>
      <c r="Z93" s="0" t="n">
        <f aca="false">IF(E93-(0)&gt;Inputs!$B$19,1,0)</f>
        <v>0</v>
      </c>
      <c r="AA93" s="0" t="n">
        <f aca="false">IF((X93*C93+Y93*D93+Z93*E93)&gt;0,MIN(C93-(0),S93*X93*C93/(X93*C93+Y93*D93+Z93*E93)),0)</f>
        <v>0</v>
      </c>
      <c r="AB93" s="0" t="n">
        <f aca="false">IF((X93*C93+Y93*D93+Z93*E93)&gt;0,MIN(D93-(0),S93*Y93*D93/(X93*C93+Y93*D93+Z93*E93)),0)</f>
        <v>0</v>
      </c>
      <c r="AC93" s="0" t="n">
        <f aca="false">IF((X93*C93+Y93*D93+Z93*E93)&gt;0,MIN(E93-(0),S93*Z93*E93/(X93*C93+Y93*D93+Z93*E93)),0)</f>
        <v>0</v>
      </c>
      <c r="AD93" s="0" t="n">
        <f aca="false">IF(C93-(AA93)&gt;Inputs!$B$19,1,0)</f>
        <v>0</v>
      </c>
      <c r="AE93" s="0" t="n">
        <f aca="false">IF(D93-(AB93)&gt;Inputs!$B$19,1,0)</f>
        <v>0</v>
      </c>
      <c r="AF93" s="0" t="n">
        <f aca="false">IF(E93-(AC93)&gt;Inputs!$B$19,1,0)</f>
        <v>0</v>
      </c>
      <c r="AG93" s="0" t="n">
        <f aca="false">IF((AD93*C93+AE93*D93+AF93*E93)&gt;0,MIN(C93-(AA93),(S93-(AA93+AB93+AC93))*AD93*C93/(AD93*C93+AE93*D93+AF93*E93)),0)</f>
        <v>0</v>
      </c>
      <c r="AH93" s="0" t="n">
        <f aca="false">IF((AD93*C93+AE93*D93+AF93*E93)&gt;0,MIN(D93-(AB93),(S93-(AA93+AB93+AC93))*AE93*D93/(AD93*C93+AE93*D93+AF93*E93)),0)</f>
        <v>0</v>
      </c>
      <c r="AI93" s="0" t="n">
        <f aca="false">IF((AD93*C93+AE93*D93+AF93*E93)&gt;0,MIN(E93-(AC93),(S93-(AA93+AB93+AC93))*AF93*E93/(AD93*C93+AE93*D93+AF93*E93)),0)</f>
        <v>0</v>
      </c>
      <c r="AJ93" s="0" t="n">
        <f aca="false">IF(C93-(AA93+AG93)&gt;Inputs!$B$19,1,0)</f>
        <v>0</v>
      </c>
      <c r="AK93" s="0" t="n">
        <f aca="false">IF(D93-(AB93+AH93)&gt;Inputs!$B$19,1,0)</f>
        <v>0</v>
      </c>
      <c r="AL93" s="0" t="n">
        <f aca="false">IF(E93-(AC93+AI93)&gt;Inputs!$B$19,1,0)</f>
        <v>0</v>
      </c>
      <c r="AM93" s="0" t="n">
        <f aca="false">IF((AJ93*C93+AK93*D93+AL93*E93)&gt;0,MIN(C93-(AA93+AG93),(S93-(AA93+AB93+AC93+AG93+AH93+AI93))*AJ93*C93/(AJ93*C93+AK93*D93+AL93*E93)),0)</f>
        <v>0</v>
      </c>
      <c r="AN93" s="0" t="n">
        <f aca="false">IF((AJ93*C93+AK93*D93+AL93*E93)&gt;0,MIN(D93-(AB93+AH93),(S93-(AA93+AB93+AC93+AG93+AH93+AI93))*AK93*D93/(AJ93*C93+AK93*D93+AL93*E93)),0)</f>
        <v>0</v>
      </c>
      <c r="AO93" s="0" t="n">
        <f aca="false">IF((AJ93*C93+AK93*D93+AL93*E93)&gt;0,MIN(E93-(AC93+AI93),(S93-(AA93+AB93+AC93+AG93+AH93+AI93))*AL93*E93/(AJ93*C93+AK93*D93+AL93*E93)),0)</f>
        <v>0</v>
      </c>
      <c r="AP93" s="0" t="n">
        <f aca="false">IF(T93=1,U93,AA93+AG93+AM93)</f>
        <v>0</v>
      </c>
      <c r="AQ93" s="0" t="n">
        <f aca="false">IF(T93=1,V93,AB93+AH93+AN93)</f>
        <v>0</v>
      </c>
      <c r="AR93" s="0" t="n">
        <f aca="false">IF(T93=1,W93,AC93+AI93+AO93)</f>
        <v>0</v>
      </c>
      <c r="AS93" s="0" t="n">
        <f aca="false">S93-AP93-AQ93-AR93</f>
        <v>2545.80791677151</v>
      </c>
      <c r="AT93" s="0" t="n">
        <f aca="false">C93-AP93</f>
        <v>0</v>
      </c>
      <c r="AU93" s="0" t="n">
        <f aca="false">D93-AQ93</f>
        <v>0</v>
      </c>
      <c r="AV93" s="0" t="n">
        <f aca="false">E93-AR93</f>
        <v>0</v>
      </c>
      <c r="AW93" s="0" t="n">
        <f aca="false">Pool!CB93</f>
        <v>2522.71215016727</v>
      </c>
      <c r="AX93" s="0" t="n">
        <f aca="false">IF((AT93)&gt;Inputs!$B$19,AW93/(AT93),1000000000)</f>
        <v>1000000000</v>
      </c>
      <c r="AY93" s="0" t="n">
        <f aca="false">IF((J93)&gt;0.000000001,(R93-I93-MAX(-M93,0))/(J93),1000000000)</f>
        <v>1000000000</v>
      </c>
      <c r="AZ93" s="0" t="n">
        <f aca="false">IF(OR(AX93&lt;Inputs!$B$24,AY93&lt;Inputs!$B$25),1,0)</f>
        <v>0</v>
      </c>
      <c r="BA93" s="0" t="n">
        <f aca="false">IF((AT93+AU93)&gt;Inputs!$B$19,AW93/(AT93+AU93),1000000000)</f>
        <v>1000000000</v>
      </c>
      <c r="BB93" s="0" t="n">
        <f aca="false">IF((J93+K93)&gt;0.000000001,(R93-I93-MAX(-M93,0))/(J93+K93),1000000000)</f>
        <v>1000000000</v>
      </c>
      <c r="BC93" s="0" t="n">
        <f aca="false">IF(OR(BA93&lt;Inputs!$B$29,BB93&lt;Inputs!$B$30),1,0)</f>
        <v>0</v>
      </c>
      <c r="BD93" s="0" t="n">
        <f aca="false">IF((AT93+AU93+AV93)&gt;Inputs!$B$19,AW93/(AT93+AU93+AV93),1000000000)</f>
        <v>1000000000</v>
      </c>
      <c r="BE93" s="0" t="n">
        <f aca="false">IF((J93+K93+L93)&gt;0.000000001,(R93-I93-MAX(-M93,0))/(J93+K93+L93),1000000000)</f>
        <v>1000000000</v>
      </c>
      <c r="BF93" s="0" t="n">
        <f aca="false">IF(OR(BD93&lt;Inputs!$B$34,BE93&lt;Inputs!$B$35),1,0)</f>
        <v>0</v>
      </c>
      <c r="BG93" s="0" t="n">
        <f aca="false">MAX(AZ93,BC93,BF93)</f>
        <v>0</v>
      </c>
      <c r="BH93" s="0" t="n">
        <f aca="false">MIN(R93,N93)</f>
        <v>0</v>
      </c>
      <c r="BI93" s="0" t="n">
        <f aca="false">R93-BH93</f>
        <v>0</v>
      </c>
      <c r="BJ93" s="0" t="n">
        <f aca="false">MIN(BI93,O93)</f>
        <v>0</v>
      </c>
      <c r="BK93" s="0" t="n">
        <f aca="false">BI93-BJ93</f>
        <v>0</v>
      </c>
      <c r="BL93" s="0" t="n">
        <f aca="false">AZ93*MIN(AT93,BK93)</f>
        <v>0</v>
      </c>
      <c r="BM93" s="0" t="n">
        <f aca="false">AZ93*MIN(AU93,BK93-BL93)</f>
        <v>0</v>
      </c>
      <c r="BN93" s="0" t="n">
        <f aca="false">AZ93*MIN(AV93,BK93-BL93-BM93)</f>
        <v>0</v>
      </c>
      <c r="BO93" s="0" t="n">
        <f aca="false">BK93-BL93-BM93-BN93</f>
        <v>0</v>
      </c>
      <c r="BP93" s="0" t="n">
        <f aca="false">MIN(BO93,P93)</f>
        <v>0</v>
      </c>
      <c r="BQ93" s="0" t="n">
        <f aca="false">BO93-BP93</f>
        <v>0</v>
      </c>
      <c r="BR93" s="0" t="n">
        <f aca="false">BC93*MIN((AT93-BL93),BQ93)</f>
        <v>0</v>
      </c>
      <c r="BS93" s="0" t="n">
        <f aca="false">BC93*MIN((AU93-BM93),BQ93-BR93)</f>
        <v>0</v>
      </c>
      <c r="BT93" s="0" t="n">
        <f aca="false">BC93*MIN((AV93-BN93),BQ93-BR93-BS93)</f>
        <v>0</v>
      </c>
      <c r="BU93" s="0" t="n">
        <f aca="false">BQ93-BR93-BS93-BT93</f>
        <v>0</v>
      </c>
      <c r="BV93" s="0" t="n">
        <f aca="false">MIN(BU93,Q93)</f>
        <v>0</v>
      </c>
      <c r="BW93" s="0" t="n">
        <f aca="false">BU93-BV93</f>
        <v>0</v>
      </c>
      <c r="BX93" s="0" t="n">
        <f aca="false">BF93*MIN((AT93-BL93-BR93),BW93)</f>
        <v>0</v>
      </c>
      <c r="BY93" s="0" t="n">
        <f aca="false">BF93*MIN((AU93-BM93-BS93),BW93-BX93)</f>
        <v>0</v>
      </c>
      <c r="BZ93" s="0" t="n">
        <f aca="false">BF93*MIN((AV93-BN93-BT93),BW93-BX93-BY93)</f>
        <v>0</v>
      </c>
      <c r="CA93" s="0" t="n">
        <f aca="false">BW93-BX93-BY93-BZ93</f>
        <v>0</v>
      </c>
      <c r="CB93" s="0" t="n">
        <f aca="false">MAX(0,AT93+AU93+AV93-BL93-BM93-BN93-BR93-BS93-BT93-BX93-BY93-BZ93-AW93)</f>
        <v>0</v>
      </c>
      <c r="CC93" s="0" t="n">
        <f aca="false">1*MIN((AT93-BL93-BR93-BX93),MIN(CA93,CB93))</f>
        <v>0</v>
      </c>
      <c r="CD93" s="0" t="n">
        <f aca="false">1*MIN((AU93-BM93-BS93-BY93),MIN(CA93,CB93)-CC93)</f>
        <v>0</v>
      </c>
      <c r="CE93" s="0" t="n">
        <f aca="false">1*MIN((AV93-BN93-BT93-BZ93),MIN(CA93,CB93)-CC93-CD93)</f>
        <v>0</v>
      </c>
      <c r="CF93" s="0" t="n">
        <f aca="false">CA93-CC93-CD93-CE93</f>
        <v>0</v>
      </c>
      <c r="CG93" s="0" t="n">
        <f aca="false">IF(C93+D93+E93&gt;Inputs!$B$19,MIN(CF93,MAX(0,Inputs!$B$15-DO92)),0)</f>
        <v>0</v>
      </c>
      <c r="CH93" s="0" t="n">
        <f aca="false">CF93-CG93</f>
        <v>0</v>
      </c>
      <c r="CI93" s="0" t="n">
        <f aca="false">DO92+CG93</f>
        <v>0</v>
      </c>
      <c r="CJ93" s="0" t="n">
        <f aca="false">MIN(MAX(N93-BH93,0),CI93)</f>
        <v>0</v>
      </c>
      <c r="CK93" s="0" t="n">
        <f aca="false">MIN(MAX(O93-BJ93,0),CI93-CJ93)</f>
        <v>0</v>
      </c>
      <c r="CL93" s="0" t="n">
        <f aca="false">MIN(MAX(P93-BP93,0),CI93-CJ93-CK93)</f>
        <v>0</v>
      </c>
      <c r="CM93" s="0" t="n">
        <f aca="false">CJ93+CK93+CL93</f>
        <v>0</v>
      </c>
      <c r="CN93" s="0" t="n">
        <f aca="false">CI93-CM93</f>
        <v>0</v>
      </c>
      <c r="CO93" s="0" t="n">
        <f aca="false">BH93+CJ93</f>
        <v>0</v>
      </c>
      <c r="CP93" s="0" t="n">
        <f aca="false">BJ93+CK93</f>
        <v>0</v>
      </c>
      <c r="CQ93" s="0" t="n">
        <f aca="false">BP93+CL93</f>
        <v>0</v>
      </c>
      <c r="CR93" s="0" t="n">
        <f aca="false">BV93</f>
        <v>0</v>
      </c>
      <c r="CS93" s="0" t="n">
        <f aca="false">AT93-BL93-BR93-BX93-CC93</f>
        <v>0</v>
      </c>
      <c r="CT93" s="0" t="n">
        <f aca="false">AU93-BM93-BS93-BY93-CD93</f>
        <v>0</v>
      </c>
      <c r="CU93" s="0" t="n">
        <f aca="false">AV93-BN93-BT93-BZ93-CE93</f>
        <v>0</v>
      </c>
      <c r="CV93" s="0" t="n">
        <f aca="false">MAX(0,CS93+CT93+CU93-AW93)</f>
        <v>0</v>
      </c>
      <c r="CW93" s="0" t="n">
        <f aca="false">MIN(CU93,CV93)</f>
        <v>0</v>
      </c>
      <c r="CX93" s="0" t="n">
        <f aca="false">MIN(CT93,CV93-CW93)</f>
        <v>0</v>
      </c>
      <c r="CY93" s="0" t="n">
        <f aca="false">MIN(CS93,CV93-CW93-CX93)</f>
        <v>0</v>
      </c>
      <c r="CZ93" s="0" t="n">
        <f aca="false">IF(CS93-CY93&lt;Inputs!$B$19,0,CS93-CY93)</f>
        <v>0</v>
      </c>
      <c r="DA93" s="0" t="n">
        <f aca="false">IF(CT93-CX93&lt;Inputs!$B$19,0,CT93-CX93)</f>
        <v>0</v>
      </c>
      <c r="DB93" s="0" t="n">
        <f aca="false">IF(CU93-CW93&lt;Inputs!$B$19,0,CU93-CW93)</f>
        <v>0</v>
      </c>
      <c r="DC93" s="0" t="n">
        <f aca="false">N93-CO93</f>
        <v>0</v>
      </c>
      <c r="DD93" s="0" t="n">
        <f aca="false">O93-CP93</f>
        <v>0</v>
      </c>
      <c r="DE93" s="0" t="n">
        <f aca="false">P93-CQ93</f>
        <v>0</v>
      </c>
      <c r="DF93" s="0" t="n">
        <f aca="false">Q93-CR93</f>
        <v>0</v>
      </c>
      <c r="DG93" s="0" t="n">
        <f aca="false">IF(CZ93+DA93+DB93&lt;=Inputs!$B$19,1,0)</f>
        <v>1</v>
      </c>
      <c r="DH93" s="0" t="n">
        <f aca="false">DG93*CN93</f>
        <v>0</v>
      </c>
      <c r="DI93" s="0" t="n">
        <f aca="false">DG93*(AS93+DH93)</f>
        <v>2545.80791677151</v>
      </c>
      <c r="DJ93" s="0" t="n">
        <f aca="false">DG93*MIN(DC93,DI93)</f>
        <v>0</v>
      </c>
      <c r="DK93" s="0" t="n">
        <f aca="false">DG93*MIN(DD93,DI93-DJ93)</f>
        <v>0</v>
      </c>
      <c r="DL93" s="0" t="n">
        <f aca="false">DG93*MIN(DE93,DI93-DJ93-DK93)</f>
        <v>0</v>
      </c>
      <c r="DM93" s="0" t="n">
        <f aca="false">DG93*MIN(DF93,DI93-DJ93-DK93-DL93)</f>
        <v>0</v>
      </c>
      <c r="DN93" s="0" t="n">
        <f aca="false">DJ93+DK93+DL93+DM93</f>
        <v>0</v>
      </c>
      <c r="DO93" s="0" t="n">
        <f aca="false">CN93-DH93</f>
        <v>0</v>
      </c>
      <c r="DP93" s="0" t="n">
        <f aca="false">DC93-DJ93</f>
        <v>0</v>
      </c>
      <c r="DQ93" s="0" t="n">
        <f aca="false">DD93-DK93</f>
        <v>0</v>
      </c>
      <c r="DR93" s="0" t="n">
        <f aca="false">DE93-DL93</f>
        <v>0</v>
      </c>
      <c r="DS93" s="0" t="n">
        <f aca="false">DF93-DM93</f>
        <v>0</v>
      </c>
      <c r="DT93" s="0" t="n">
        <f aca="false">CO93+DJ93</f>
        <v>0</v>
      </c>
      <c r="DU93" s="0" t="n">
        <f aca="false">CP93+DK93</f>
        <v>0</v>
      </c>
      <c r="DV93" s="0" t="n">
        <f aca="false">AP93+BL93+BR93+BX93+CC93</f>
        <v>0</v>
      </c>
      <c r="DW93" s="0" t="n">
        <f aca="false">CQ93+DL93</f>
        <v>0</v>
      </c>
      <c r="DX93" s="0" t="n">
        <f aca="false">AQ93+BM93+BS93+BY93+CD93</f>
        <v>0</v>
      </c>
      <c r="DY93" s="0" t="n">
        <f aca="false">CR93+DM93</f>
        <v>0</v>
      </c>
      <c r="DZ93" s="0" t="n">
        <f aca="false">AR93+BN93+BT93+BZ93+CE93</f>
        <v>0</v>
      </c>
      <c r="EA93" s="0" t="n">
        <f aca="false">DI93-DN93</f>
        <v>2545.80791677151</v>
      </c>
      <c r="EB93" s="0" t="n">
        <f aca="false">CH93+EA93</f>
        <v>2545.80791677151</v>
      </c>
      <c r="EC93" s="0" t="n">
        <f aca="false">R93-I93-MAX(-M93,0)-J93-K93-L93</f>
        <v>0</v>
      </c>
      <c r="ED93" s="0" t="n">
        <f aca="false">R93+S93+CM93+DH93-CG93-DT93-DU93-DW93-DY93-DV93-DX93-DZ93-EB93</f>
        <v>0</v>
      </c>
      <c r="EE93" s="0" t="n">
        <f aca="false">IF(AND(EB93&gt;0.000001,DP93+DQ93+DR93+DS93&gt;0.000001),1,0)</f>
        <v>0</v>
      </c>
    </row>
    <row r="94" customFormat="false" ht="15" hidden="false" customHeight="false" outlineLevel="0" collapsed="false">
      <c r="A94" s="0" t="n">
        <f aca="false">ROW()-5</f>
        <v>89</v>
      </c>
      <c r="B94" s="0" t="n">
        <f aca="false">Inputs!$B$11+(Inputs!$B$12-Inputs!$B$11)*(1-EXP(-A94/Inputs!$B$13))+Inputs!$B$8</f>
        <v>0.0327574427081719</v>
      </c>
      <c r="C94" s="0" t="n">
        <f aca="false">CZ93</f>
        <v>0</v>
      </c>
      <c r="D94" s="0" t="n">
        <f aca="false">DA93</f>
        <v>0</v>
      </c>
      <c r="E94" s="0" t="n">
        <f aca="false">DB93</f>
        <v>0</v>
      </c>
      <c r="F94" s="0" t="n">
        <f aca="false">IF(Inputs!$B$22=1,B94+Inputs!$B$23,Inputs!$B$23)/12</f>
        <v>0.00364645355901432</v>
      </c>
      <c r="G94" s="0" t="n">
        <f aca="false">IF(Inputs!$B$27=1,B94+Inputs!$B$28,Inputs!$B$28)/12</f>
        <v>0.00460478689234766</v>
      </c>
      <c r="H94" s="0" t="n">
        <f aca="false">IF(Inputs!$B$32=1,B94+Inputs!$B$33,Inputs!$B$33)/12</f>
        <v>0.00625</v>
      </c>
      <c r="I94" s="0" t="n">
        <f aca="false">Pool!BT94*Inputs!$B$14/12</f>
        <v>0</v>
      </c>
      <c r="J94" s="0" t="n">
        <f aca="false">C94*F94</f>
        <v>0</v>
      </c>
      <c r="K94" s="0" t="n">
        <f aca="false">D94*G94</f>
        <v>0</v>
      </c>
      <c r="L94" s="0" t="n">
        <f aca="false">E94*H94</f>
        <v>0</v>
      </c>
      <c r="M94" s="0" t="n">
        <f aca="false">Inputs!$B$17*(C94*Inputs!$B$22+D94*Inputs!$B$27+E94*Inputs!$B$32)*(B94-Inputs!$B$18)/12</f>
        <v>-0</v>
      </c>
      <c r="N94" s="0" t="n">
        <f aca="false">DP93+I94+MAX(-M94,0)</f>
        <v>0</v>
      </c>
      <c r="O94" s="0" t="n">
        <f aca="false">DQ93+J94</f>
        <v>0</v>
      </c>
      <c r="P94" s="0" t="n">
        <f aca="false">DR93+K94</f>
        <v>0</v>
      </c>
      <c r="Q94" s="0" t="n">
        <f aca="false">DS93+L94</f>
        <v>0</v>
      </c>
      <c r="R94" s="0" t="n">
        <f aca="false">Pool!BV94+MAX(M94,0)</f>
        <v>0</v>
      </c>
      <c r="S94" s="0" t="n">
        <f aca="false">Pool!BW94+Pool!BX94+Pool!BZ94</f>
        <v>1685.63485073998</v>
      </c>
      <c r="T94" s="0" t="n">
        <f aca="false">MAX(T93,BG93)</f>
        <v>1</v>
      </c>
      <c r="U94" s="0" t="n">
        <f aca="false">MIN(C94,S94)</f>
        <v>0</v>
      </c>
      <c r="V94" s="0" t="n">
        <f aca="false">MIN(D94,S94-U94)</f>
        <v>0</v>
      </c>
      <c r="W94" s="0" t="n">
        <f aca="false">MIN(E94,S94-U94-V94)</f>
        <v>0</v>
      </c>
      <c r="X94" s="0" t="n">
        <f aca="false">IF(C94-(0)&gt;Inputs!$B$19,1,0)</f>
        <v>0</v>
      </c>
      <c r="Y94" s="0" t="n">
        <f aca="false">IF(D94-(0)&gt;Inputs!$B$19,1,0)</f>
        <v>0</v>
      </c>
      <c r="Z94" s="0" t="n">
        <f aca="false">IF(E94-(0)&gt;Inputs!$B$19,1,0)</f>
        <v>0</v>
      </c>
      <c r="AA94" s="0" t="n">
        <f aca="false">IF((X94*C94+Y94*D94+Z94*E94)&gt;0,MIN(C94-(0),S94*X94*C94/(X94*C94+Y94*D94+Z94*E94)),0)</f>
        <v>0</v>
      </c>
      <c r="AB94" s="0" t="n">
        <f aca="false">IF((X94*C94+Y94*D94+Z94*E94)&gt;0,MIN(D94-(0),S94*Y94*D94/(X94*C94+Y94*D94+Z94*E94)),0)</f>
        <v>0</v>
      </c>
      <c r="AC94" s="0" t="n">
        <f aca="false">IF((X94*C94+Y94*D94+Z94*E94)&gt;0,MIN(E94-(0),S94*Z94*E94/(X94*C94+Y94*D94+Z94*E94)),0)</f>
        <v>0</v>
      </c>
      <c r="AD94" s="0" t="n">
        <f aca="false">IF(C94-(AA94)&gt;Inputs!$B$19,1,0)</f>
        <v>0</v>
      </c>
      <c r="AE94" s="0" t="n">
        <f aca="false">IF(D94-(AB94)&gt;Inputs!$B$19,1,0)</f>
        <v>0</v>
      </c>
      <c r="AF94" s="0" t="n">
        <f aca="false">IF(E94-(AC94)&gt;Inputs!$B$19,1,0)</f>
        <v>0</v>
      </c>
      <c r="AG94" s="0" t="n">
        <f aca="false">IF((AD94*C94+AE94*D94+AF94*E94)&gt;0,MIN(C94-(AA94),(S94-(AA94+AB94+AC94))*AD94*C94/(AD94*C94+AE94*D94+AF94*E94)),0)</f>
        <v>0</v>
      </c>
      <c r="AH94" s="0" t="n">
        <f aca="false">IF((AD94*C94+AE94*D94+AF94*E94)&gt;0,MIN(D94-(AB94),(S94-(AA94+AB94+AC94))*AE94*D94/(AD94*C94+AE94*D94+AF94*E94)),0)</f>
        <v>0</v>
      </c>
      <c r="AI94" s="0" t="n">
        <f aca="false">IF((AD94*C94+AE94*D94+AF94*E94)&gt;0,MIN(E94-(AC94),(S94-(AA94+AB94+AC94))*AF94*E94/(AD94*C94+AE94*D94+AF94*E94)),0)</f>
        <v>0</v>
      </c>
      <c r="AJ94" s="0" t="n">
        <f aca="false">IF(C94-(AA94+AG94)&gt;Inputs!$B$19,1,0)</f>
        <v>0</v>
      </c>
      <c r="AK94" s="0" t="n">
        <f aca="false">IF(D94-(AB94+AH94)&gt;Inputs!$B$19,1,0)</f>
        <v>0</v>
      </c>
      <c r="AL94" s="0" t="n">
        <f aca="false">IF(E94-(AC94+AI94)&gt;Inputs!$B$19,1,0)</f>
        <v>0</v>
      </c>
      <c r="AM94" s="0" t="n">
        <f aca="false">IF((AJ94*C94+AK94*D94+AL94*E94)&gt;0,MIN(C94-(AA94+AG94),(S94-(AA94+AB94+AC94+AG94+AH94+AI94))*AJ94*C94/(AJ94*C94+AK94*D94+AL94*E94)),0)</f>
        <v>0</v>
      </c>
      <c r="AN94" s="0" t="n">
        <f aca="false">IF((AJ94*C94+AK94*D94+AL94*E94)&gt;0,MIN(D94-(AB94+AH94),(S94-(AA94+AB94+AC94+AG94+AH94+AI94))*AK94*D94/(AJ94*C94+AK94*D94+AL94*E94)),0)</f>
        <v>0</v>
      </c>
      <c r="AO94" s="0" t="n">
        <f aca="false">IF((AJ94*C94+AK94*D94+AL94*E94)&gt;0,MIN(E94-(AC94+AI94),(S94-(AA94+AB94+AC94+AG94+AH94+AI94))*AL94*E94/(AJ94*C94+AK94*D94+AL94*E94)),0)</f>
        <v>0</v>
      </c>
      <c r="AP94" s="0" t="n">
        <f aca="false">IF(T94=1,U94,AA94+AG94+AM94)</f>
        <v>0</v>
      </c>
      <c r="AQ94" s="0" t="n">
        <f aca="false">IF(T94=1,V94,AB94+AH94+AN94)</f>
        <v>0</v>
      </c>
      <c r="AR94" s="0" t="n">
        <f aca="false">IF(T94=1,W94,AC94+AI94+AO94)</f>
        <v>0</v>
      </c>
      <c r="AS94" s="0" t="n">
        <f aca="false">S94-AP94-AQ94-AR94</f>
        <v>1685.63485073998</v>
      </c>
      <c r="AT94" s="0" t="n">
        <f aca="false">C94-AP94</f>
        <v>0</v>
      </c>
      <c r="AU94" s="0" t="n">
        <f aca="false">D94-AQ94</f>
        <v>0</v>
      </c>
      <c r="AV94" s="0" t="n">
        <f aca="false">E94-AR94</f>
        <v>0</v>
      </c>
      <c r="AW94" s="0" t="n">
        <f aca="false">Pool!CB94</f>
        <v>837.077299427291</v>
      </c>
      <c r="AX94" s="0" t="n">
        <f aca="false">IF((AT94)&gt;Inputs!$B$19,AW94/(AT94),1000000000)</f>
        <v>1000000000</v>
      </c>
      <c r="AY94" s="0" t="n">
        <f aca="false">IF((J94)&gt;0.000000001,(R94-I94-MAX(-M94,0))/(J94),1000000000)</f>
        <v>1000000000</v>
      </c>
      <c r="AZ94" s="0" t="n">
        <f aca="false">IF(OR(AX94&lt;Inputs!$B$24,AY94&lt;Inputs!$B$25),1,0)</f>
        <v>0</v>
      </c>
      <c r="BA94" s="0" t="n">
        <f aca="false">IF((AT94+AU94)&gt;Inputs!$B$19,AW94/(AT94+AU94),1000000000)</f>
        <v>1000000000</v>
      </c>
      <c r="BB94" s="0" t="n">
        <f aca="false">IF((J94+K94)&gt;0.000000001,(R94-I94-MAX(-M94,0))/(J94+K94),1000000000)</f>
        <v>1000000000</v>
      </c>
      <c r="BC94" s="0" t="n">
        <f aca="false">IF(OR(BA94&lt;Inputs!$B$29,BB94&lt;Inputs!$B$30),1,0)</f>
        <v>0</v>
      </c>
      <c r="BD94" s="0" t="n">
        <f aca="false">IF((AT94+AU94+AV94)&gt;Inputs!$B$19,AW94/(AT94+AU94+AV94),1000000000)</f>
        <v>1000000000</v>
      </c>
      <c r="BE94" s="0" t="n">
        <f aca="false">IF((J94+K94+L94)&gt;0.000000001,(R94-I94-MAX(-M94,0))/(J94+K94+L94),1000000000)</f>
        <v>1000000000</v>
      </c>
      <c r="BF94" s="0" t="n">
        <f aca="false">IF(OR(BD94&lt;Inputs!$B$34,BE94&lt;Inputs!$B$35),1,0)</f>
        <v>0</v>
      </c>
      <c r="BG94" s="0" t="n">
        <f aca="false">MAX(AZ94,BC94,BF94)</f>
        <v>0</v>
      </c>
      <c r="BH94" s="0" t="n">
        <f aca="false">MIN(R94,N94)</f>
        <v>0</v>
      </c>
      <c r="BI94" s="0" t="n">
        <f aca="false">R94-BH94</f>
        <v>0</v>
      </c>
      <c r="BJ94" s="0" t="n">
        <f aca="false">MIN(BI94,O94)</f>
        <v>0</v>
      </c>
      <c r="BK94" s="0" t="n">
        <f aca="false">BI94-BJ94</f>
        <v>0</v>
      </c>
      <c r="BL94" s="0" t="n">
        <f aca="false">AZ94*MIN(AT94,BK94)</f>
        <v>0</v>
      </c>
      <c r="BM94" s="0" t="n">
        <f aca="false">AZ94*MIN(AU94,BK94-BL94)</f>
        <v>0</v>
      </c>
      <c r="BN94" s="0" t="n">
        <f aca="false">AZ94*MIN(AV94,BK94-BL94-BM94)</f>
        <v>0</v>
      </c>
      <c r="BO94" s="0" t="n">
        <f aca="false">BK94-BL94-BM94-BN94</f>
        <v>0</v>
      </c>
      <c r="BP94" s="0" t="n">
        <f aca="false">MIN(BO94,P94)</f>
        <v>0</v>
      </c>
      <c r="BQ94" s="0" t="n">
        <f aca="false">BO94-BP94</f>
        <v>0</v>
      </c>
      <c r="BR94" s="0" t="n">
        <f aca="false">BC94*MIN((AT94-BL94),BQ94)</f>
        <v>0</v>
      </c>
      <c r="BS94" s="0" t="n">
        <f aca="false">BC94*MIN((AU94-BM94),BQ94-BR94)</f>
        <v>0</v>
      </c>
      <c r="BT94" s="0" t="n">
        <f aca="false">BC94*MIN((AV94-BN94),BQ94-BR94-BS94)</f>
        <v>0</v>
      </c>
      <c r="BU94" s="0" t="n">
        <f aca="false">BQ94-BR94-BS94-BT94</f>
        <v>0</v>
      </c>
      <c r="BV94" s="0" t="n">
        <f aca="false">MIN(BU94,Q94)</f>
        <v>0</v>
      </c>
      <c r="BW94" s="0" t="n">
        <f aca="false">BU94-BV94</f>
        <v>0</v>
      </c>
      <c r="BX94" s="0" t="n">
        <f aca="false">BF94*MIN((AT94-BL94-BR94),BW94)</f>
        <v>0</v>
      </c>
      <c r="BY94" s="0" t="n">
        <f aca="false">BF94*MIN((AU94-BM94-BS94),BW94-BX94)</f>
        <v>0</v>
      </c>
      <c r="BZ94" s="0" t="n">
        <f aca="false">BF94*MIN((AV94-BN94-BT94),BW94-BX94-BY94)</f>
        <v>0</v>
      </c>
      <c r="CA94" s="0" t="n">
        <f aca="false">BW94-BX94-BY94-BZ94</f>
        <v>0</v>
      </c>
      <c r="CB94" s="0" t="n">
        <f aca="false">MAX(0,AT94+AU94+AV94-BL94-BM94-BN94-BR94-BS94-BT94-BX94-BY94-BZ94-AW94)</f>
        <v>0</v>
      </c>
      <c r="CC94" s="0" t="n">
        <f aca="false">1*MIN((AT94-BL94-BR94-BX94),MIN(CA94,CB94))</f>
        <v>0</v>
      </c>
      <c r="CD94" s="0" t="n">
        <f aca="false">1*MIN((AU94-BM94-BS94-BY94),MIN(CA94,CB94)-CC94)</f>
        <v>0</v>
      </c>
      <c r="CE94" s="0" t="n">
        <f aca="false">1*MIN((AV94-BN94-BT94-BZ94),MIN(CA94,CB94)-CC94-CD94)</f>
        <v>0</v>
      </c>
      <c r="CF94" s="0" t="n">
        <f aca="false">CA94-CC94-CD94-CE94</f>
        <v>0</v>
      </c>
      <c r="CG94" s="0" t="n">
        <f aca="false">IF(C94+D94+E94&gt;Inputs!$B$19,MIN(CF94,MAX(0,Inputs!$B$15-DO93)),0)</f>
        <v>0</v>
      </c>
      <c r="CH94" s="0" t="n">
        <f aca="false">CF94-CG94</f>
        <v>0</v>
      </c>
      <c r="CI94" s="0" t="n">
        <f aca="false">DO93+CG94</f>
        <v>0</v>
      </c>
      <c r="CJ94" s="0" t="n">
        <f aca="false">MIN(MAX(N94-BH94,0),CI94)</f>
        <v>0</v>
      </c>
      <c r="CK94" s="0" t="n">
        <f aca="false">MIN(MAX(O94-BJ94,0),CI94-CJ94)</f>
        <v>0</v>
      </c>
      <c r="CL94" s="0" t="n">
        <f aca="false">MIN(MAX(P94-BP94,0),CI94-CJ94-CK94)</f>
        <v>0</v>
      </c>
      <c r="CM94" s="0" t="n">
        <f aca="false">CJ94+CK94+CL94</f>
        <v>0</v>
      </c>
      <c r="CN94" s="0" t="n">
        <f aca="false">CI94-CM94</f>
        <v>0</v>
      </c>
      <c r="CO94" s="0" t="n">
        <f aca="false">BH94+CJ94</f>
        <v>0</v>
      </c>
      <c r="CP94" s="0" t="n">
        <f aca="false">BJ94+CK94</f>
        <v>0</v>
      </c>
      <c r="CQ94" s="0" t="n">
        <f aca="false">BP94+CL94</f>
        <v>0</v>
      </c>
      <c r="CR94" s="0" t="n">
        <f aca="false">BV94</f>
        <v>0</v>
      </c>
      <c r="CS94" s="0" t="n">
        <f aca="false">AT94-BL94-BR94-BX94-CC94</f>
        <v>0</v>
      </c>
      <c r="CT94" s="0" t="n">
        <f aca="false">AU94-BM94-BS94-BY94-CD94</f>
        <v>0</v>
      </c>
      <c r="CU94" s="0" t="n">
        <f aca="false">AV94-BN94-BT94-BZ94-CE94</f>
        <v>0</v>
      </c>
      <c r="CV94" s="0" t="n">
        <f aca="false">MAX(0,CS94+CT94+CU94-AW94)</f>
        <v>0</v>
      </c>
      <c r="CW94" s="0" t="n">
        <f aca="false">MIN(CU94,CV94)</f>
        <v>0</v>
      </c>
      <c r="CX94" s="0" t="n">
        <f aca="false">MIN(CT94,CV94-CW94)</f>
        <v>0</v>
      </c>
      <c r="CY94" s="0" t="n">
        <f aca="false">MIN(CS94,CV94-CW94-CX94)</f>
        <v>0</v>
      </c>
      <c r="CZ94" s="0" t="n">
        <f aca="false">IF(CS94-CY94&lt;Inputs!$B$19,0,CS94-CY94)</f>
        <v>0</v>
      </c>
      <c r="DA94" s="0" t="n">
        <f aca="false">IF(CT94-CX94&lt;Inputs!$B$19,0,CT94-CX94)</f>
        <v>0</v>
      </c>
      <c r="DB94" s="0" t="n">
        <f aca="false">IF(CU94-CW94&lt;Inputs!$B$19,0,CU94-CW94)</f>
        <v>0</v>
      </c>
      <c r="DC94" s="0" t="n">
        <f aca="false">N94-CO94</f>
        <v>0</v>
      </c>
      <c r="DD94" s="0" t="n">
        <f aca="false">O94-CP94</f>
        <v>0</v>
      </c>
      <c r="DE94" s="0" t="n">
        <f aca="false">P94-CQ94</f>
        <v>0</v>
      </c>
      <c r="DF94" s="0" t="n">
        <f aca="false">Q94-CR94</f>
        <v>0</v>
      </c>
      <c r="DG94" s="0" t="n">
        <f aca="false">IF(CZ94+DA94+DB94&lt;=Inputs!$B$19,1,0)</f>
        <v>1</v>
      </c>
      <c r="DH94" s="0" t="n">
        <f aca="false">DG94*CN94</f>
        <v>0</v>
      </c>
      <c r="DI94" s="0" t="n">
        <f aca="false">DG94*(AS94+DH94)</f>
        <v>1685.63485073998</v>
      </c>
      <c r="DJ94" s="0" t="n">
        <f aca="false">DG94*MIN(DC94,DI94)</f>
        <v>0</v>
      </c>
      <c r="DK94" s="0" t="n">
        <f aca="false">DG94*MIN(DD94,DI94-DJ94)</f>
        <v>0</v>
      </c>
      <c r="DL94" s="0" t="n">
        <f aca="false">DG94*MIN(DE94,DI94-DJ94-DK94)</f>
        <v>0</v>
      </c>
      <c r="DM94" s="0" t="n">
        <f aca="false">DG94*MIN(DF94,DI94-DJ94-DK94-DL94)</f>
        <v>0</v>
      </c>
      <c r="DN94" s="0" t="n">
        <f aca="false">DJ94+DK94+DL94+DM94</f>
        <v>0</v>
      </c>
      <c r="DO94" s="0" t="n">
        <f aca="false">CN94-DH94</f>
        <v>0</v>
      </c>
      <c r="DP94" s="0" t="n">
        <f aca="false">DC94-DJ94</f>
        <v>0</v>
      </c>
      <c r="DQ94" s="0" t="n">
        <f aca="false">DD94-DK94</f>
        <v>0</v>
      </c>
      <c r="DR94" s="0" t="n">
        <f aca="false">DE94-DL94</f>
        <v>0</v>
      </c>
      <c r="DS94" s="0" t="n">
        <f aca="false">DF94-DM94</f>
        <v>0</v>
      </c>
      <c r="DT94" s="0" t="n">
        <f aca="false">CO94+DJ94</f>
        <v>0</v>
      </c>
      <c r="DU94" s="0" t="n">
        <f aca="false">CP94+DK94</f>
        <v>0</v>
      </c>
      <c r="DV94" s="0" t="n">
        <f aca="false">AP94+BL94+BR94+BX94+CC94</f>
        <v>0</v>
      </c>
      <c r="DW94" s="0" t="n">
        <f aca="false">CQ94+DL94</f>
        <v>0</v>
      </c>
      <c r="DX94" s="0" t="n">
        <f aca="false">AQ94+BM94+BS94+BY94+CD94</f>
        <v>0</v>
      </c>
      <c r="DY94" s="0" t="n">
        <f aca="false">CR94+DM94</f>
        <v>0</v>
      </c>
      <c r="DZ94" s="0" t="n">
        <f aca="false">AR94+BN94+BT94+BZ94+CE94</f>
        <v>0</v>
      </c>
      <c r="EA94" s="0" t="n">
        <f aca="false">DI94-DN94</f>
        <v>1685.63485073998</v>
      </c>
      <c r="EB94" s="0" t="n">
        <f aca="false">CH94+EA94</f>
        <v>1685.63485073998</v>
      </c>
      <c r="EC94" s="0" t="n">
        <f aca="false">R94-I94-MAX(-M94,0)-J94-K94-L94</f>
        <v>0</v>
      </c>
      <c r="ED94" s="0" t="n">
        <f aca="false">R94+S94+CM94+DH94-CG94-DT94-DU94-DW94-DY94-DV94-DX94-DZ94-EB94</f>
        <v>0</v>
      </c>
      <c r="EE94" s="0" t="n">
        <f aca="false">IF(AND(EB94&gt;0.000001,DP94+DQ94+DR94+DS94&gt;0.000001),1,0)</f>
        <v>0</v>
      </c>
    </row>
    <row r="95" customFormat="false" ht="15" hidden="false" customHeight="false" outlineLevel="0" collapsed="false">
      <c r="A95" s="0" t="n">
        <f aca="false">ROW()-5</f>
        <v>90</v>
      </c>
      <c r="B95" s="0" t="n">
        <f aca="false">Inputs!$B$11+(Inputs!$B$12-Inputs!$B$11)*(1-EXP(-A95/Inputs!$B$13))+Inputs!$B$8</f>
        <v>0.0327469363314881</v>
      </c>
      <c r="C95" s="0" t="n">
        <f aca="false">CZ94</f>
        <v>0</v>
      </c>
      <c r="D95" s="0" t="n">
        <f aca="false">DA94</f>
        <v>0</v>
      </c>
      <c r="E95" s="0" t="n">
        <f aca="false">DB94</f>
        <v>0</v>
      </c>
      <c r="F95" s="0" t="n">
        <f aca="false">IF(Inputs!$B$22=1,B95+Inputs!$B$23,Inputs!$B$23)/12</f>
        <v>0.00364557802762401</v>
      </c>
      <c r="G95" s="0" t="n">
        <f aca="false">IF(Inputs!$B$27=1,B95+Inputs!$B$28,Inputs!$B$28)/12</f>
        <v>0.00460391136095734</v>
      </c>
      <c r="H95" s="0" t="n">
        <f aca="false">IF(Inputs!$B$32=1,B95+Inputs!$B$33,Inputs!$B$33)/12</f>
        <v>0.00625</v>
      </c>
      <c r="I95" s="0" t="n">
        <f aca="false">Pool!BT95*Inputs!$B$14/12</f>
        <v>0</v>
      </c>
      <c r="J95" s="0" t="n">
        <f aca="false">C95*F95</f>
        <v>0</v>
      </c>
      <c r="K95" s="0" t="n">
        <f aca="false">D95*G95</f>
        <v>0</v>
      </c>
      <c r="L95" s="0" t="n">
        <f aca="false">E95*H95</f>
        <v>0</v>
      </c>
      <c r="M95" s="0" t="n">
        <f aca="false">Inputs!$B$17*(C95*Inputs!$B$22+D95*Inputs!$B$27+E95*Inputs!$B$32)*(B95-Inputs!$B$18)/12</f>
        <v>-0</v>
      </c>
      <c r="N95" s="0" t="n">
        <f aca="false">DP94+I95+MAX(-M95,0)</f>
        <v>0</v>
      </c>
      <c r="O95" s="0" t="n">
        <f aca="false">DQ94+J95</f>
        <v>0</v>
      </c>
      <c r="P95" s="0" t="n">
        <f aca="false">DR94+K95</f>
        <v>0</v>
      </c>
      <c r="Q95" s="0" t="n">
        <f aca="false">DS94+L95</f>
        <v>0</v>
      </c>
      <c r="R95" s="0" t="n">
        <f aca="false">Pool!BV95+MAX(M95,0)</f>
        <v>0</v>
      </c>
      <c r="S95" s="0" t="n">
        <f aca="false">Pool!BW95+Pool!BX95+Pool!BZ95</f>
        <v>837.077299427398</v>
      </c>
      <c r="T95" s="0" t="n">
        <f aca="false">MAX(T94,BG94)</f>
        <v>1</v>
      </c>
      <c r="U95" s="0" t="n">
        <f aca="false">MIN(C95,S95)</f>
        <v>0</v>
      </c>
      <c r="V95" s="0" t="n">
        <f aca="false">MIN(D95,S95-U95)</f>
        <v>0</v>
      </c>
      <c r="W95" s="0" t="n">
        <f aca="false">MIN(E95,S95-U95-V95)</f>
        <v>0</v>
      </c>
      <c r="X95" s="0" t="n">
        <f aca="false">IF(C95-(0)&gt;Inputs!$B$19,1,0)</f>
        <v>0</v>
      </c>
      <c r="Y95" s="0" t="n">
        <f aca="false">IF(D95-(0)&gt;Inputs!$B$19,1,0)</f>
        <v>0</v>
      </c>
      <c r="Z95" s="0" t="n">
        <f aca="false">IF(E95-(0)&gt;Inputs!$B$19,1,0)</f>
        <v>0</v>
      </c>
      <c r="AA95" s="0" t="n">
        <f aca="false">IF((X95*C95+Y95*D95+Z95*E95)&gt;0,MIN(C95-(0),S95*X95*C95/(X95*C95+Y95*D95+Z95*E95)),0)</f>
        <v>0</v>
      </c>
      <c r="AB95" s="0" t="n">
        <f aca="false">IF((X95*C95+Y95*D95+Z95*E95)&gt;0,MIN(D95-(0),S95*Y95*D95/(X95*C95+Y95*D95+Z95*E95)),0)</f>
        <v>0</v>
      </c>
      <c r="AC95" s="0" t="n">
        <f aca="false">IF((X95*C95+Y95*D95+Z95*E95)&gt;0,MIN(E95-(0),S95*Z95*E95/(X95*C95+Y95*D95+Z95*E95)),0)</f>
        <v>0</v>
      </c>
      <c r="AD95" s="0" t="n">
        <f aca="false">IF(C95-(AA95)&gt;Inputs!$B$19,1,0)</f>
        <v>0</v>
      </c>
      <c r="AE95" s="0" t="n">
        <f aca="false">IF(D95-(AB95)&gt;Inputs!$B$19,1,0)</f>
        <v>0</v>
      </c>
      <c r="AF95" s="0" t="n">
        <f aca="false">IF(E95-(AC95)&gt;Inputs!$B$19,1,0)</f>
        <v>0</v>
      </c>
      <c r="AG95" s="0" t="n">
        <f aca="false">IF((AD95*C95+AE95*D95+AF95*E95)&gt;0,MIN(C95-(AA95),(S95-(AA95+AB95+AC95))*AD95*C95/(AD95*C95+AE95*D95+AF95*E95)),0)</f>
        <v>0</v>
      </c>
      <c r="AH95" s="0" t="n">
        <f aca="false">IF((AD95*C95+AE95*D95+AF95*E95)&gt;0,MIN(D95-(AB95),(S95-(AA95+AB95+AC95))*AE95*D95/(AD95*C95+AE95*D95+AF95*E95)),0)</f>
        <v>0</v>
      </c>
      <c r="AI95" s="0" t="n">
        <f aca="false">IF((AD95*C95+AE95*D95+AF95*E95)&gt;0,MIN(E95-(AC95),(S95-(AA95+AB95+AC95))*AF95*E95/(AD95*C95+AE95*D95+AF95*E95)),0)</f>
        <v>0</v>
      </c>
      <c r="AJ95" s="0" t="n">
        <f aca="false">IF(C95-(AA95+AG95)&gt;Inputs!$B$19,1,0)</f>
        <v>0</v>
      </c>
      <c r="AK95" s="0" t="n">
        <f aca="false">IF(D95-(AB95+AH95)&gt;Inputs!$B$19,1,0)</f>
        <v>0</v>
      </c>
      <c r="AL95" s="0" t="n">
        <f aca="false">IF(E95-(AC95+AI95)&gt;Inputs!$B$19,1,0)</f>
        <v>0</v>
      </c>
      <c r="AM95" s="0" t="n">
        <f aca="false">IF((AJ95*C95+AK95*D95+AL95*E95)&gt;0,MIN(C95-(AA95+AG95),(S95-(AA95+AB95+AC95+AG95+AH95+AI95))*AJ95*C95/(AJ95*C95+AK95*D95+AL95*E95)),0)</f>
        <v>0</v>
      </c>
      <c r="AN95" s="0" t="n">
        <f aca="false">IF((AJ95*C95+AK95*D95+AL95*E95)&gt;0,MIN(D95-(AB95+AH95),(S95-(AA95+AB95+AC95+AG95+AH95+AI95))*AK95*D95/(AJ95*C95+AK95*D95+AL95*E95)),0)</f>
        <v>0</v>
      </c>
      <c r="AO95" s="0" t="n">
        <f aca="false">IF((AJ95*C95+AK95*D95+AL95*E95)&gt;0,MIN(E95-(AC95+AI95),(S95-(AA95+AB95+AC95+AG95+AH95+AI95))*AL95*E95/(AJ95*C95+AK95*D95+AL95*E95)),0)</f>
        <v>0</v>
      </c>
      <c r="AP95" s="0" t="n">
        <f aca="false">IF(T95=1,U95,AA95+AG95+AM95)</f>
        <v>0</v>
      </c>
      <c r="AQ95" s="0" t="n">
        <f aca="false">IF(T95=1,V95,AB95+AH95+AN95)</f>
        <v>0</v>
      </c>
      <c r="AR95" s="0" t="n">
        <f aca="false">IF(T95=1,W95,AC95+AI95+AO95)</f>
        <v>0</v>
      </c>
      <c r="AS95" s="0" t="n">
        <f aca="false">S95-AP95-AQ95-AR95</f>
        <v>837.077299427398</v>
      </c>
      <c r="AT95" s="0" t="n">
        <f aca="false">C95-AP95</f>
        <v>0</v>
      </c>
      <c r="AU95" s="0" t="n">
        <f aca="false">D95-AQ95</f>
        <v>0</v>
      </c>
      <c r="AV95" s="0" t="n">
        <f aca="false">E95-AR95</f>
        <v>0</v>
      </c>
      <c r="AW95" s="0" t="n">
        <f aca="false">Pool!CB95</f>
        <v>-1.06979314296041E-010</v>
      </c>
      <c r="AX95" s="0" t="n">
        <f aca="false">IF((AT95)&gt;Inputs!$B$19,AW95/(AT95),1000000000)</f>
        <v>1000000000</v>
      </c>
      <c r="AY95" s="0" t="n">
        <f aca="false">IF((J95)&gt;0.000000001,(R95-I95-MAX(-M95,0))/(J95),1000000000)</f>
        <v>1000000000</v>
      </c>
      <c r="AZ95" s="0" t="n">
        <f aca="false">IF(OR(AX95&lt;Inputs!$B$24,AY95&lt;Inputs!$B$25),1,0)</f>
        <v>0</v>
      </c>
      <c r="BA95" s="0" t="n">
        <f aca="false">IF((AT95+AU95)&gt;Inputs!$B$19,AW95/(AT95+AU95),1000000000)</f>
        <v>1000000000</v>
      </c>
      <c r="BB95" s="0" t="n">
        <f aca="false">IF((J95+K95)&gt;0.000000001,(R95-I95-MAX(-M95,0))/(J95+K95),1000000000)</f>
        <v>1000000000</v>
      </c>
      <c r="BC95" s="0" t="n">
        <f aca="false">IF(OR(BA95&lt;Inputs!$B$29,BB95&lt;Inputs!$B$30),1,0)</f>
        <v>0</v>
      </c>
      <c r="BD95" s="0" t="n">
        <f aca="false">IF((AT95+AU95+AV95)&gt;Inputs!$B$19,AW95/(AT95+AU95+AV95),1000000000)</f>
        <v>1000000000</v>
      </c>
      <c r="BE95" s="0" t="n">
        <f aca="false">IF((J95+K95+L95)&gt;0.000000001,(R95-I95-MAX(-M95,0))/(J95+K95+L95),1000000000)</f>
        <v>1000000000</v>
      </c>
      <c r="BF95" s="0" t="n">
        <f aca="false">IF(OR(BD95&lt;Inputs!$B$34,BE95&lt;Inputs!$B$35),1,0)</f>
        <v>0</v>
      </c>
      <c r="BG95" s="0" t="n">
        <f aca="false">MAX(AZ95,BC95,BF95)</f>
        <v>0</v>
      </c>
      <c r="BH95" s="0" t="n">
        <f aca="false">MIN(R95,N95)</f>
        <v>0</v>
      </c>
      <c r="BI95" s="0" t="n">
        <f aca="false">R95-BH95</f>
        <v>0</v>
      </c>
      <c r="BJ95" s="0" t="n">
        <f aca="false">MIN(BI95,O95)</f>
        <v>0</v>
      </c>
      <c r="BK95" s="0" t="n">
        <f aca="false">BI95-BJ95</f>
        <v>0</v>
      </c>
      <c r="BL95" s="0" t="n">
        <f aca="false">AZ95*MIN(AT95,BK95)</f>
        <v>0</v>
      </c>
      <c r="BM95" s="0" t="n">
        <f aca="false">AZ95*MIN(AU95,BK95-BL95)</f>
        <v>0</v>
      </c>
      <c r="BN95" s="0" t="n">
        <f aca="false">AZ95*MIN(AV95,BK95-BL95-BM95)</f>
        <v>0</v>
      </c>
      <c r="BO95" s="0" t="n">
        <f aca="false">BK95-BL95-BM95-BN95</f>
        <v>0</v>
      </c>
      <c r="BP95" s="0" t="n">
        <f aca="false">MIN(BO95,P95)</f>
        <v>0</v>
      </c>
      <c r="BQ95" s="0" t="n">
        <f aca="false">BO95-BP95</f>
        <v>0</v>
      </c>
      <c r="BR95" s="0" t="n">
        <f aca="false">BC95*MIN((AT95-BL95),BQ95)</f>
        <v>0</v>
      </c>
      <c r="BS95" s="0" t="n">
        <f aca="false">BC95*MIN((AU95-BM95),BQ95-BR95)</f>
        <v>0</v>
      </c>
      <c r="BT95" s="0" t="n">
        <f aca="false">BC95*MIN((AV95-BN95),BQ95-BR95-BS95)</f>
        <v>0</v>
      </c>
      <c r="BU95" s="0" t="n">
        <f aca="false">BQ95-BR95-BS95-BT95</f>
        <v>0</v>
      </c>
      <c r="BV95" s="0" t="n">
        <f aca="false">MIN(BU95,Q95)</f>
        <v>0</v>
      </c>
      <c r="BW95" s="0" t="n">
        <f aca="false">BU95-BV95</f>
        <v>0</v>
      </c>
      <c r="BX95" s="0" t="n">
        <f aca="false">BF95*MIN((AT95-BL95-BR95),BW95)</f>
        <v>0</v>
      </c>
      <c r="BY95" s="0" t="n">
        <f aca="false">BF95*MIN((AU95-BM95-BS95),BW95-BX95)</f>
        <v>0</v>
      </c>
      <c r="BZ95" s="0" t="n">
        <f aca="false">BF95*MIN((AV95-BN95-BT95),BW95-BX95-BY95)</f>
        <v>0</v>
      </c>
      <c r="CA95" s="0" t="n">
        <f aca="false">BW95-BX95-BY95-BZ95</f>
        <v>0</v>
      </c>
      <c r="CB95" s="0" t="n">
        <f aca="false">MAX(0,AT95+AU95+AV95-BL95-BM95-BN95-BR95-BS95-BT95-BX95-BY95-BZ95-AW95)</f>
        <v>1.06979314296041E-010</v>
      </c>
      <c r="CC95" s="0" t="n">
        <f aca="false">1*MIN((AT95-BL95-BR95-BX95),MIN(CA95,CB95))</f>
        <v>0</v>
      </c>
      <c r="CD95" s="0" t="n">
        <f aca="false">1*MIN((AU95-BM95-BS95-BY95),MIN(CA95,CB95)-CC95)</f>
        <v>0</v>
      </c>
      <c r="CE95" s="0" t="n">
        <f aca="false">1*MIN((AV95-BN95-BT95-BZ95),MIN(CA95,CB95)-CC95-CD95)</f>
        <v>0</v>
      </c>
      <c r="CF95" s="0" t="n">
        <f aca="false">CA95-CC95-CD95-CE95</f>
        <v>0</v>
      </c>
      <c r="CG95" s="0" t="n">
        <f aca="false">IF(C95+D95+E95&gt;Inputs!$B$19,MIN(CF95,MAX(0,Inputs!$B$15-DO94)),0)</f>
        <v>0</v>
      </c>
      <c r="CH95" s="0" t="n">
        <f aca="false">CF95-CG95</f>
        <v>0</v>
      </c>
      <c r="CI95" s="0" t="n">
        <f aca="false">DO94+CG95</f>
        <v>0</v>
      </c>
      <c r="CJ95" s="0" t="n">
        <f aca="false">MIN(MAX(N95-BH95,0),CI95)</f>
        <v>0</v>
      </c>
      <c r="CK95" s="0" t="n">
        <f aca="false">MIN(MAX(O95-BJ95,0),CI95-CJ95)</f>
        <v>0</v>
      </c>
      <c r="CL95" s="0" t="n">
        <f aca="false">MIN(MAX(P95-BP95,0),CI95-CJ95-CK95)</f>
        <v>0</v>
      </c>
      <c r="CM95" s="0" t="n">
        <f aca="false">CJ95+CK95+CL95</f>
        <v>0</v>
      </c>
      <c r="CN95" s="0" t="n">
        <f aca="false">CI95-CM95</f>
        <v>0</v>
      </c>
      <c r="CO95" s="0" t="n">
        <f aca="false">BH95+CJ95</f>
        <v>0</v>
      </c>
      <c r="CP95" s="0" t="n">
        <f aca="false">BJ95+CK95</f>
        <v>0</v>
      </c>
      <c r="CQ95" s="0" t="n">
        <f aca="false">BP95+CL95</f>
        <v>0</v>
      </c>
      <c r="CR95" s="0" t="n">
        <f aca="false">BV95</f>
        <v>0</v>
      </c>
      <c r="CS95" s="0" t="n">
        <f aca="false">AT95-BL95-BR95-BX95-CC95</f>
        <v>0</v>
      </c>
      <c r="CT95" s="0" t="n">
        <f aca="false">AU95-BM95-BS95-BY95-CD95</f>
        <v>0</v>
      </c>
      <c r="CU95" s="0" t="n">
        <f aca="false">AV95-BN95-BT95-BZ95-CE95</f>
        <v>0</v>
      </c>
      <c r="CV95" s="0" t="n">
        <f aca="false">MAX(0,CS95+CT95+CU95-AW95)</f>
        <v>1.06979314296041E-010</v>
      </c>
      <c r="CW95" s="0" t="n">
        <f aca="false">MIN(CU95,CV95)</f>
        <v>0</v>
      </c>
      <c r="CX95" s="0" t="n">
        <f aca="false">MIN(CT95,CV95-CW95)</f>
        <v>0</v>
      </c>
      <c r="CY95" s="0" t="n">
        <f aca="false">MIN(CS95,CV95-CW95-CX95)</f>
        <v>0</v>
      </c>
      <c r="CZ95" s="0" t="n">
        <f aca="false">IF(CS95-CY95&lt;Inputs!$B$19,0,CS95-CY95)</f>
        <v>0</v>
      </c>
      <c r="DA95" s="0" t="n">
        <f aca="false">IF(CT95-CX95&lt;Inputs!$B$19,0,CT95-CX95)</f>
        <v>0</v>
      </c>
      <c r="DB95" s="0" t="n">
        <f aca="false">IF(CU95-CW95&lt;Inputs!$B$19,0,CU95-CW95)</f>
        <v>0</v>
      </c>
      <c r="DC95" s="0" t="n">
        <f aca="false">N95-CO95</f>
        <v>0</v>
      </c>
      <c r="DD95" s="0" t="n">
        <f aca="false">O95-CP95</f>
        <v>0</v>
      </c>
      <c r="DE95" s="0" t="n">
        <f aca="false">P95-CQ95</f>
        <v>0</v>
      </c>
      <c r="DF95" s="0" t="n">
        <f aca="false">Q95-CR95</f>
        <v>0</v>
      </c>
      <c r="DG95" s="0" t="n">
        <f aca="false">IF(CZ95+DA95+DB95&lt;=Inputs!$B$19,1,0)</f>
        <v>1</v>
      </c>
      <c r="DH95" s="0" t="n">
        <f aca="false">DG95*CN95</f>
        <v>0</v>
      </c>
      <c r="DI95" s="0" t="n">
        <f aca="false">DG95*(AS95+DH95)</f>
        <v>837.077299427398</v>
      </c>
      <c r="DJ95" s="0" t="n">
        <f aca="false">DG95*MIN(DC95,DI95)</f>
        <v>0</v>
      </c>
      <c r="DK95" s="0" t="n">
        <f aca="false">DG95*MIN(DD95,DI95-DJ95)</f>
        <v>0</v>
      </c>
      <c r="DL95" s="0" t="n">
        <f aca="false">DG95*MIN(DE95,DI95-DJ95-DK95)</f>
        <v>0</v>
      </c>
      <c r="DM95" s="0" t="n">
        <f aca="false">DG95*MIN(DF95,DI95-DJ95-DK95-DL95)</f>
        <v>0</v>
      </c>
      <c r="DN95" s="0" t="n">
        <f aca="false">DJ95+DK95+DL95+DM95</f>
        <v>0</v>
      </c>
      <c r="DO95" s="0" t="n">
        <f aca="false">CN95-DH95</f>
        <v>0</v>
      </c>
      <c r="DP95" s="0" t="n">
        <f aca="false">DC95-DJ95</f>
        <v>0</v>
      </c>
      <c r="DQ95" s="0" t="n">
        <f aca="false">DD95-DK95</f>
        <v>0</v>
      </c>
      <c r="DR95" s="0" t="n">
        <f aca="false">DE95-DL95</f>
        <v>0</v>
      </c>
      <c r="DS95" s="0" t="n">
        <f aca="false">DF95-DM95</f>
        <v>0</v>
      </c>
      <c r="DT95" s="0" t="n">
        <f aca="false">CO95+DJ95</f>
        <v>0</v>
      </c>
      <c r="DU95" s="0" t="n">
        <f aca="false">CP95+DK95</f>
        <v>0</v>
      </c>
      <c r="DV95" s="0" t="n">
        <f aca="false">AP95+BL95+BR95+BX95+CC95</f>
        <v>0</v>
      </c>
      <c r="DW95" s="0" t="n">
        <f aca="false">CQ95+DL95</f>
        <v>0</v>
      </c>
      <c r="DX95" s="0" t="n">
        <f aca="false">AQ95+BM95+BS95+BY95+CD95</f>
        <v>0</v>
      </c>
      <c r="DY95" s="0" t="n">
        <f aca="false">CR95+DM95</f>
        <v>0</v>
      </c>
      <c r="DZ95" s="0" t="n">
        <f aca="false">AR95+BN95+BT95+BZ95+CE95</f>
        <v>0</v>
      </c>
      <c r="EA95" s="0" t="n">
        <f aca="false">DI95-DN95</f>
        <v>837.077299427398</v>
      </c>
      <c r="EB95" s="0" t="n">
        <f aca="false">CH95+EA95</f>
        <v>837.077299427398</v>
      </c>
      <c r="EC95" s="0" t="n">
        <f aca="false">R95-I95-MAX(-M95,0)-J95-K95-L95</f>
        <v>0</v>
      </c>
      <c r="ED95" s="0" t="n">
        <f aca="false">R95+S95+CM95+DH95-CG95-DT95-DU95-DW95-DY95-DV95-DX95-DZ95-EB95</f>
        <v>0</v>
      </c>
      <c r="EE95" s="0" t="n">
        <f aca="false">IF(AND(EB95&gt;0.000001,DP95+DQ95+DR95+DS95&gt;0.000001),1,0)</f>
        <v>0</v>
      </c>
    </row>
    <row r="96" customFormat="false" ht="15" hidden="false" customHeight="false" outlineLevel="0" collapsed="false">
      <c r="A96" s="0" t="n">
        <f aca="false">ROW()-5</f>
        <v>91</v>
      </c>
      <c r="B96" s="0" t="n">
        <f aca="false">Inputs!$B$11+(Inputs!$B$12-Inputs!$B$11)*(1-EXP(-A96/Inputs!$B$13))+Inputs!$B$8</f>
        <v>0.0327368587257406</v>
      </c>
      <c r="C96" s="0" t="n">
        <f aca="false">CZ95</f>
        <v>0</v>
      </c>
      <c r="D96" s="0" t="n">
        <f aca="false">DA95</f>
        <v>0</v>
      </c>
      <c r="E96" s="0" t="n">
        <f aca="false">DB95</f>
        <v>0</v>
      </c>
      <c r="F96" s="0" t="n">
        <f aca="false">IF(Inputs!$B$22=1,B96+Inputs!$B$23,Inputs!$B$23)/12</f>
        <v>0.00364473822714505</v>
      </c>
      <c r="G96" s="0" t="n">
        <f aca="false">IF(Inputs!$B$27=1,B96+Inputs!$B$28,Inputs!$B$28)/12</f>
        <v>0.00460307156047838</v>
      </c>
      <c r="H96" s="0" t="n">
        <f aca="false">IF(Inputs!$B$32=1,B96+Inputs!$B$33,Inputs!$B$33)/12</f>
        <v>0.00625</v>
      </c>
      <c r="I96" s="0" t="n">
        <f aca="false">Pool!BT96*Inputs!$B$14/12</f>
        <v>0</v>
      </c>
      <c r="J96" s="0" t="n">
        <f aca="false">C96*F96</f>
        <v>0</v>
      </c>
      <c r="K96" s="0" t="n">
        <f aca="false">D96*G96</f>
        <v>0</v>
      </c>
      <c r="L96" s="0" t="n">
        <f aca="false">E96*H96</f>
        <v>0</v>
      </c>
      <c r="M96" s="0" t="n">
        <f aca="false">Inputs!$B$17*(C96*Inputs!$B$22+D96*Inputs!$B$27+E96*Inputs!$B$32)*(B96-Inputs!$B$18)/12</f>
        <v>-0</v>
      </c>
      <c r="N96" s="0" t="n">
        <f aca="false">DP95+I96+MAX(-M96,0)</f>
        <v>0</v>
      </c>
      <c r="O96" s="0" t="n">
        <f aca="false">DQ95+J96</f>
        <v>0</v>
      </c>
      <c r="P96" s="0" t="n">
        <f aca="false">DR95+K96</f>
        <v>0</v>
      </c>
      <c r="Q96" s="0" t="n">
        <f aca="false">DS95+L96</f>
        <v>0</v>
      </c>
      <c r="R96" s="0" t="n">
        <f aca="false">Pool!BV96+MAX(M96,0)</f>
        <v>0</v>
      </c>
      <c r="S96" s="0" t="n">
        <f aca="false">Pool!BW96+Pool!BX96+Pool!BZ96</f>
        <v>0</v>
      </c>
      <c r="T96" s="0" t="n">
        <f aca="false">MAX(T95,BG95)</f>
        <v>1</v>
      </c>
      <c r="U96" s="0" t="n">
        <f aca="false">MIN(C96,S96)</f>
        <v>0</v>
      </c>
      <c r="V96" s="0" t="n">
        <f aca="false">MIN(D96,S96-U96)</f>
        <v>0</v>
      </c>
      <c r="W96" s="0" t="n">
        <f aca="false">MIN(E96,S96-U96-V96)</f>
        <v>0</v>
      </c>
      <c r="X96" s="0" t="n">
        <f aca="false">IF(C96-(0)&gt;Inputs!$B$19,1,0)</f>
        <v>0</v>
      </c>
      <c r="Y96" s="0" t="n">
        <f aca="false">IF(D96-(0)&gt;Inputs!$B$19,1,0)</f>
        <v>0</v>
      </c>
      <c r="Z96" s="0" t="n">
        <f aca="false">IF(E96-(0)&gt;Inputs!$B$19,1,0)</f>
        <v>0</v>
      </c>
      <c r="AA96" s="0" t="n">
        <f aca="false">IF((X96*C96+Y96*D96+Z96*E96)&gt;0,MIN(C96-(0),S96*X96*C96/(X96*C96+Y96*D96+Z96*E96)),0)</f>
        <v>0</v>
      </c>
      <c r="AB96" s="0" t="n">
        <f aca="false">IF((X96*C96+Y96*D96+Z96*E96)&gt;0,MIN(D96-(0),S96*Y96*D96/(X96*C96+Y96*D96+Z96*E96)),0)</f>
        <v>0</v>
      </c>
      <c r="AC96" s="0" t="n">
        <f aca="false">IF((X96*C96+Y96*D96+Z96*E96)&gt;0,MIN(E96-(0),S96*Z96*E96/(X96*C96+Y96*D96+Z96*E96)),0)</f>
        <v>0</v>
      </c>
      <c r="AD96" s="0" t="n">
        <f aca="false">IF(C96-(AA96)&gt;Inputs!$B$19,1,0)</f>
        <v>0</v>
      </c>
      <c r="AE96" s="0" t="n">
        <f aca="false">IF(D96-(AB96)&gt;Inputs!$B$19,1,0)</f>
        <v>0</v>
      </c>
      <c r="AF96" s="0" t="n">
        <f aca="false">IF(E96-(AC96)&gt;Inputs!$B$19,1,0)</f>
        <v>0</v>
      </c>
      <c r="AG96" s="0" t="n">
        <f aca="false">IF((AD96*C96+AE96*D96+AF96*E96)&gt;0,MIN(C96-(AA96),(S96-(AA96+AB96+AC96))*AD96*C96/(AD96*C96+AE96*D96+AF96*E96)),0)</f>
        <v>0</v>
      </c>
      <c r="AH96" s="0" t="n">
        <f aca="false">IF((AD96*C96+AE96*D96+AF96*E96)&gt;0,MIN(D96-(AB96),(S96-(AA96+AB96+AC96))*AE96*D96/(AD96*C96+AE96*D96+AF96*E96)),0)</f>
        <v>0</v>
      </c>
      <c r="AI96" s="0" t="n">
        <f aca="false">IF((AD96*C96+AE96*D96+AF96*E96)&gt;0,MIN(E96-(AC96),(S96-(AA96+AB96+AC96))*AF96*E96/(AD96*C96+AE96*D96+AF96*E96)),0)</f>
        <v>0</v>
      </c>
      <c r="AJ96" s="0" t="n">
        <f aca="false">IF(C96-(AA96+AG96)&gt;Inputs!$B$19,1,0)</f>
        <v>0</v>
      </c>
      <c r="AK96" s="0" t="n">
        <f aca="false">IF(D96-(AB96+AH96)&gt;Inputs!$B$19,1,0)</f>
        <v>0</v>
      </c>
      <c r="AL96" s="0" t="n">
        <f aca="false">IF(E96-(AC96+AI96)&gt;Inputs!$B$19,1,0)</f>
        <v>0</v>
      </c>
      <c r="AM96" s="0" t="n">
        <f aca="false">IF((AJ96*C96+AK96*D96+AL96*E96)&gt;0,MIN(C96-(AA96+AG96),(S96-(AA96+AB96+AC96+AG96+AH96+AI96))*AJ96*C96/(AJ96*C96+AK96*D96+AL96*E96)),0)</f>
        <v>0</v>
      </c>
      <c r="AN96" s="0" t="n">
        <f aca="false">IF((AJ96*C96+AK96*D96+AL96*E96)&gt;0,MIN(D96-(AB96+AH96),(S96-(AA96+AB96+AC96+AG96+AH96+AI96))*AK96*D96/(AJ96*C96+AK96*D96+AL96*E96)),0)</f>
        <v>0</v>
      </c>
      <c r="AO96" s="0" t="n">
        <f aca="false">IF((AJ96*C96+AK96*D96+AL96*E96)&gt;0,MIN(E96-(AC96+AI96),(S96-(AA96+AB96+AC96+AG96+AH96+AI96))*AL96*E96/(AJ96*C96+AK96*D96+AL96*E96)),0)</f>
        <v>0</v>
      </c>
      <c r="AP96" s="0" t="n">
        <f aca="false">IF(T96=1,U96,AA96+AG96+AM96)</f>
        <v>0</v>
      </c>
      <c r="AQ96" s="0" t="n">
        <f aca="false">IF(T96=1,V96,AB96+AH96+AN96)</f>
        <v>0</v>
      </c>
      <c r="AR96" s="0" t="n">
        <f aca="false">IF(T96=1,W96,AC96+AI96+AO96)</f>
        <v>0</v>
      </c>
      <c r="AS96" s="0" t="n">
        <f aca="false">S96-AP96-AQ96-AR96</f>
        <v>0</v>
      </c>
      <c r="AT96" s="0" t="n">
        <f aca="false">C96-AP96</f>
        <v>0</v>
      </c>
      <c r="AU96" s="0" t="n">
        <f aca="false">D96-AQ96</f>
        <v>0</v>
      </c>
      <c r="AV96" s="0" t="n">
        <f aca="false">E96-AR96</f>
        <v>0</v>
      </c>
      <c r="AW96" s="0" t="n">
        <f aca="false">Pool!CB96</f>
        <v>-1.06979314296041E-010</v>
      </c>
      <c r="AX96" s="0" t="n">
        <f aca="false">IF((AT96)&gt;Inputs!$B$19,AW96/(AT96),1000000000)</f>
        <v>1000000000</v>
      </c>
      <c r="AY96" s="0" t="n">
        <f aca="false">IF((J96)&gt;0.000000001,(R96-I96-MAX(-M96,0))/(J96),1000000000)</f>
        <v>1000000000</v>
      </c>
      <c r="AZ96" s="0" t="n">
        <f aca="false">IF(OR(AX96&lt;Inputs!$B$24,AY96&lt;Inputs!$B$25),1,0)</f>
        <v>0</v>
      </c>
      <c r="BA96" s="0" t="n">
        <f aca="false">IF((AT96+AU96)&gt;Inputs!$B$19,AW96/(AT96+AU96),1000000000)</f>
        <v>1000000000</v>
      </c>
      <c r="BB96" s="0" t="n">
        <f aca="false">IF((J96+K96)&gt;0.000000001,(R96-I96-MAX(-M96,0))/(J96+K96),1000000000)</f>
        <v>1000000000</v>
      </c>
      <c r="BC96" s="0" t="n">
        <f aca="false">IF(OR(BA96&lt;Inputs!$B$29,BB96&lt;Inputs!$B$30),1,0)</f>
        <v>0</v>
      </c>
      <c r="BD96" s="0" t="n">
        <f aca="false">IF((AT96+AU96+AV96)&gt;Inputs!$B$19,AW96/(AT96+AU96+AV96),1000000000)</f>
        <v>1000000000</v>
      </c>
      <c r="BE96" s="0" t="n">
        <f aca="false">IF((J96+K96+L96)&gt;0.000000001,(R96-I96-MAX(-M96,0))/(J96+K96+L96),1000000000)</f>
        <v>1000000000</v>
      </c>
      <c r="BF96" s="0" t="n">
        <f aca="false">IF(OR(BD96&lt;Inputs!$B$34,BE96&lt;Inputs!$B$35),1,0)</f>
        <v>0</v>
      </c>
      <c r="BG96" s="0" t="n">
        <f aca="false">MAX(AZ96,BC96,BF96)</f>
        <v>0</v>
      </c>
      <c r="BH96" s="0" t="n">
        <f aca="false">MIN(R96,N96)</f>
        <v>0</v>
      </c>
      <c r="BI96" s="0" t="n">
        <f aca="false">R96-BH96</f>
        <v>0</v>
      </c>
      <c r="BJ96" s="0" t="n">
        <f aca="false">MIN(BI96,O96)</f>
        <v>0</v>
      </c>
      <c r="BK96" s="0" t="n">
        <f aca="false">BI96-BJ96</f>
        <v>0</v>
      </c>
      <c r="BL96" s="0" t="n">
        <f aca="false">AZ96*MIN(AT96,BK96)</f>
        <v>0</v>
      </c>
      <c r="BM96" s="0" t="n">
        <f aca="false">AZ96*MIN(AU96,BK96-BL96)</f>
        <v>0</v>
      </c>
      <c r="BN96" s="0" t="n">
        <f aca="false">AZ96*MIN(AV96,BK96-BL96-BM96)</f>
        <v>0</v>
      </c>
      <c r="BO96" s="0" t="n">
        <f aca="false">BK96-BL96-BM96-BN96</f>
        <v>0</v>
      </c>
      <c r="BP96" s="0" t="n">
        <f aca="false">MIN(BO96,P96)</f>
        <v>0</v>
      </c>
      <c r="BQ96" s="0" t="n">
        <f aca="false">BO96-BP96</f>
        <v>0</v>
      </c>
      <c r="BR96" s="0" t="n">
        <f aca="false">BC96*MIN((AT96-BL96),BQ96)</f>
        <v>0</v>
      </c>
      <c r="BS96" s="0" t="n">
        <f aca="false">BC96*MIN((AU96-BM96),BQ96-BR96)</f>
        <v>0</v>
      </c>
      <c r="BT96" s="0" t="n">
        <f aca="false">BC96*MIN((AV96-BN96),BQ96-BR96-BS96)</f>
        <v>0</v>
      </c>
      <c r="BU96" s="0" t="n">
        <f aca="false">BQ96-BR96-BS96-BT96</f>
        <v>0</v>
      </c>
      <c r="BV96" s="0" t="n">
        <f aca="false">MIN(BU96,Q96)</f>
        <v>0</v>
      </c>
      <c r="BW96" s="0" t="n">
        <f aca="false">BU96-BV96</f>
        <v>0</v>
      </c>
      <c r="BX96" s="0" t="n">
        <f aca="false">BF96*MIN((AT96-BL96-BR96),BW96)</f>
        <v>0</v>
      </c>
      <c r="BY96" s="0" t="n">
        <f aca="false">BF96*MIN((AU96-BM96-BS96),BW96-BX96)</f>
        <v>0</v>
      </c>
      <c r="BZ96" s="0" t="n">
        <f aca="false">BF96*MIN((AV96-BN96-BT96),BW96-BX96-BY96)</f>
        <v>0</v>
      </c>
      <c r="CA96" s="0" t="n">
        <f aca="false">BW96-BX96-BY96-BZ96</f>
        <v>0</v>
      </c>
      <c r="CB96" s="0" t="n">
        <f aca="false">MAX(0,AT96+AU96+AV96-BL96-BM96-BN96-BR96-BS96-BT96-BX96-BY96-BZ96-AW96)</f>
        <v>1.06979314296041E-010</v>
      </c>
      <c r="CC96" s="0" t="n">
        <f aca="false">1*MIN((AT96-BL96-BR96-BX96),MIN(CA96,CB96))</f>
        <v>0</v>
      </c>
      <c r="CD96" s="0" t="n">
        <f aca="false">1*MIN((AU96-BM96-BS96-BY96),MIN(CA96,CB96)-CC96)</f>
        <v>0</v>
      </c>
      <c r="CE96" s="0" t="n">
        <f aca="false">1*MIN((AV96-BN96-BT96-BZ96),MIN(CA96,CB96)-CC96-CD96)</f>
        <v>0</v>
      </c>
      <c r="CF96" s="0" t="n">
        <f aca="false">CA96-CC96-CD96-CE96</f>
        <v>0</v>
      </c>
      <c r="CG96" s="0" t="n">
        <f aca="false">IF(C96+D96+E96&gt;Inputs!$B$19,MIN(CF96,MAX(0,Inputs!$B$15-DO95)),0)</f>
        <v>0</v>
      </c>
      <c r="CH96" s="0" t="n">
        <f aca="false">CF96-CG96</f>
        <v>0</v>
      </c>
      <c r="CI96" s="0" t="n">
        <f aca="false">DO95+CG96</f>
        <v>0</v>
      </c>
      <c r="CJ96" s="0" t="n">
        <f aca="false">MIN(MAX(N96-BH96,0),CI96)</f>
        <v>0</v>
      </c>
      <c r="CK96" s="0" t="n">
        <f aca="false">MIN(MAX(O96-BJ96,0),CI96-CJ96)</f>
        <v>0</v>
      </c>
      <c r="CL96" s="0" t="n">
        <f aca="false">MIN(MAX(P96-BP96,0),CI96-CJ96-CK96)</f>
        <v>0</v>
      </c>
      <c r="CM96" s="0" t="n">
        <f aca="false">CJ96+CK96+CL96</f>
        <v>0</v>
      </c>
      <c r="CN96" s="0" t="n">
        <f aca="false">CI96-CM96</f>
        <v>0</v>
      </c>
      <c r="CO96" s="0" t="n">
        <f aca="false">BH96+CJ96</f>
        <v>0</v>
      </c>
      <c r="CP96" s="0" t="n">
        <f aca="false">BJ96+CK96</f>
        <v>0</v>
      </c>
      <c r="CQ96" s="0" t="n">
        <f aca="false">BP96+CL96</f>
        <v>0</v>
      </c>
      <c r="CR96" s="0" t="n">
        <f aca="false">BV96</f>
        <v>0</v>
      </c>
      <c r="CS96" s="0" t="n">
        <f aca="false">AT96-BL96-BR96-BX96-CC96</f>
        <v>0</v>
      </c>
      <c r="CT96" s="0" t="n">
        <f aca="false">AU96-BM96-BS96-BY96-CD96</f>
        <v>0</v>
      </c>
      <c r="CU96" s="0" t="n">
        <f aca="false">AV96-BN96-BT96-BZ96-CE96</f>
        <v>0</v>
      </c>
      <c r="CV96" s="0" t="n">
        <f aca="false">MAX(0,CS96+CT96+CU96-AW96)</f>
        <v>1.06979314296041E-010</v>
      </c>
      <c r="CW96" s="0" t="n">
        <f aca="false">MIN(CU96,CV96)</f>
        <v>0</v>
      </c>
      <c r="CX96" s="0" t="n">
        <f aca="false">MIN(CT96,CV96-CW96)</f>
        <v>0</v>
      </c>
      <c r="CY96" s="0" t="n">
        <f aca="false">MIN(CS96,CV96-CW96-CX96)</f>
        <v>0</v>
      </c>
      <c r="CZ96" s="0" t="n">
        <f aca="false">IF(CS96-CY96&lt;Inputs!$B$19,0,CS96-CY96)</f>
        <v>0</v>
      </c>
      <c r="DA96" s="0" t="n">
        <f aca="false">IF(CT96-CX96&lt;Inputs!$B$19,0,CT96-CX96)</f>
        <v>0</v>
      </c>
      <c r="DB96" s="0" t="n">
        <f aca="false">IF(CU96-CW96&lt;Inputs!$B$19,0,CU96-CW96)</f>
        <v>0</v>
      </c>
      <c r="DC96" s="0" t="n">
        <f aca="false">N96-CO96</f>
        <v>0</v>
      </c>
      <c r="DD96" s="0" t="n">
        <f aca="false">O96-CP96</f>
        <v>0</v>
      </c>
      <c r="DE96" s="0" t="n">
        <f aca="false">P96-CQ96</f>
        <v>0</v>
      </c>
      <c r="DF96" s="0" t="n">
        <f aca="false">Q96-CR96</f>
        <v>0</v>
      </c>
      <c r="DG96" s="0" t="n">
        <f aca="false">IF(CZ96+DA96+DB96&lt;=Inputs!$B$19,1,0)</f>
        <v>1</v>
      </c>
      <c r="DH96" s="0" t="n">
        <f aca="false">DG96*CN96</f>
        <v>0</v>
      </c>
      <c r="DI96" s="0" t="n">
        <f aca="false">DG96*(AS96+DH96)</f>
        <v>0</v>
      </c>
      <c r="DJ96" s="0" t="n">
        <f aca="false">DG96*MIN(DC96,DI96)</f>
        <v>0</v>
      </c>
      <c r="DK96" s="0" t="n">
        <f aca="false">DG96*MIN(DD96,DI96-DJ96)</f>
        <v>0</v>
      </c>
      <c r="DL96" s="0" t="n">
        <f aca="false">DG96*MIN(DE96,DI96-DJ96-DK96)</f>
        <v>0</v>
      </c>
      <c r="DM96" s="0" t="n">
        <f aca="false">DG96*MIN(DF96,DI96-DJ96-DK96-DL96)</f>
        <v>0</v>
      </c>
      <c r="DN96" s="0" t="n">
        <f aca="false">DJ96+DK96+DL96+DM96</f>
        <v>0</v>
      </c>
      <c r="DO96" s="0" t="n">
        <f aca="false">CN96-DH96</f>
        <v>0</v>
      </c>
      <c r="DP96" s="0" t="n">
        <f aca="false">DC96-DJ96</f>
        <v>0</v>
      </c>
      <c r="DQ96" s="0" t="n">
        <f aca="false">DD96-DK96</f>
        <v>0</v>
      </c>
      <c r="DR96" s="0" t="n">
        <f aca="false">DE96-DL96</f>
        <v>0</v>
      </c>
      <c r="DS96" s="0" t="n">
        <f aca="false">DF96-DM96</f>
        <v>0</v>
      </c>
      <c r="DT96" s="0" t="n">
        <f aca="false">CO96+DJ96</f>
        <v>0</v>
      </c>
      <c r="DU96" s="0" t="n">
        <f aca="false">CP96+DK96</f>
        <v>0</v>
      </c>
      <c r="DV96" s="0" t="n">
        <f aca="false">AP96+BL96+BR96+BX96+CC96</f>
        <v>0</v>
      </c>
      <c r="DW96" s="0" t="n">
        <f aca="false">CQ96+DL96</f>
        <v>0</v>
      </c>
      <c r="DX96" s="0" t="n">
        <f aca="false">AQ96+BM96+BS96+BY96+CD96</f>
        <v>0</v>
      </c>
      <c r="DY96" s="0" t="n">
        <f aca="false">CR96+DM96</f>
        <v>0</v>
      </c>
      <c r="DZ96" s="0" t="n">
        <f aca="false">AR96+BN96+BT96+BZ96+CE96</f>
        <v>0</v>
      </c>
      <c r="EA96" s="0" t="n">
        <f aca="false">DI96-DN96</f>
        <v>0</v>
      </c>
      <c r="EB96" s="0" t="n">
        <f aca="false">CH96+EA96</f>
        <v>0</v>
      </c>
      <c r="EC96" s="0" t="n">
        <f aca="false">R96-I96-MAX(-M96,0)-J96-K96-L96</f>
        <v>0</v>
      </c>
      <c r="ED96" s="0" t="n">
        <f aca="false">R96+S96+CM96+DH96-CG96-DT96-DU96-DW96-DY96-DV96-DX96-DZ96-EB96</f>
        <v>0</v>
      </c>
      <c r="EE96" s="0" t="n">
        <f aca="false">IF(AND(EB96&gt;0.000001,DP96+DQ96+DR96+DS96&gt;0.000001),1,0)</f>
        <v>0</v>
      </c>
    </row>
    <row r="97" customFormat="false" ht="15" hidden="false" customHeight="false" outlineLevel="0" collapsed="false">
      <c r="A97" s="0" t="n">
        <f aca="false">ROW()-5</f>
        <v>92</v>
      </c>
      <c r="B97" s="0" t="n">
        <f aca="false">Inputs!$B$11+(Inputs!$B$12-Inputs!$B$11)*(1-EXP(-A97/Inputs!$B$13))+Inputs!$B$8</f>
        <v>0.0327271923925547</v>
      </c>
      <c r="C97" s="0" t="n">
        <f aca="false">CZ96</f>
        <v>0</v>
      </c>
      <c r="D97" s="0" t="n">
        <f aca="false">DA96</f>
        <v>0</v>
      </c>
      <c r="E97" s="0" t="n">
        <f aca="false">DB96</f>
        <v>0</v>
      </c>
      <c r="F97" s="0" t="n">
        <f aca="false">IF(Inputs!$B$22=1,B97+Inputs!$B$23,Inputs!$B$23)/12</f>
        <v>0.00364393269937956</v>
      </c>
      <c r="G97" s="0" t="n">
        <f aca="false">IF(Inputs!$B$27=1,B97+Inputs!$B$28,Inputs!$B$28)/12</f>
        <v>0.00460226603271289</v>
      </c>
      <c r="H97" s="0" t="n">
        <f aca="false">IF(Inputs!$B$32=1,B97+Inputs!$B$33,Inputs!$B$33)/12</f>
        <v>0.00625</v>
      </c>
      <c r="I97" s="0" t="n">
        <f aca="false">Pool!BT97*Inputs!$B$14/12</f>
        <v>0</v>
      </c>
      <c r="J97" s="0" t="n">
        <f aca="false">C97*F97</f>
        <v>0</v>
      </c>
      <c r="K97" s="0" t="n">
        <f aca="false">D97*G97</f>
        <v>0</v>
      </c>
      <c r="L97" s="0" t="n">
        <f aca="false">E97*H97</f>
        <v>0</v>
      </c>
      <c r="M97" s="0" t="n">
        <f aca="false">Inputs!$B$17*(C97*Inputs!$B$22+D97*Inputs!$B$27+E97*Inputs!$B$32)*(B97-Inputs!$B$18)/12</f>
        <v>-0</v>
      </c>
      <c r="N97" s="0" t="n">
        <f aca="false">DP96+I97+MAX(-M97,0)</f>
        <v>0</v>
      </c>
      <c r="O97" s="0" t="n">
        <f aca="false">DQ96+J97</f>
        <v>0</v>
      </c>
      <c r="P97" s="0" t="n">
        <f aca="false">DR96+K97</f>
        <v>0</v>
      </c>
      <c r="Q97" s="0" t="n">
        <f aca="false">DS96+L97</f>
        <v>0</v>
      </c>
      <c r="R97" s="0" t="n">
        <f aca="false">Pool!BV97+MAX(M97,0)</f>
        <v>0</v>
      </c>
      <c r="S97" s="0" t="n">
        <f aca="false">Pool!BW97+Pool!BX97+Pool!BZ97</f>
        <v>0</v>
      </c>
      <c r="T97" s="0" t="n">
        <f aca="false">MAX(T96,BG96)</f>
        <v>1</v>
      </c>
      <c r="U97" s="0" t="n">
        <f aca="false">MIN(C97,S97)</f>
        <v>0</v>
      </c>
      <c r="V97" s="0" t="n">
        <f aca="false">MIN(D97,S97-U97)</f>
        <v>0</v>
      </c>
      <c r="W97" s="0" t="n">
        <f aca="false">MIN(E97,S97-U97-V97)</f>
        <v>0</v>
      </c>
      <c r="X97" s="0" t="n">
        <f aca="false">IF(C97-(0)&gt;Inputs!$B$19,1,0)</f>
        <v>0</v>
      </c>
      <c r="Y97" s="0" t="n">
        <f aca="false">IF(D97-(0)&gt;Inputs!$B$19,1,0)</f>
        <v>0</v>
      </c>
      <c r="Z97" s="0" t="n">
        <f aca="false">IF(E97-(0)&gt;Inputs!$B$19,1,0)</f>
        <v>0</v>
      </c>
      <c r="AA97" s="0" t="n">
        <f aca="false">IF((X97*C97+Y97*D97+Z97*E97)&gt;0,MIN(C97-(0),S97*X97*C97/(X97*C97+Y97*D97+Z97*E97)),0)</f>
        <v>0</v>
      </c>
      <c r="AB97" s="0" t="n">
        <f aca="false">IF((X97*C97+Y97*D97+Z97*E97)&gt;0,MIN(D97-(0),S97*Y97*D97/(X97*C97+Y97*D97+Z97*E97)),0)</f>
        <v>0</v>
      </c>
      <c r="AC97" s="0" t="n">
        <f aca="false">IF((X97*C97+Y97*D97+Z97*E97)&gt;0,MIN(E97-(0),S97*Z97*E97/(X97*C97+Y97*D97+Z97*E97)),0)</f>
        <v>0</v>
      </c>
      <c r="AD97" s="0" t="n">
        <f aca="false">IF(C97-(AA97)&gt;Inputs!$B$19,1,0)</f>
        <v>0</v>
      </c>
      <c r="AE97" s="0" t="n">
        <f aca="false">IF(D97-(AB97)&gt;Inputs!$B$19,1,0)</f>
        <v>0</v>
      </c>
      <c r="AF97" s="0" t="n">
        <f aca="false">IF(E97-(AC97)&gt;Inputs!$B$19,1,0)</f>
        <v>0</v>
      </c>
      <c r="AG97" s="0" t="n">
        <f aca="false">IF((AD97*C97+AE97*D97+AF97*E97)&gt;0,MIN(C97-(AA97),(S97-(AA97+AB97+AC97))*AD97*C97/(AD97*C97+AE97*D97+AF97*E97)),0)</f>
        <v>0</v>
      </c>
      <c r="AH97" s="0" t="n">
        <f aca="false">IF((AD97*C97+AE97*D97+AF97*E97)&gt;0,MIN(D97-(AB97),(S97-(AA97+AB97+AC97))*AE97*D97/(AD97*C97+AE97*D97+AF97*E97)),0)</f>
        <v>0</v>
      </c>
      <c r="AI97" s="0" t="n">
        <f aca="false">IF((AD97*C97+AE97*D97+AF97*E97)&gt;0,MIN(E97-(AC97),(S97-(AA97+AB97+AC97))*AF97*E97/(AD97*C97+AE97*D97+AF97*E97)),0)</f>
        <v>0</v>
      </c>
      <c r="AJ97" s="0" t="n">
        <f aca="false">IF(C97-(AA97+AG97)&gt;Inputs!$B$19,1,0)</f>
        <v>0</v>
      </c>
      <c r="AK97" s="0" t="n">
        <f aca="false">IF(D97-(AB97+AH97)&gt;Inputs!$B$19,1,0)</f>
        <v>0</v>
      </c>
      <c r="AL97" s="0" t="n">
        <f aca="false">IF(E97-(AC97+AI97)&gt;Inputs!$B$19,1,0)</f>
        <v>0</v>
      </c>
      <c r="AM97" s="0" t="n">
        <f aca="false">IF((AJ97*C97+AK97*D97+AL97*E97)&gt;0,MIN(C97-(AA97+AG97),(S97-(AA97+AB97+AC97+AG97+AH97+AI97))*AJ97*C97/(AJ97*C97+AK97*D97+AL97*E97)),0)</f>
        <v>0</v>
      </c>
      <c r="AN97" s="0" t="n">
        <f aca="false">IF((AJ97*C97+AK97*D97+AL97*E97)&gt;0,MIN(D97-(AB97+AH97),(S97-(AA97+AB97+AC97+AG97+AH97+AI97))*AK97*D97/(AJ97*C97+AK97*D97+AL97*E97)),0)</f>
        <v>0</v>
      </c>
      <c r="AO97" s="0" t="n">
        <f aca="false">IF((AJ97*C97+AK97*D97+AL97*E97)&gt;0,MIN(E97-(AC97+AI97),(S97-(AA97+AB97+AC97+AG97+AH97+AI97))*AL97*E97/(AJ97*C97+AK97*D97+AL97*E97)),0)</f>
        <v>0</v>
      </c>
      <c r="AP97" s="0" t="n">
        <f aca="false">IF(T97=1,U97,AA97+AG97+AM97)</f>
        <v>0</v>
      </c>
      <c r="AQ97" s="0" t="n">
        <f aca="false">IF(T97=1,V97,AB97+AH97+AN97)</f>
        <v>0</v>
      </c>
      <c r="AR97" s="0" t="n">
        <f aca="false">IF(T97=1,W97,AC97+AI97+AO97)</f>
        <v>0</v>
      </c>
      <c r="AS97" s="0" t="n">
        <f aca="false">S97-AP97-AQ97-AR97</f>
        <v>0</v>
      </c>
      <c r="AT97" s="0" t="n">
        <f aca="false">C97-AP97</f>
        <v>0</v>
      </c>
      <c r="AU97" s="0" t="n">
        <f aca="false">D97-AQ97</f>
        <v>0</v>
      </c>
      <c r="AV97" s="0" t="n">
        <f aca="false">E97-AR97</f>
        <v>0</v>
      </c>
      <c r="AW97" s="0" t="n">
        <f aca="false">Pool!CB97</f>
        <v>-1.06979314296041E-010</v>
      </c>
      <c r="AX97" s="0" t="n">
        <f aca="false">IF((AT97)&gt;Inputs!$B$19,AW97/(AT97),1000000000)</f>
        <v>1000000000</v>
      </c>
      <c r="AY97" s="0" t="n">
        <f aca="false">IF((J97)&gt;0.000000001,(R97-I97-MAX(-M97,0))/(J97),1000000000)</f>
        <v>1000000000</v>
      </c>
      <c r="AZ97" s="0" t="n">
        <f aca="false">IF(OR(AX97&lt;Inputs!$B$24,AY97&lt;Inputs!$B$25),1,0)</f>
        <v>0</v>
      </c>
      <c r="BA97" s="0" t="n">
        <f aca="false">IF((AT97+AU97)&gt;Inputs!$B$19,AW97/(AT97+AU97),1000000000)</f>
        <v>1000000000</v>
      </c>
      <c r="BB97" s="0" t="n">
        <f aca="false">IF((J97+K97)&gt;0.000000001,(R97-I97-MAX(-M97,0))/(J97+K97),1000000000)</f>
        <v>1000000000</v>
      </c>
      <c r="BC97" s="0" t="n">
        <f aca="false">IF(OR(BA97&lt;Inputs!$B$29,BB97&lt;Inputs!$B$30),1,0)</f>
        <v>0</v>
      </c>
      <c r="BD97" s="0" t="n">
        <f aca="false">IF((AT97+AU97+AV97)&gt;Inputs!$B$19,AW97/(AT97+AU97+AV97),1000000000)</f>
        <v>1000000000</v>
      </c>
      <c r="BE97" s="0" t="n">
        <f aca="false">IF((J97+K97+L97)&gt;0.000000001,(R97-I97-MAX(-M97,0))/(J97+K97+L97),1000000000)</f>
        <v>1000000000</v>
      </c>
      <c r="BF97" s="0" t="n">
        <f aca="false">IF(OR(BD97&lt;Inputs!$B$34,BE97&lt;Inputs!$B$35),1,0)</f>
        <v>0</v>
      </c>
      <c r="BG97" s="0" t="n">
        <f aca="false">MAX(AZ97,BC97,BF97)</f>
        <v>0</v>
      </c>
      <c r="BH97" s="0" t="n">
        <f aca="false">MIN(R97,N97)</f>
        <v>0</v>
      </c>
      <c r="BI97" s="0" t="n">
        <f aca="false">R97-BH97</f>
        <v>0</v>
      </c>
      <c r="BJ97" s="0" t="n">
        <f aca="false">MIN(BI97,O97)</f>
        <v>0</v>
      </c>
      <c r="BK97" s="0" t="n">
        <f aca="false">BI97-BJ97</f>
        <v>0</v>
      </c>
      <c r="BL97" s="0" t="n">
        <f aca="false">AZ97*MIN(AT97,BK97)</f>
        <v>0</v>
      </c>
      <c r="BM97" s="0" t="n">
        <f aca="false">AZ97*MIN(AU97,BK97-BL97)</f>
        <v>0</v>
      </c>
      <c r="BN97" s="0" t="n">
        <f aca="false">AZ97*MIN(AV97,BK97-BL97-BM97)</f>
        <v>0</v>
      </c>
      <c r="BO97" s="0" t="n">
        <f aca="false">BK97-BL97-BM97-BN97</f>
        <v>0</v>
      </c>
      <c r="BP97" s="0" t="n">
        <f aca="false">MIN(BO97,P97)</f>
        <v>0</v>
      </c>
      <c r="BQ97" s="0" t="n">
        <f aca="false">BO97-BP97</f>
        <v>0</v>
      </c>
      <c r="BR97" s="0" t="n">
        <f aca="false">BC97*MIN((AT97-BL97),BQ97)</f>
        <v>0</v>
      </c>
      <c r="BS97" s="0" t="n">
        <f aca="false">BC97*MIN((AU97-BM97),BQ97-BR97)</f>
        <v>0</v>
      </c>
      <c r="BT97" s="0" t="n">
        <f aca="false">BC97*MIN((AV97-BN97),BQ97-BR97-BS97)</f>
        <v>0</v>
      </c>
      <c r="BU97" s="0" t="n">
        <f aca="false">BQ97-BR97-BS97-BT97</f>
        <v>0</v>
      </c>
      <c r="BV97" s="0" t="n">
        <f aca="false">MIN(BU97,Q97)</f>
        <v>0</v>
      </c>
      <c r="BW97" s="0" t="n">
        <f aca="false">BU97-BV97</f>
        <v>0</v>
      </c>
      <c r="BX97" s="0" t="n">
        <f aca="false">BF97*MIN((AT97-BL97-BR97),BW97)</f>
        <v>0</v>
      </c>
      <c r="BY97" s="0" t="n">
        <f aca="false">BF97*MIN((AU97-BM97-BS97),BW97-BX97)</f>
        <v>0</v>
      </c>
      <c r="BZ97" s="0" t="n">
        <f aca="false">BF97*MIN((AV97-BN97-BT97),BW97-BX97-BY97)</f>
        <v>0</v>
      </c>
      <c r="CA97" s="0" t="n">
        <f aca="false">BW97-BX97-BY97-BZ97</f>
        <v>0</v>
      </c>
      <c r="CB97" s="0" t="n">
        <f aca="false">MAX(0,AT97+AU97+AV97-BL97-BM97-BN97-BR97-BS97-BT97-BX97-BY97-BZ97-AW97)</f>
        <v>1.06979314296041E-010</v>
      </c>
      <c r="CC97" s="0" t="n">
        <f aca="false">1*MIN((AT97-BL97-BR97-BX97),MIN(CA97,CB97))</f>
        <v>0</v>
      </c>
      <c r="CD97" s="0" t="n">
        <f aca="false">1*MIN((AU97-BM97-BS97-BY97),MIN(CA97,CB97)-CC97)</f>
        <v>0</v>
      </c>
      <c r="CE97" s="0" t="n">
        <f aca="false">1*MIN((AV97-BN97-BT97-BZ97),MIN(CA97,CB97)-CC97-CD97)</f>
        <v>0</v>
      </c>
      <c r="CF97" s="0" t="n">
        <f aca="false">CA97-CC97-CD97-CE97</f>
        <v>0</v>
      </c>
      <c r="CG97" s="0" t="n">
        <f aca="false">IF(C97+D97+E97&gt;Inputs!$B$19,MIN(CF97,MAX(0,Inputs!$B$15-DO96)),0)</f>
        <v>0</v>
      </c>
      <c r="CH97" s="0" t="n">
        <f aca="false">CF97-CG97</f>
        <v>0</v>
      </c>
      <c r="CI97" s="0" t="n">
        <f aca="false">DO96+CG97</f>
        <v>0</v>
      </c>
      <c r="CJ97" s="0" t="n">
        <f aca="false">MIN(MAX(N97-BH97,0),CI97)</f>
        <v>0</v>
      </c>
      <c r="CK97" s="0" t="n">
        <f aca="false">MIN(MAX(O97-BJ97,0),CI97-CJ97)</f>
        <v>0</v>
      </c>
      <c r="CL97" s="0" t="n">
        <f aca="false">MIN(MAX(P97-BP97,0),CI97-CJ97-CK97)</f>
        <v>0</v>
      </c>
      <c r="CM97" s="0" t="n">
        <f aca="false">CJ97+CK97+CL97</f>
        <v>0</v>
      </c>
      <c r="CN97" s="0" t="n">
        <f aca="false">CI97-CM97</f>
        <v>0</v>
      </c>
      <c r="CO97" s="0" t="n">
        <f aca="false">BH97+CJ97</f>
        <v>0</v>
      </c>
      <c r="CP97" s="0" t="n">
        <f aca="false">BJ97+CK97</f>
        <v>0</v>
      </c>
      <c r="CQ97" s="0" t="n">
        <f aca="false">BP97+CL97</f>
        <v>0</v>
      </c>
      <c r="CR97" s="0" t="n">
        <f aca="false">BV97</f>
        <v>0</v>
      </c>
      <c r="CS97" s="0" t="n">
        <f aca="false">AT97-BL97-BR97-BX97-CC97</f>
        <v>0</v>
      </c>
      <c r="CT97" s="0" t="n">
        <f aca="false">AU97-BM97-BS97-BY97-CD97</f>
        <v>0</v>
      </c>
      <c r="CU97" s="0" t="n">
        <f aca="false">AV97-BN97-BT97-BZ97-CE97</f>
        <v>0</v>
      </c>
      <c r="CV97" s="0" t="n">
        <f aca="false">MAX(0,CS97+CT97+CU97-AW97)</f>
        <v>1.06979314296041E-010</v>
      </c>
      <c r="CW97" s="0" t="n">
        <f aca="false">MIN(CU97,CV97)</f>
        <v>0</v>
      </c>
      <c r="CX97" s="0" t="n">
        <f aca="false">MIN(CT97,CV97-CW97)</f>
        <v>0</v>
      </c>
      <c r="CY97" s="0" t="n">
        <f aca="false">MIN(CS97,CV97-CW97-CX97)</f>
        <v>0</v>
      </c>
      <c r="CZ97" s="0" t="n">
        <f aca="false">IF(CS97-CY97&lt;Inputs!$B$19,0,CS97-CY97)</f>
        <v>0</v>
      </c>
      <c r="DA97" s="0" t="n">
        <f aca="false">IF(CT97-CX97&lt;Inputs!$B$19,0,CT97-CX97)</f>
        <v>0</v>
      </c>
      <c r="DB97" s="0" t="n">
        <f aca="false">IF(CU97-CW97&lt;Inputs!$B$19,0,CU97-CW97)</f>
        <v>0</v>
      </c>
      <c r="DC97" s="0" t="n">
        <f aca="false">N97-CO97</f>
        <v>0</v>
      </c>
      <c r="DD97" s="0" t="n">
        <f aca="false">O97-CP97</f>
        <v>0</v>
      </c>
      <c r="DE97" s="0" t="n">
        <f aca="false">P97-CQ97</f>
        <v>0</v>
      </c>
      <c r="DF97" s="0" t="n">
        <f aca="false">Q97-CR97</f>
        <v>0</v>
      </c>
      <c r="DG97" s="0" t="n">
        <f aca="false">IF(CZ97+DA97+DB97&lt;=Inputs!$B$19,1,0)</f>
        <v>1</v>
      </c>
      <c r="DH97" s="0" t="n">
        <f aca="false">DG97*CN97</f>
        <v>0</v>
      </c>
      <c r="DI97" s="0" t="n">
        <f aca="false">DG97*(AS97+DH97)</f>
        <v>0</v>
      </c>
      <c r="DJ97" s="0" t="n">
        <f aca="false">DG97*MIN(DC97,DI97)</f>
        <v>0</v>
      </c>
      <c r="DK97" s="0" t="n">
        <f aca="false">DG97*MIN(DD97,DI97-DJ97)</f>
        <v>0</v>
      </c>
      <c r="DL97" s="0" t="n">
        <f aca="false">DG97*MIN(DE97,DI97-DJ97-DK97)</f>
        <v>0</v>
      </c>
      <c r="DM97" s="0" t="n">
        <f aca="false">DG97*MIN(DF97,DI97-DJ97-DK97-DL97)</f>
        <v>0</v>
      </c>
      <c r="DN97" s="0" t="n">
        <f aca="false">DJ97+DK97+DL97+DM97</f>
        <v>0</v>
      </c>
      <c r="DO97" s="0" t="n">
        <f aca="false">CN97-DH97</f>
        <v>0</v>
      </c>
      <c r="DP97" s="0" t="n">
        <f aca="false">DC97-DJ97</f>
        <v>0</v>
      </c>
      <c r="DQ97" s="0" t="n">
        <f aca="false">DD97-DK97</f>
        <v>0</v>
      </c>
      <c r="DR97" s="0" t="n">
        <f aca="false">DE97-DL97</f>
        <v>0</v>
      </c>
      <c r="DS97" s="0" t="n">
        <f aca="false">DF97-DM97</f>
        <v>0</v>
      </c>
      <c r="DT97" s="0" t="n">
        <f aca="false">CO97+DJ97</f>
        <v>0</v>
      </c>
      <c r="DU97" s="0" t="n">
        <f aca="false">CP97+DK97</f>
        <v>0</v>
      </c>
      <c r="DV97" s="0" t="n">
        <f aca="false">AP97+BL97+BR97+BX97+CC97</f>
        <v>0</v>
      </c>
      <c r="DW97" s="0" t="n">
        <f aca="false">CQ97+DL97</f>
        <v>0</v>
      </c>
      <c r="DX97" s="0" t="n">
        <f aca="false">AQ97+BM97+BS97+BY97+CD97</f>
        <v>0</v>
      </c>
      <c r="DY97" s="0" t="n">
        <f aca="false">CR97+DM97</f>
        <v>0</v>
      </c>
      <c r="DZ97" s="0" t="n">
        <f aca="false">AR97+BN97+BT97+BZ97+CE97</f>
        <v>0</v>
      </c>
      <c r="EA97" s="0" t="n">
        <f aca="false">DI97-DN97</f>
        <v>0</v>
      </c>
      <c r="EB97" s="0" t="n">
        <f aca="false">CH97+EA97</f>
        <v>0</v>
      </c>
      <c r="EC97" s="0" t="n">
        <f aca="false">R97-I97-MAX(-M97,0)-J97-K97-L97</f>
        <v>0</v>
      </c>
      <c r="ED97" s="0" t="n">
        <f aca="false">R97+S97+CM97+DH97-CG97-DT97-DU97-DW97-DY97-DV97-DX97-DZ97-EB97</f>
        <v>0</v>
      </c>
      <c r="EE97" s="0" t="n">
        <f aca="false">IF(AND(EB97&gt;0.000001,DP97+DQ97+DR97+DS97&gt;0.000001),1,0)</f>
        <v>0</v>
      </c>
    </row>
    <row r="98" customFormat="false" ht="15" hidden="false" customHeight="false" outlineLevel="0" collapsed="false">
      <c r="A98" s="0" t="n">
        <f aca="false">ROW()-5</f>
        <v>93</v>
      </c>
      <c r="B98" s="0" t="n">
        <f aca="false">Inputs!$B$11+(Inputs!$B$12-Inputs!$B$11)*(1-EXP(-A98/Inputs!$B$13))+Inputs!$B$8</f>
        <v>0.0327179205476739</v>
      </c>
      <c r="C98" s="0" t="n">
        <f aca="false">CZ97</f>
        <v>0</v>
      </c>
      <c r="D98" s="0" t="n">
        <f aca="false">DA97</f>
        <v>0</v>
      </c>
      <c r="E98" s="0" t="n">
        <f aca="false">DB97</f>
        <v>0</v>
      </c>
      <c r="F98" s="0" t="n">
        <f aca="false">IF(Inputs!$B$22=1,B98+Inputs!$B$23,Inputs!$B$23)/12</f>
        <v>0.00364316004563949</v>
      </c>
      <c r="G98" s="0" t="n">
        <f aca="false">IF(Inputs!$B$27=1,B98+Inputs!$B$28,Inputs!$B$28)/12</f>
        <v>0.00460149337897282</v>
      </c>
      <c r="H98" s="0" t="n">
        <f aca="false">IF(Inputs!$B$32=1,B98+Inputs!$B$33,Inputs!$B$33)/12</f>
        <v>0.00625</v>
      </c>
      <c r="I98" s="0" t="n">
        <f aca="false">Pool!BT98*Inputs!$B$14/12</f>
        <v>0</v>
      </c>
      <c r="J98" s="0" t="n">
        <f aca="false">C98*F98</f>
        <v>0</v>
      </c>
      <c r="K98" s="0" t="n">
        <f aca="false">D98*G98</f>
        <v>0</v>
      </c>
      <c r="L98" s="0" t="n">
        <f aca="false">E98*H98</f>
        <v>0</v>
      </c>
      <c r="M98" s="0" t="n">
        <f aca="false">Inputs!$B$17*(C98*Inputs!$B$22+D98*Inputs!$B$27+E98*Inputs!$B$32)*(B98-Inputs!$B$18)/12</f>
        <v>-0</v>
      </c>
      <c r="N98" s="0" t="n">
        <f aca="false">DP97+I98+MAX(-M98,0)</f>
        <v>0</v>
      </c>
      <c r="O98" s="0" t="n">
        <f aca="false">DQ97+J98</f>
        <v>0</v>
      </c>
      <c r="P98" s="0" t="n">
        <f aca="false">DR97+K98</f>
        <v>0</v>
      </c>
      <c r="Q98" s="0" t="n">
        <f aca="false">DS97+L98</f>
        <v>0</v>
      </c>
      <c r="R98" s="0" t="n">
        <f aca="false">Pool!BV98+MAX(M98,0)</f>
        <v>0</v>
      </c>
      <c r="S98" s="0" t="n">
        <f aca="false">Pool!BW98+Pool!BX98+Pool!BZ98</f>
        <v>0</v>
      </c>
      <c r="T98" s="0" t="n">
        <f aca="false">MAX(T97,BG97)</f>
        <v>1</v>
      </c>
      <c r="U98" s="0" t="n">
        <f aca="false">MIN(C98,S98)</f>
        <v>0</v>
      </c>
      <c r="V98" s="0" t="n">
        <f aca="false">MIN(D98,S98-U98)</f>
        <v>0</v>
      </c>
      <c r="W98" s="0" t="n">
        <f aca="false">MIN(E98,S98-U98-V98)</f>
        <v>0</v>
      </c>
      <c r="X98" s="0" t="n">
        <f aca="false">IF(C98-(0)&gt;Inputs!$B$19,1,0)</f>
        <v>0</v>
      </c>
      <c r="Y98" s="0" t="n">
        <f aca="false">IF(D98-(0)&gt;Inputs!$B$19,1,0)</f>
        <v>0</v>
      </c>
      <c r="Z98" s="0" t="n">
        <f aca="false">IF(E98-(0)&gt;Inputs!$B$19,1,0)</f>
        <v>0</v>
      </c>
      <c r="AA98" s="0" t="n">
        <f aca="false">IF((X98*C98+Y98*D98+Z98*E98)&gt;0,MIN(C98-(0),S98*X98*C98/(X98*C98+Y98*D98+Z98*E98)),0)</f>
        <v>0</v>
      </c>
      <c r="AB98" s="0" t="n">
        <f aca="false">IF((X98*C98+Y98*D98+Z98*E98)&gt;0,MIN(D98-(0),S98*Y98*D98/(X98*C98+Y98*D98+Z98*E98)),0)</f>
        <v>0</v>
      </c>
      <c r="AC98" s="0" t="n">
        <f aca="false">IF((X98*C98+Y98*D98+Z98*E98)&gt;0,MIN(E98-(0),S98*Z98*E98/(X98*C98+Y98*D98+Z98*E98)),0)</f>
        <v>0</v>
      </c>
      <c r="AD98" s="0" t="n">
        <f aca="false">IF(C98-(AA98)&gt;Inputs!$B$19,1,0)</f>
        <v>0</v>
      </c>
      <c r="AE98" s="0" t="n">
        <f aca="false">IF(D98-(AB98)&gt;Inputs!$B$19,1,0)</f>
        <v>0</v>
      </c>
      <c r="AF98" s="0" t="n">
        <f aca="false">IF(E98-(AC98)&gt;Inputs!$B$19,1,0)</f>
        <v>0</v>
      </c>
      <c r="AG98" s="0" t="n">
        <f aca="false">IF((AD98*C98+AE98*D98+AF98*E98)&gt;0,MIN(C98-(AA98),(S98-(AA98+AB98+AC98))*AD98*C98/(AD98*C98+AE98*D98+AF98*E98)),0)</f>
        <v>0</v>
      </c>
      <c r="AH98" s="0" t="n">
        <f aca="false">IF((AD98*C98+AE98*D98+AF98*E98)&gt;0,MIN(D98-(AB98),(S98-(AA98+AB98+AC98))*AE98*D98/(AD98*C98+AE98*D98+AF98*E98)),0)</f>
        <v>0</v>
      </c>
      <c r="AI98" s="0" t="n">
        <f aca="false">IF((AD98*C98+AE98*D98+AF98*E98)&gt;0,MIN(E98-(AC98),(S98-(AA98+AB98+AC98))*AF98*E98/(AD98*C98+AE98*D98+AF98*E98)),0)</f>
        <v>0</v>
      </c>
      <c r="AJ98" s="0" t="n">
        <f aca="false">IF(C98-(AA98+AG98)&gt;Inputs!$B$19,1,0)</f>
        <v>0</v>
      </c>
      <c r="AK98" s="0" t="n">
        <f aca="false">IF(D98-(AB98+AH98)&gt;Inputs!$B$19,1,0)</f>
        <v>0</v>
      </c>
      <c r="AL98" s="0" t="n">
        <f aca="false">IF(E98-(AC98+AI98)&gt;Inputs!$B$19,1,0)</f>
        <v>0</v>
      </c>
      <c r="AM98" s="0" t="n">
        <f aca="false">IF((AJ98*C98+AK98*D98+AL98*E98)&gt;0,MIN(C98-(AA98+AG98),(S98-(AA98+AB98+AC98+AG98+AH98+AI98))*AJ98*C98/(AJ98*C98+AK98*D98+AL98*E98)),0)</f>
        <v>0</v>
      </c>
      <c r="AN98" s="0" t="n">
        <f aca="false">IF((AJ98*C98+AK98*D98+AL98*E98)&gt;0,MIN(D98-(AB98+AH98),(S98-(AA98+AB98+AC98+AG98+AH98+AI98))*AK98*D98/(AJ98*C98+AK98*D98+AL98*E98)),0)</f>
        <v>0</v>
      </c>
      <c r="AO98" s="0" t="n">
        <f aca="false">IF((AJ98*C98+AK98*D98+AL98*E98)&gt;0,MIN(E98-(AC98+AI98),(S98-(AA98+AB98+AC98+AG98+AH98+AI98))*AL98*E98/(AJ98*C98+AK98*D98+AL98*E98)),0)</f>
        <v>0</v>
      </c>
      <c r="AP98" s="0" t="n">
        <f aca="false">IF(T98=1,U98,AA98+AG98+AM98)</f>
        <v>0</v>
      </c>
      <c r="AQ98" s="0" t="n">
        <f aca="false">IF(T98=1,V98,AB98+AH98+AN98)</f>
        <v>0</v>
      </c>
      <c r="AR98" s="0" t="n">
        <f aca="false">IF(T98=1,W98,AC98+AI98+AO98)</f>
        <v>0</v>
      </c>
      <c r="AS98" s="0" t="n">
        <f aca="false">S98-AP98-AQ98-AR98</f>
        <v>0</v>
      </c>
      <c r="AT98" s="0" t="n">
        <f aca="false">C98-AP98</f>
        <v>0</v>
      </c>
      <c r="AU98" s="0" t="n">
        <f aca="false">D98-AQ98</f>
        <v>0</v>
      </c>
      <c r="AV98" s="0" t="n">
        <f aca="false">E98-AR98</f>
        <v>0</v>
      </c>
      <c r="AW98" s="0" t="n">
        <f aca="false">Pool!CB98</f>
        <v>-1.06979314296041E-010</v>
      </c>
      <c r="AX98" s="0" t="n">
        <f aca="false">IF((AT98)&gt;Inputs!$B$19,AW98/(AT98),1000000000)</f>
        <v>1000000000</v>
      </c>
      <c r="AY98" s="0" t="n">
        <f aca="false">IF((J98)&gt;0.000000001,(R98-I98-MAX(-M98,0))/(J98),1000000000)</f>
        <v>1000000000</v>
      </c>
      <c r="AZ98" s="0" t="n">
        <f aca="false">IF(OR(AX98&lt;Inputs!$B$24,AY98&lt;Inputs!$B$25),1,0)</f>
        <v>0</v>
      </c>
      <c r="BA98" s="0" t="n">
        <f aca="false">IF((AT98+AU98)&gt;Inputs!$B$19,AW98/(AT98+AU98),1000000000)</f>
        <v>1000000000</v>
      </c>
      <c r="BB98" s="0" t="n">
        <f aca="false">IF((J98+K98)&gt;0.000000001,(R98-I98-MAX(-M98,0))/(J98+K98),1000000000)</f>
        <v>1000000000</v>
      </c>
      <c r="BC98" s="0" t="n">
        <f aca="false">IF(OR(BA98&lt;Inputs!$B$29,BB98&lt;Inputs!$B$30),1,0)</f>
        <v>0</v>
      </c>
      <c r="BD98" s="0" t="n">
        <f aca="false">IF((AT98+AU98+AV98)&gt;Inputs!$B$19,AW98/(AT98+AU98+AV98),1000000000)</f>
        <v>1000000000</v>
      </c>
      <c r="BE98" s="0" t="n">
        <f aca="false">IF((J98+K98+L98)&gt;0.000000001,(R98-I98-MAX(-M98,0))/(J98+K98+L98),1000000000)</f>
        <v>1000000000</v>
      </c>
      <c r="BF98" s="0" t="n">
        <f aca="false">IF(OR(BD98&lt;Inputs!$B$34,BE98&lt;Inputs!$B$35),1,0)</f>
        <v>0</v>
      </c>
      <c r="BG98" s="0" t="n">
        <f aca="false">MAX(AZ98,BC98,BF98)</f>
        <v>0</v>
      </c>
      <c r="BH98" s="0" t="n">
        <f aca="false">MIN(R98,N98)</f>
        <v>0</v>
      </c>
      <c r="BI98" s="0" t="n">
        <f aca="false">R98-BH98</f>
        <v>0</v>
      </c>
      <c r="BJ98" s="0" t="n">
        <f aca="false">MIN(BI98,O98)</f>
        <v>0</v>
      </c>
      <c r="BK98" s="0" t="n">
        <f aca="false">BI98-BJ98</f>
        <v>0</v>
      </c>
      <c r="BL98" s="0" t="n">
        <f aca="false">AZ98*MIN(AT98,BK98)</f>
        <v>0</v>
      </c>
      <c r="BM98" s="0" t="n">
        <f aca="false">AZ98*MIN(AU98,BK98-BL98)</f>
        <v>0</v>
      </c>
      <c r="BN98" s="0" t="n">
        <f aca="false">AZ98*MIN(AV98,BK98-BL98-BM98)</f>
        <v>0</v>
      </c>
      <c r="BO98" s="0" t="n">
        <f aca="false">BK98-BL98-BM98-BN98</f>
        <v>0</v>
      </c>
      <c r="BP98" s="0" t="n">
        <f aca="false">MIN(BO98,P98)</f>
        <v>0</v>
      </c>
      <c r="BQ98" s="0" t="n">
        <f aca="false">BO98-BP98</f>
        <v>0</v>
      </c>
      <c r="BR98" s="0" t="n">
        <f aca="false">BC98*MIN((AT98-BL98),BQ98)</f>
        <v>0</v>
      </c>
      <c r="BS98" s="0" t="n">
        <f aca="false">BC98*MIN((AU98-BM98),BQ98-BR98)</f>
        <v>0</v>
      </c>
      <c r="BT98" s="0" t="n">
        <f aca="false">BC98*MIN((AV98-BN98),BQ98-BR98-BS98)</f>
        <v>0</v>
      </c>
      <c r="BU98" s="0" t="n">
        <f aca="false">BQ98-BR98-BS98-BT98</f>
        <v>0</v>
      </c>
      <c r="BV98" s="0" t="n">
        <f aca="false">MIN(BU98,Q98)</f>
        <v>0</v>
      </c>
      <c r="BW98" s="0" t="n">
        <f aca="false">BU98-BV98</f>
        <v>0</v>
      </c>
      <c r="BX98" s="0" t="n">
        <f aca="false">BF98*MIN((AT98-BL98-BR98),BW98)</f>
        <v>0</v>
      </c>
      <c r="BY98" s="0" t="n">
        <f aca="false">BF98*MIN((AU98-BM98-BS98),BW98-BX98)</f>
        <v>0</v>
      </c>
      <c r="BZ98" s="0" t="n">
        <f aca="false">BF98*MIN((AV98-BN98-BT98),BW98-BX98-BY98)</f>
        <v>0</v>
      </c>
      <c r="CA98" s="0" t="n">
        <f aca="false">BW98-BX98-BY98-BZ98</f>
        <v>0</v>
      </c>
      <c r="CB98" s="0" t="n">
        <f aca="false">MAX(0,AT98+AU98+AV98-BL98-BM98-BN98-BR98-BS98-BT98-BX98-BY98-BZ98-AW98)</f>
        <v>1.06979314296041E-010</v>
      </c>
      <c r="CC98" s="0" t="n">
        <f aca="false">1*MIN((AT98-BL98-BR98-BX98),MIN(CA98,CB98))</f>
        <v>0</v>
      </c>
      <c r="CD98" s="0" t="n">
        <f aca="false">1*MIN((AU98-BM98-BS98-BY98),MIN(CA98,CB98)-CC98)</f>
        <v>0</v>
      </c>
      <c r="CE98" s="0" t="n">
        <f aca="false">1*MIN((AV98-BN98-BT98-BZ98),MIN(CA98,CB98)-CC98-CD98)</f>
        <v>0</v>
      </c>
      <c r="CF98" s="0" t="n">
        <f aca="false">CA98-CC98-CD98-CE98</f>
        <v>0</v>
      </c>
      <c r="CG98" s="0" t="n">
        <f aca="false">IF(C98+D98+E98&gt;Inputs!$B$19,MIN(CF98,MAX(0,Inputs!$B$15-DO97)),0)</f>
        <v>0</v>
      </c>
      <c r="CH98" s="0" t="n">
        <f aca="false">CF98-CG98</f>
        <v>0</v>
      </c>
      <c r="CI98" s="0" t="n">
        <f aca="false">DO97+CG98</f>
        <v>0</v>
      </c>
      <c r="CJ98" s="0" t="n">
        <f aca="false">MIN(MAX(N98-BH98,0),CI98)</f>
        <v>0</v>
      </c>
      <c r="CK98" s="0" t="n">
        <f aca="false">MIN(MAX(O98-BJ98,0),CI98-CJ98)</f>
        <v>0</v>
      </c>
      <c r="CL98" s="0" t="n">
        <f aca="false">MIN(MAX(P98-BP98,0),CI98-CJ98-CK98)</f>
        <v>0</v>
      </c>
      <c r="CM98" s="0" t="n">
        <f aca="false">CJ98+CK98+CL98</f>
        <v>0</v>
      </c>
      <c r="CN98" s="0" t="n">
        <f aca="false">CI98-CM98</f>
        <v>0</v>
      </c>
      <c r="CO98" s="0" t="n">
        <f aca="false">BH98+CJ98</f>
        <v>0</v>
      </c>
      <c r="CP98" s="0" t="n">
        <f aca="false">BJ98+CK98</f>
        <v>0</v>
      </c>
      <c r="CQ98" s="0" t="n">
        <f aca="false">BP98+CL98</f>
        <v>0</v>
      </c>
      <c r="CR98" s="0" t="n">
        <f aca="false">BV98</f>
        <v>0</v>
      </c>
      <c r="CS98" s="0" t="n">
        <f aca="false">AT98-BL98-BR98-BX98-CC98</f>
        <v>0</v>
      </c>
      <c r="CT98" s="0" t="n">
        <f aca="false">AU98-BM98-BS98-BY98-CD98</f>
        <v>0</v>
      </c>
      <c r="CU98" s="0" t="n">
        <f aca="false">AV98-BN98-BT98-BZ98-CE98</f>
        <v>0</v>
      </c>
      <c r="CV98" s="0" t="n">
        <f aca="false">MAX(0,CS98+CT98+CU98-AW98)</f>
        <v>1.06979314296041E-010</v>
      </c>
      <c r="CW98" s="0" t="n">
        <f aca="false">MIN(CU98,CV98)</f>
        <v>0</v>
      </c>
      <c r="CX98" s="0" t="n">
        <f aca="false">MIN(CT98,CV98-CW98)</f>
        <v>0</v>
      </c>
      <c r="CY98" s="0" t="n">
        <f aca="false">MIN(CS98,CV98-CW98-CX98)</f>
        <v>0</v>
      </c>
      <c r="CZ98" s="0" t="n">
        <f aca="false">IF(CS98-CY98&lt;Inputs!$B$19,0,CS98-CY98)</f>
        <v>0</v>
      </c>
      <c r="DA98" s="0" t="n">
        <f aca="false">IF(CT98-CX98&lt;Inputs!$B$19,0,CT98-CX98)</f>
        <v>0</v>
      </c>
      <c r="DB98" s="0" t="n">
        <f aca="false">IF(CU98-CW98&lt;Inputs!$B$19,0,CU98-CW98)</f>
        <v>0</v>
      </c>
      <c r="DC98" s="0" t="n">
        <f aca="false">N98-CO98</f>
        <v>0</v>
      </c>
      <c r="DD98" s="0" t="n">
        <f aca="false">O98-CP98</f>
        <v>0</v>
      </c>
      <c r="DE98" s="0" t="n">
        <f aca="false">P98-CQ98</f>
        <v>0</v>
      </c>
      <c r="DF98" s="0" t="n">
        <f aca="false">Q98-CR98</f>
        <v>0</v>
      </c>
      <c r="DG98" s="0" t="n">
        <f aca="false">IF(CZ98+DA98+DB98&lt;=Inputs!$B$19,1,0)</f>
        <v>1</v>
      </c>
      <c r="DH98" s="0" t="n">
        <f aca="false">DG98*CN98</f>
        <v>0</v>
      </c>
      <c r="DI98" s="0" t="n">
        <f aca="false">DG98*(AS98+DH98)</f>
        <v>0</v>
      </c>
      <c r="DJ98" s="0" t="n">
        <f aca="false">DG98*MIN(DC98,DI98)</f>
        <v>0</v>
      </c>
      <c r="DK98" s="0" t="n">
        <f aca="false">DG98*MIN(DD98,DI98-DJ98)</f>
        <v>0</v>
      </c>
      <c r="DL98" s="0" t="n">
        <f aca="false">DG98*MIN(DE98,DI98-DJ98-DK98)</f>
        <v>0</v>
      </c>
      <c r="DM98" s="0" t="n">
        <f aca="false">DG98*MIN(DF98,DI98-DJ98-DK98-DL98)</f>
        <v>0</v>
      </c>
      <c r="DN98" s="0" t="n">
        <f aca="false">DJ98+DK98+DL98+DM98</f>
        <v>0</v>
      </c>
      <c r="DO98" s="0" t="n">
        <f aca="false">CN98-DH98</f>
        <v>0</v>
      </c>
      <c r="DP98" s="0" t="n">
        <f aca="false">DC98-DJ98</f>
        <v>0</v>
      </c>
      <c r="DQ98" s="0" t="n">
        <f aca="false">DD98-DK98</f>
        <v>0</v>
      </c>
      <c r="DR98" s="0" t="n">
        <f aca="false">DE98-DL98</f>
        <v>0</v>
      </c>
      <c r="DS98" s="0" t="n">
        <f aca="false">DF98-DM98</f>
        <v>0</v>
      </c>
      <c r="DT98" s="0" t="n">
        <f aca="false">CO98+DJ98</f>
        <v>0</v>
      </c>
      <c r="DU98" s="0" t="n">
        <f aca="false">CP98+DK98</f>
        <v>0</v>
      </c>
      <c r="DV98" s="0" t="n">
        <f aca="false">AP98+BL98+BR98+BX98+CC98</f>
        <v>0</v>
      </c>
      <c r="DW98" s="0" t="n">
        <f aca="false">CQ98+DL98</f>
        <v>0</v>
      </c>
      <c r="DX98" s="0" t="n">
        <f aca="false">AQ98+BM98+BS98+BY98+CD98</f>
        <v>0</v>
      </c>
      <c r="DY98" s="0" t="n">
        <f aca="false">CR98+DM98</f>
        <v>0</v>
      </c>
      <c r="DZ98" s="0" t="n">
        <f aca="false">AR98+BN98+BT98+BZ98+CE98</f>
        <v>0</v>
      </c>
      <c r="EA98" s="0" t="n">
        <f aca="false">DI98-DN98</f>
        <v>0</v>
      </c>
      <c r="EB98" s="0" t="n">
        <f aca="false">CH98+EA98</f>
        <v>0</v>
      </c>
      <c r="EC98" s="0" t="n">
        <f aca="false">R98-I98-MAX(-M98,0)-J98-K98-L98</f>
        <v>0</v>
      </c>
      <c r="ED98" s="0" t="n">
        <f aca="false">R98+S98+CM98+DH98-CG98-DT98-DU98-DW98-DY98-DV98-DX98-DZ98-EB98</f>
        <v>0</v>
      </c>
      <c r="EE98" s="0" t="n">
        <f aca="false">IF(AND(EB98&gt;0.000001,DP98+DQ98+DR98+DS98&gt;0.000001),1,0)</f>
        <v>0</v>
      </c>
    </row>
    <row r="99" customFormat="false" ht="15" hidden="false" customHeight="false" outlineLevel="0" collapsed="false">
      <c r="A99" s="0" t="n">
        <f aca="false">ROW()-5</f>
        <v>94</v>
      </c>
      <c r="B99" s="0" t="n">
        <f aca="false">Inputs!$B$11+(Inputs!$B$12-Inputs!$B$11)*(1-EXP(-A99/Inputs!$B$13))+Inputs!$B$8</f>
        <v>0.0327090270918162</v>
      </c>
      <c r="C99" s="0" t="n">
        <f aca="false">CZ98</f>
        <v>0</v>
      </c>
      <c r="D99" s="0" t="n">
        <f aca="false">DA98</f>
        <v>0</v>
      </c>
      <c r="E99" s="0" t="n">
        <f aca="false">DB98</f>
        <v>0</v>
      </c>
      <c r="F99" s="0" t="n">
        <f aca="false">IF(Inputs!$B$22=1,B99+Inputs!$B$23,Inputs!$B$23)/12</f>
        <v>0.00364241892431802</v>
      </c>
      <c r="G99" s="0" t="n">
        <f aca="false">IF(Inputs!$B$27=1,B99+Inputs!$B$28,Inputs!$B$28)/12</f>
        <v>0.00460075225765135</v>
      </c>
      <c r="H99" s="0" t="n">
        <f aca="false">IF(Inputs!$B$32=1,B99+Inputs!$B$33,Inputs!$B$33)/12</f>
        <v>0.00625</v>
      </c>
      <c r="I99" s="0" t="n">
        <f aca="false">Pool!BT99*Inputs!$B$14/12</f>
        <v>0</v>
      </c>
      <c r="J99" s="0" t="n">
        <f aca="false">C99*F99</f>
        <v>0</v>
      </c>
      <c r="K99" s="0" t="n">
        <f aca="false">D99*G99</f>
        <v>0</v>
      </c>
      <c r="L99" s="0" t="n">
        <f aca="false">E99*H99</f>
        <v>0</v>
      </c>
      <c r="M99" s="0" t="n">
        <f aca="false">Inputs!$B$17*(C99*Inputs!$B$22+D99*Inputs!$B$27+E99*Inputs!$B$32)*(B99-Inputs!$B$18)/12</f>
        <v>-0</v>
      </c>
      <c r="N99" s="0" t="n">
        <f aca="false">DP98+I99+MAX(-M99,0)</f>
        <v>0</v>
      </c>
      <c r="O99" s="0" t="n">
        <f aca="false">DQ98+J99</f>
        <v>0</v>
      </c>
      <c r="P99" s="0" t="n">
        <f aca="false">DR98+K99</f>
        <v>0</v>
      </c>
      <c r="Q99" s="0" t="n">
        <f aca="false">DS98+L99</f>
        <v>0</v>
      </c>
      <c r="R99" s="0" t="n">
        <f aca="false">Pool!BV99+MAX(M99,0)</f>
        <v>0</v>
      </c>
      <c r="S99" s="0" t="n">
        <f aca="false">Pool!BW99+Pool!BX99+Pool!BZ99</f>
        <v>0</v>
      </c>
      <c r="T99" s="0" t="n">
        <f aca="false">MAX(T98,BG98)</f>
        <v>1</v>
      </c>
      <c r="U99" s="0" t="n">
        <f aca="false">MIN(C99,S99)</f>
        <v>0</v>
      </c>
      <c r="V99" s="0" t="n">
        <f aca="false">MIN(D99,S99-U99)</f>
        <v>0</v>
      </c>
      <c r="W99" s="0" t="n">
        <f aca="false">MIN(E99,S99-U99-V99)</f>
        <v>0</v>
      </c>
      <c r="X99" s="0" t="n">
        <f aca="false">IF(C99-(0)&gt;Inputs!$B$19,1,0)</f>
        <v>0</v>
      </c>
      <c r="Y99" s="0" t="n">
        <f aca="false">IF(D99-(0)&gt;Inputs!$B$19,1,0)</f>
        <v>0</v>
      </c>
      <c r="Z99" s="0" t="n">
        <f aca="false">IF(E99-(0)&gt;Inputs!$B$19,1,0)</f>
        <v>0</v>
      </c>
      <c r="AA99" s="0" t="n">
        <f aca="false">IF((X99*C99+Y99*D99+Z99*E99)&gt;0,MIN(C99-(0),S99*X99*C99/(X99*C99+Y99*D99+Z99*E99)),0)</f>
        <v>0</v>
      </c>
      <c r="AB99" s="0" t="n">
        <f aca="false">IF((X99*C99+Y99*D99+Z99*E99)&gt;0,MIN(D99-(0),S99*Y99*D99/(X99*C99+Y99*D99+Z99*E99)),0)</f>
        <v>0</v>
      </c>
      <c r="AC99" s="0" t="n">
        <f aca="false">IF((X99*C99+Y99*D99+Z99*E99)&gt;0,MIN(E99-(0),S99*Z99*E99/(X99*C99+Y99*D99+Z99*E99)),0)</f>
        <v>0</v>
      </c>
      <c r="AD99" s="0" t="n">
        <f aca="false">IF(C99-(AA99)&gt;Inputs!$B$19,1,0)</f>
        <v>0</v>
      </c>
      <c r="AE99" s="0" t="n">
        <f aca="false">IF(D99-(AB99)&gt;Inputs!$B$19,1,0)</f>
        <v>0</v>
      </c>
      <c r="AF99" s="0" t="n">
        <f aca="false">IF(E99-(AC99)&gt;Inputs!$B$19,1,0)</f>
        <v>0</v>
      </c>
      <c r="AG99" s="0" t="n">
        <f aca="false">IF((AD99*C99+AE99*D99+AF99*E99)&gt;0,MIN(C99-(AA99),(S99-(AA99+AB99+AC99))*AD99*C99/(AD99*C99+AE99*D99+AF99*E99)),0)</f>
        <v>0</v>
      </c>
      <c r="AH99" s="0" t="n">
        <f aca="false">IF((AD99*C99+AE99*D99+AF99*E99)&gt;0,MIN(D99-(AB99),(S99-(AA99+AB99+AC99))*AE99*D99/(AD99*C99+AE99*D99+AF99*E99)),0)</f>
        <v>0</v>
      </c>
      <c r="AI99" s="0" t="n">
        <f aca="false">IF((AD99*C99+AE99*D99+AF99*E99)&gt;0,MIN(E99-(AC99),(S99-(AA99+AB99+AC99))*AF99*E99/(AD99*C99+AE99*D99+AF99*E99)),0)</f>
        <v>0</v>
      </c>
      <c r="AJ99" s="0" t="n">
        <f aca="false">IF(C99-(AA99+AG99)&gt;Inputs!$B$19,1,0)</f>
        <v>0</v>
      </c>
      <c r="AK99" s="0" t="n">
        <f aca="false">IF(D99-(AB99+AH99)&gt;Inputs!$B$19,1,0)</f>
        <v>0</v>
      </c>
      <c r="AL99" s="0" t="n">
        <f aca="false">IF(E99-(AC99+AI99)&gt;Inputs!$B$19,1,0)</f>
        <v>0</v>
      </c>
      <c r="AM99" s="0" t="n">
        <f aca="false">IF((AJ99*C99+AK99*D99+AL99*E99)&gt;0,MIN(C99-(AA99+AG99),(S99-(AA99+AB99+AC99+AG99+AH99+AI99))*AJ99*C99/(AJ99*C99+AK99*D99+AL99*E99)),0)</f>
        <v>0</v>
      </c>
      <c r="AN99" s="0" t="n">
        <f aca="false">IF((AJ99*C99+AK99*D99+AL99*E99)&gt;0,MIN(D99-(AB99+AH99),(S99-(AA99+AB99+AC99+AG99+AH99+AI99))*AK99*D99/(AJ99*C99+AK99*D99+AL99*E99)),0)</f>
        <v>0</v>
      </c>
      <c r="AO99" s="0" t="n">
        <f aca="false">IF((AJ99*C99+AK99*D99+AL99*E99)&gt;0,MIN(E99-(AC99+AI99),(S99-(AA99+AB99+AC99+AG99+AH99+AI99))*AL99*E99/(AJ99*C99+AK99*D99+AL99*E99)),0)</f>
        <v>0</v>
      </c>
      <c r="AP99" s="0" t="n">
        <f aca="false">IF(T99=1,U99,AA99+AG99+AM99)</f>
        <v>0</v>
      </c>
      <c r="AQ99" s="0" t="n">
        <f aca="false">IF(T99=1,V99,AB99+AH99+AN99)</f>
        <v>0</v>
      </c>
      <c r="AR99" s="0" t="n">
        <f aca="false">IF(T99=1,W99,AC99+AI99+AO99)</f>
        <v>0</v>
      </c>
      <c r="AS99" s="0" t="n">
        <f aca="false">S99-AP99-AQ99-AR99</f>
        <v>0</v>
      </c>
      <c r="AT99" s="0" t="n">
        <f aca="false">C99-AP99</f>
        <v>0</v>
      </c>
      <c r="AU99" s="0" t="n">
        <f aca="false">D99-AQ99</f>
        <v>0</v>
      </c>
      <c r="AV99" s="0" t="n">
        <f aca="false">E99-AR99</f>
        <v>0</v>
      </c>
      <c r="AW99" s="0" t="n">
        <f aca="false">Pool!CB99</f>
        <v>-1.06979314296041E-010</v>
      </c>
      <c r="AX99" s="0" t="n">
        <f aca="false">IF((AT99)&gt;Inputs!$B$19,AW99/(AT99),1000000000)</f>
        <v>1000000000</v>
      </c>
      <c r="AY99" s="0" t="n">
        <f aca="false">IF((J99)&gt;0.000000001,(R99-I99-MAX(-M99,0))/(J99),1000000000)</f>
        <v>1000000000</v>
      </c>
      <c r="AZ99" s="0" t="n">
        <f aca="false">IF(OR(AX99&lt;Inputs!$B$24,AY99&lt;Inputs!$B$25),1,0)</f>
        <v>0</v>
      </c>
      <c r="BA99" s="0" t="n">
        <f aca="false">IF((AT99+AU99)&gt;Inputs!$B$19,AW99/(AT99+AU99),1000000000)</f>
        <v>1000000000</v>
      </c>
      <c r="BB99" s="0" t="n">
        <f aca="false">IF((J99+K99)&gt;0.000000001,(R99-I99-MAX(-M99,0))/(J99+K99),1000000000)</f>
        <v>1000000000</v>
      </c>
      <c r="BC99" s="0" t="n">
        <f aca="false">IF(OR(BA99&lt;Inputs!$B$29,BB99&lt;Inputs!$B$30),1,0)</f>
        <v>0</v>
      </c>
      <c r="BD99" s="0" t="n">
        <f aca="false">IF((AT99+AU99+AV99)&gt;Inputs!$B$19,AW99/(AT99+AU99+AV99),1000000000)</f>
        <v>1000000000</v>
      </c>
      <c r="BE99" s="0" t="n">
        <f aca="false">IF((J99+K99+L99)&gt;0.000000001,(R99-I99-MAX(-M99,0))/(J99+K99+L99),1000000000)</f>
        <v>1000000000</v>
      </c>
      <c r="BF99" s="0" t="n">
        <f aca="false">IF(OR(BD99&lt;Inputs!$B$34,BE99&lt;Inputs!$B$35),1,0)</f>
        <v>0</v>
      </c>
      <c r="BG99" s="0" t="n">
        <f aca="false">MAX(AZ99,BC99,BF99)</f>
        <v>0</v>
      </c>
      <c r="BH99" s="0" t="n">
        <f aca="false">MIN(R99,N99)</f>
        <v>0</v>
      </c>
      <c r="BI99" s="0" t="n">
        <f aca="false">R99-BH99</f>
        <v>0</v>
      </c>
      <c r="BJ99" s="0" t="n">
        <f aca="false">MIN(BI99,O99)</f>
        <v>0</v>
      </c>
      <c r="BK99" s="0" t="n">
        <f aca="false">BI99-BJ99</f>
        <v>0</v>
      </c>
      <c r="BL99" s="0" t="n">
        <f aca="false">AZ99*MIN(AT99,BK99)</f>
        <v>0</v>
      </c>
      <c r="BM99" s="0" t="n">
        <f aca="false">AZ99*MIN(AU99,BK99-BL99)</f>
        <v>0</v>
      </c>
      <c r="BN99" s="0" t="n">
        <f aca="false">AZ99*MIN(AV99,BK99-BL99-BM99)</f>
        <v>0</v>
      </c>
      <c r="BO99" s="0" t="n">
        <f aca="false">BK99-BL99-BM99-BN99</f>
        <v>0</v>
      </c>
      <c r="BP99" s="0" t="n">
        <f aca="false">MIN(BO99,P99)</f>
        <v>0</v>
      </c>
      <c r="BQ99" s="0" t="n">
        <f aca="false">BO99-BP99</f>
        <v>0</v>
      </c>
      <c r="BR99" s="0" t="n">
        <f aca="false">BC99*MIN((AT99-BL99),BQ99)</f>
        <v>0</v>
      </c>
      <c r="BS99" s="0" t="n">
        <f aca="false">BC99*MIN((AU99-BM99),BQ99-BR99)</f>
        <v>0</v>
      </c>
      <c r="BT99" s="0" t="n">
        <f aca="false">BC99*MIN((AV99-BN99),BQ99-BR99-BS99)</f>
        <v>0</v>
      </c>
      <c r="BU99" s="0" t="n">
        <f aca="false">BQ99-BR99-BS99-BT99</f>
        <v>0</v>
      </c>
      <c r="BV99" s="0" t="n">
        <f aca="false">MIN(BU99,Q99)</f>
        <v>0</v>
      </c>
      <c r="BW99" s="0" t="n">
        <f aca="false">BU99-BV99</f>
        <v>0</v>
      </c>
      <c r="BX99" s="0" t="n">
        <f aca="false">BF99*MIN((AT99-BL99-BR99),BW99)</f>
        <v>0</v>
      </c>
      <c r="BY99" s="0" t="n">
        <f aca="false">BF99*MIN((AU99-BM99-BS99),BW99-BX99)</f>
        <v>0</v>
      </c>
      <c r="BZ99" s="0" t="n">
        <f aca="false">BF99*MIN((AV99-BN99-BT99),BW99-BX99-BY99)</f>
        <v>0</v>
      </c>
      <c r="CA99" s="0" t="n">
        <f aca="false">BW99-BX99-BY99-BZ99</f>
        <v>0</v>
      </c>
      <c r="CB99" s="0" t="n">
        <f aca="false">MAX(0,AT99+AU99+AV99-BL99-BM99-BN99-BR99-BS99-BT99-BX99-BY99-BZ99-AW99)</f>
        <v>1.06979314296041E-010</v>
      </c>
      <c r="CC99" s="0" t="n">
        <f aca="false">1*MIN((AT99-BL99-BR99-BX99),MIN(CA99,CB99))</f>
        <v>0</v>
      </c>
      <c r="CD99" s="0" t="n">
        <f aca="false">1*MIN((AU99-BM99-BS99-BY99),MIN(CA99,CB99)-CC99)</f>
        <v>0</v>
      </c>
      <c r="CE99" s="0" t="n">
        <f aca="false">1*MIN((AV99-BN99-BT99-BZ99),MIN(CA99,CB99)-CC99-CD99)</f>
        <v>0</v>
      </c>
      <c r="CF99" s="0" t="n">
        <f aca="false">CA99-CC99-CD99-CE99</f>
        <v>0</v>
      </c>
      <c r="CG99" s="0" t="n">
        <f aca="false">IF(C99+D99+E99&gt;Inputs!$B$19,MIN(CF99,MAX(0,Inputs!$B$15-DO98)),0)</f>
        <v>0</v>
      </c>
      <c r="CH99" s="0" t="n">
        <f aca="false">CF99-CG99</f>
        <v>0</v>
      </c>
      <c r="CI99" s="0" t="n">
        <f aca="false">DO98+CG99</f>
        <v>0</v>
      </c>
      <c r="CJ99" s="0" t="n">
        <f aca="false">MIN(MAX(N99-BH99,0),CI99)</f>
        <v>0</v>
      </c>
      <c r="CK99" s="0" t="n">
        <f aca="false">MIN(MAX(O99-BJ99,0),CI99-CJ99)</f>
        <v>0</v>
      </c>
      <c r="CL99" s="0" t="n">
        <f aca="false">MIN(MAX(P99-BP99,0),CI99-CJ99-CK99)</f>
        <v>0</v>
      </c>
      <c r="CM99" s="0" t="n">
        <f aca="false">CJ99+CK99+CL99</f>
        <v>0</v>
      </c>
      <c r="CN99" s="0" t="n">
        <f aca="false">CI99-CM99</f>
        <v>0</v>
      </c>
      <c r="CO99" s="0" t="n">
        <f aca="false">BH99+CJ99</f>
        <v>0</v>
      </c>
      <c r="CP99" s="0" t="n">
        <f aca="false">BJ99+CK99</f>
        <v>0</v>
      </c>
      <c r="CQ99" s="0" t="n">
        <f aca="false">BP99+CL99</f>
        <v>0</v>
      </c>
      <c r="CR99" s="0" t="n">
        <f aca="false">BV99</f>
        <v>0</v>
      </c>
      <c r="CS99" s="0" t="n">
        <f aca="false">AT99-BL99-BR99-BX99-CC99</f>
        <v>0</v>
      </c>
      <c r="CT99" s="0" t="n">
        <f aca="false">AU99-BM99-BS99-BY99-CD99</f>
        <v>0</v>
      </c>
      <c r="CU99" s="0" t="n">
        <f aca="false">AV99-BN99-BT99-BZ99-CE99</f>
        <v>0</v>
      </c>
      <c r="CV99" s="0" t="n">
        <f aca="false">MAX(0,CS99+CT99+CU99-AW99)</f>
        <v>1.06979314296041E-010</v>
      </c>
      <c r="CW99" s="0" t="n">
        <f aca="false">MIN(CU99,CV99)</f>
        <v>0</v>
      </c>
      <c r="CX99" s="0" t="n">
        <f aca="false">MIN(CT99,CV99-CW99)</f>
        <v>0</v>
      </c>
      <c r="CY99" s="0" t="n">
        <f aca="false">MIN(CS99,CV99-CW99-CX99)</f>
        <v>0</v>
      </c>
      <c r="CZ99" s="0" t="n">
        <f aca="false">IF(CS99-CY99&lt;Inputs!$B$19,0,CS99-CY99)</f>
        <v>0</v>
      </c>
      <c r="DA99" s="0" t="n">
        <f aca="false">IF(CT99-CX99&lt;Inputs!$B$19,0,CT99-CX99)</f>
        <v>0</v>
      </c>
      <c r="DB99" s="0" t="n">
        <f aca="false">IF(CU99-CW99&lt;Inputs!$B$19,0,CU99-CW99)</f>
        <v>0</v>
      </c>
      <c r="DC99" s="0" t="n">
        <f aca="false">N99-CO99</f>
        <v>0</v>
      </c>
      <c r="DD99" s="0" t="n">
        <f aca="false">O99-CP99</f>
        <v>0</v>
      </c>
      <c r="DE99" s="0" t="n">
        <f aca="false">P99-CQ99</f>
        <v>0</v>
      </c>
      <c r="DF99" s="0" t="n">
        <f aca="false">Q99-CR99</f>
        <v>0</v>
      </c>
      <c r="DG99" s="0" t="n">
        <f aca="false">IF(CZ99+DA99+DB99&lt;=Inputs!$B$19,1,0)</f>
        <v>1</v>
      </c>
      <c r="DH99" s="0" t="n">
        <f aca="false">DG99*CN99</f>
        <v>0</v>
      </c>
      <c r="DI99" s="0" t="n">
        <f aca="false">DG99*(AS99+DH99)</f>
        <v>0</v>
      </c>
      <c r="DJ99" s="0" t="n">
        <f aca="false">DG99*MIN(DC99,DI99)</f>
        <v>0</v>
      </c>
      <c r="DK99" s="0" t="n">
        <f aca="false">DG99*MIN(DD99,DI99-DJ99)</f>
        <v>0</v>
      </c>
      <c r="DL99" s="0" t="n">
        <f aca="false">DG99*MIN(DE99,DI99-DJ99-DK99)</f>
        <v>0</v>
      </c>
      <c r="DM99" s="0" t="n">
        <f aca="false">DG99*MIN(DF99,DI99-DJ99-DK99-DL99)</f>
        <v>0</v>
      </c>
      <c r="DN99" s="0" t="n">
        <f aca="false">DJ99+DK99+DL99+DM99</f>
        <v>0</v>
      </c>
      <c r="DO99" s="0" t="n">
        <f aca="false">CN99-DH99</f>
        <v>0</v>
      </c>
      <c r="DP99" s="0" t="n">
        <f aca="false">DC99-DJ99</f>
        <v>0</v>
      </c>
      <c r="DQ99" s="0" t="n">
        <f aca="false">DD99-DK99</f>
        <v>0</v>
      </c>
      <c r="DR99" s="0" t="n">
        <f aca="false">DE99-DL99</f>
        <v>0</v>
      </c>
      <c r="DS99" s="0" t="n">
        <f aca="false">DF99-DM99</f>
        <v>0</v>
      </c>
      <c r="DT99" s="0" t="n">
        <f aca="false">CO99+DJ99</f>
        <v>0</v>
      </c>
      <c r="DU99" s="0" t="n">
        <f aca="false">CP99+DK99</f>
        <v>0</v>
      </c>
      <c r="DV99" s="0" t="n">
        <f aca="false">AP99+BL99+BR99+BX99+CC99</f>
        <v>0</v>
      </c>
      <c r="DW99" s="0" t="n">
        <f aca="false">CQ99+DL99</f>
        <v>0</v>
      </c>
      <c r="DX99" s="0" t="n">
        <f aca="false">AQ99+BM99+BS99+BY99+CD99</f>
        <v>0</v>
      </c>
      <c r="DY99" s="0" t="n">
        <f aca="false">CR99+DM99</f>
        <v>0</v>
      </c>
      <c r="DZ99" s="0" t="n">
        <f aca="false">AR99+BN99+BT99+BZ99+CE99</f>
        <v>0</v>
      </c>
      <c r="EA99" s="0" t="n">
        <f aca="false">DI99-DN99</f>
        <v>0</v>
      </c>
      <c r="EB99" s="0" t="n">
        <f aca="false">CH99+EA99</f>
        <v>0</v>
      </c>
      <c r="EC99" s="0" t="n">
        <f aca="false">R99-I99-MAX(-M99,0)-J99-K99-L99</f>
        <v>0</v>
      </c>
      <c r="ED99" s="0" t="n">
        <f aca="false">R99+S99+CM99+DH99-CG99-DT99-DU99-DW99-DY99-DV99-DX99-DZ99-EB99</f>
        <v>0</v>
      </c>
      <c r="EE99" s="0" t="n">
        <f aca="false">IF(AND(EB99&gt;0.000001,DP99+DQ99+DR99+DS99&gt;0.000001),1,0)</f>
        <v>0</v>
      </c>
    </row>
    <row r="100" customFormat="false" ht="15" hidden="false" customHeight="false" outlineLevel="0" collapsed="false">
      <c r="A100" s="0" t="n">
        <f aca="false">ROW()-5</f>
        <v>95</v>
      </c>
      <c r="B100" s="0" t="n">
        <f aca="false">Inputs!$B$11+(Inputs!$B$12-Inputs!$B$11)*(1-EXP(-A100/Inputs!$B$13))+Inputs!$B$8</f>
        <v>0.0327004965827203</v>
      </c>
      <c r="C100" s="0" t="n">
        <f aca="false">CZ99</f>
        <v>0</v>
      </c>
      <c r="D100" s="0" t="n">
        <f aca="false">DA99</f>
        <v>0</v>
      </c>
      <c r="E100" s="0" t="n">
        <f aca="false">DB99</f>
        <v>0</v>
      </c>
      <c r="F100" s="0" t="n">
        <f aca="false">IF(Inputs!$B$22=1,B100+Inputs!$B$23,Inputs!$B$23)/12</f>
        <v>0.00364170804856002</v>
      </c>
      <c r="G100" s="0" t="n">
        <f aca="false">IF(Inputs!$B$27=1,B100+Inputs!$B$28,Inputs!$B$28)/12</f>
        <v>0.00460004138189336</v>
      </c>
      <c r="H100" s="0" t="n">
        <f aca="false">IF(Inputs!$B$32=1,B100+Inputs!$B$33,Inputs!$B$33)/12</f>
        <v>0.00625</v>
      </c>
      <c r="I100" s="0" t="n">
        <f aca="false">Pool!BT100*Inputs!$B$14/12</f>
        <v>0</v>
      </c>
      <c r="J100" s="0" t="n">
        <f aca="false">C100*F100</f>
        <v>0</v>
      </c>
      <c r="K100" s="0" t="n">
        <f aca="false">D100*G100</f>
        <v>0</v>
      </c>
      <c r="L100" s="0" t="n">
        <f aca="false">E100*H100</f>
        <v>0</v>
      </c>
      <c r="M100" s="0" t="n">
        <f aca="false">Inputs!$B$17*(C100*Inputs!$B$22+D100*Inputs!$B$27+E100*Inputs!$B$32)*(B100-Inputs!$B$18)/12</f>
        <v>-0</v>
      </c>
      <c r="N100" s="0" t="n">
        <f aca="false">DP99+I100+MAX(-M100,0)</f>
        <v>0</v>
      </c>
      <c r="O100" s="0" t="n">
        <f aca="false">DQ99+J100</f>
        <v>0</v>
      </c>
      <c r="P100" s="0" t="n">
        <f aca="false">DR99+K100</f>
        <v>0</v>
      </c>
      <c r="Q100" s="0" t="n">
        <f aca="false">DS99+L100</f>
        <v>0</v>
      </c>
      <c r="R100" s="0" t="n">
        <f aca="false">Pool!BV100+MAX(M100,0)</f>
        <v>0</v>
      </c>
      <c r="S100" s="0" t="n">
        <f aca="false">Pool!BW100+Pool!BX100+Pool!BZ100</f>
        <v>0</v>
      </c>
      <c r="T100" s="0" t="n">
        <f aca="false">MAX(T99,BG99)</f>
        <v>1</v>
      </c>
      <c r="U100" s="0" t="n">
        <f aca="false">MIN(C100,S100)</f>
        <v>0</v>
      </c>
      <c r="V100" s="0" t="n">
        <f aca="false">MIN(D100,S100-U100)</f>
        <v>0</v>
      </c>
      <c r="W100" s="0" t="n">
        <f aca="false">MIN(E100,S100-U100-V100)</f>
        <v>0</v>
      </c>
      <c r="X100" s="0" t="n">
        <f aca="false">IF(C100-(0)&gt;Inputs!$B$19,1,0)</f>
        <v>0</v>
      </c>
      <c r="Y100" s="0" t="n">
        <f aca="false">IF(D100-(0)&gt;Inputs!$B$19,1,0)</f>
        <v>0</v>
      </c>
      <c r="Z100" s="0" t="n">
        <f aca="false">IF(E100-(0)&gt;Inputs!$B$19,1,0)</f>
        <v>0</v>
      </c>
      <c r="AA100" s="0" t="n">
        <f aca="false">IF((X100*C100+Y100*D100+Z100*E100)&gt;0,MIN(C100-(0),S100*X100*C100/(X100*C100+Y100*D100+Z100*E100)),0)</f>
        <v>0</v>
      </c>
      <c r="AB100" s="0" t="n">
        <f aca="false">IF((X100*C100+Y100*D100+Z100*E100)&gt;0,MIN(D100-(0),S100*Y100*D100/(X100*C100+Y100*D100+Z100*E100)),0)</f>
        <v>0</v>
      </c>
      <c r="AC100" s="0" t="n">
        <f aca="false">IF((X100*C100+Y100*D100+Z100*E100)&gt;0,MIN(E100-(0),S100*Z100*E100/(X100*C100+Y100*D100+Z100*E100)),0)</f>
        <v>0</v>
      </c>
      <c r="AD100" s="0" t="n">
        <f aca="false">IF(C100-(AA100)&gt;Inputs!$B$19,1,0)</f>
        <v>0</v>
      </c>
      <c r="AE100" s="0" t="n">
        <f aca="false">IF(D100-(AB100)&gt;Inputs!$B$19,1,0)</f>
        <v>0</v>
      </c>
      <c r="AF100" s="0" t="n">
        <f aca="false">IF(E100-(AC100)&gt;Inputs!$B$19,1,0)</f>
        <v>0</v>
      </c>
      <c r="AG100" s="0" t="n">
        <f aca="false">IF((AD100*C100+AE100*D100+AF100*E100)&gt;0,MIN(C100-(AA100),(S100-(AA100+AB100+AC100))*AD100*C100/(AD100*C100+AE100*D100+AF100*E100)),0)</f>
        <v>0</v>
      </c>
      <c r="AH100" s="0" t="n">
        <f aca="false">IF((AD100*C100+AE100*D100+AF100*E100)&gt;0,MIN(D100-(AB100),(S100-(AA100+AB100+AC100))*AE100*D100/(AD100*C100+AE100*D100+AF100*E100)),0)</f>
        <v>0</v>
      </c>
      <c r="AI100" s="0" t="n">
        <f aca="false">IF((AD100*C100+AE100*D100+AF100*E100)&gt;0,MIN(E100-(AC100),(S100-(AA100+AB100+AC100))*AF100*E100/(AD100*C100+AE100*D100+AF100*E100)),0)</f>
        <v>0</v>
      </c>
      <c r="AJ100" s="0" t="n">
        <f aca="false">IF(C100-(AA100+AG100)&gt;Inputs!$B$19,1,0)</f>
        <v>0</v>
      </c>
      <c r="AK100" s="0" t="n">
        <f aca="false">IF(D100-(AB100+AH100)&gt;Inputs!$B$19,1,0)</f>
        <v>0</v>
      </c>
      <c r="AL100" s="0" t="n">
        <f aca="false">IF(E100-(AC100+AI100)&gt;Inputs!$B$19,1,0)</f>
        <v>0</v>
      </c>
      <c r="AM100" s="0" t="n">
        <f aca="false">IF((AJ100*C100+AK100*D100+AL100*E100)&gt;0,MIN(C100-(AA100+AG100),(S100-(AA100+AB100+AC100+AG100+AH100+AI100))*AJ100*C100/(AJ100*C100+AK100*D100+AL100*E100)),0)</f>
        <v>0</v>
      </c>
      <c r="AN100" s="0" t="n">
        <f aca="false">IF((AJ100*C100+AK100*D100+AL100*E100)&gt;0,MIN(D100-(AB100+AH100),(S100-(AA100+AB100+AC100+AG100+AH100+AI100))*AK100*D100/(AJ100*C100+AK100*D100+AL100*E100)),0)</f>
        <v>0</v>
      </c>
      <c r="AO100" s="0" t="n">
        <f aca="false">IF((AJ100*C100+AK100*D100+AL100*E100)&gt;0,MIN(E100-(AC100+AI100),(S100-(AA100+AB100+AC100+AG100+AH100+AI100))*AL100*E100/(AJ100*C100+AK100*D100+AL100*E100)),0)</f>
        <v>0</v>
      </c>
      <c r="AP100" s="0" t="n">
        <f aca="false">IF(T100=1,U100,AA100+AG100+AM100)</f>
        <v>0</v>
      </c>
      <c r="AQ100" s="0" t="n">
        <f aca="false">IF(T100=1,V100,AB100+AH100+AN100)</f>
        <v>0</v>
      </c>
      <c r="AR100" s="0" t="n">
        <f aca="false">IF(T100=1,W100,AC100+AI100+AO100)</f>
        <v>0</v>
      </c>
      <c r="AS100" s="0" t="n">
        <f aca="false">S100-AP100-AQ100-AR100</f>
        <v>0</v>
      </c>
      <c r="AT100" s="0" t="n">
        <f aca="false">C100-AP100</f>
        <v>0</v>
      </c>
      <c r="AU100" s="0" t="n">
        <f aca="false">D100-AQ100</f>
        <v>0</v>
      </c>
      <c r="AV100" s="0" t="n">
        <f aca="false">E100-AR100</f>
        <v>0</v>
      </c>
      <c r="AW100" s="0" t="n">
        <f aca="false">Pool!CB100</f>
        <v>-1.06979314296041E-010</v>
      </c>
      <c r="AX100" s="0" t="n">
        <f aca="false">IF((AT100)&gt;Inputs!$B$19,AW100/(AT100),1000000000)</f>
        <v>1000000000</v>
      </c>
      <c r="AY100" s="0" t="n">
        <f aca="false">IF((J100)&gt;0.000000001,(R100-I100-MAX(-M100,0))/(J100),1000000000)</f>
        <v>1000000000</v>
      </c>
      <c r="AZ100" s="0" t="n">
        <f aca="false">IF(OR(AX100&lt;Inputs!$B$24,AY100&lt;Inputs!$B$25),1,0)</f>
        <v>0</v>
      </c>
      <c r="BA100" s="0" t="n">
        <f aca="false">IF((AT100+AU100)&gt;Inputs!$B$19,AW100/(AT100+AU100),1000000000)</f>
        <v>1000000000</v>
      </c>
      <c r="BB100" s="0" t="n">
        <f aca="false">IF((J100+K100)&gt;0.000000001,(R100-I100-MAX(-M100,0))/(J100+K100),1000000000)</f>
        <v>1000000000</v>
      </c>
      <c r="BC100" s="0" t="n">
        <f aca="false">IF(OR(BA100&lt;Inputs!$B$29,BB100&lt;Inputs!$B$30),1,0)</f>
        <v>0</v>
      </c>
      <c r="BD100" s="0" t="n">
        <f aca="false">IF((AT100+AU100+AV100)&gt;Inputs!$B$19,AW100/(AT100+AU100+AV100),1000000000)</f>
        <v>1000000000</v>
      </c>
      <c r="BE100" s="0" t="n">
        <f aca="false">IF((J100+K100+L100)&gt;0.000000001,(R100-I100-MAX(-M100,0))/(J100+K100+L100),1000000000)</f>
        <v>1000000000</v>
      </c>
      <c r="BF100" s="0" t="n">
        <f aca="false">IF(OR(BD100&lt;Inputs!$B$34,BE100&lt;Inputs!$B$35),1,0)</f>
        <v>0</v>
      </c>
      <c r="BG100" s="0" t="n">
        <f aca="false">MAX(AZ100,BC100,BF100)</f>
        <v>0</v>
      </c>
      <c r="BH100" s="0" t="n">
        <f aca="false">MIN(R100,N100)</f>
        <v>0</v>
      </c>
      <c r="BI100" s="0" t="n">
        <f aca="false">R100-BH100</f>
        <v>0</v>
      </c>
      <c r="BJ100" s="0" t="n">
        <f aca="false">MIN(BI100,O100)</f>
        <v>0</v>
      </c>
      <c r="BK100" s="0" t="n">
        <f aca="false">BI100-BJ100</f>
        <v>0</v>
      </c>
      <c r="BL100" s="0" t="n">
        <f aca="false">AZ100*MIN(AT100,BK100)</f>
        <v>0</v>
      </c>
      <c r="BM100" s="0" t="n">
        <f aca="false">AZ100*MIN(AU100,BK100-BL100)</f>
        <v>0</v>
      </c>
      <c r="BN100" s="0" t="n">
        <f aca="false">AZ100*MIN(AV100,BK100-BL100-BM100)</f>
        <v>0</v>
      </c>
      <c r="BO100" s="0" t="n">
        <f aca="false">BK100-BL100-BM100-BN100</f>
        <v>0</v>
      </c>
      <c r="BP100" s="0" t="n">
        <f aca="false">MIN(BO100,P100)</f>
        <v>0</v>
      </c>
      <c r="BQ100" s="0" t="n">
        <f aca="false">BO100-BP100</f>
        <v>0</v>
      </c>
      <c r="BR100" s="0" t="n">
        <f aca="false">BC100*MIN((AT100-BL100),BQ100)</f>
        <v>0</v>
      </c>
      <c r="BS100" s="0" t="n">
        <f aca="false">BC100*MIN((AU100-BM100),BQ100-BR100)</f>
        <v>0</v>
      </c>
      <c r="BT100" s="0" t="n">
        <f aca="false">BC100*MIN((AV100-BN100),BQ100-BR100-BS100)</f>
        <v>0</v>
      </c>
      <c r="BU100" s="0" t="n">
        <f aca="false">BQ100-BR100-BS100-BT100</f>
        <v>0</v>
      </c>
      <c r="BV100" s="0" t="n">
        <f aca="false">MIN(BU100,Q100)</f>
        <v>0</v>
      </c>
      <c r="BW100" s="0" t="n">
        <f aca="false">BU100-BV100</f>
        <v>0</v>
      </c>
      <c r="BX100" s="0" t="n">
        <f aca="false">BF100*MIN((AT100-BL100-BR100),BW100)</f>
        <v>0</v>
      </c>
      <c r="BY100" s="0" t="n">
        <f aca="false">BF100*MIN((AU100-BM100-BS100),BW100-BX100)</f>
        <v>0</v>
      </c>
      <c r="BZ100" s="0" t="n">
        <f aca="false">BF100*MIN((AV100-BN100-BT100),BW100-BX100-BY100)</f>
        <v>0</v>
      </c>
      <c r="CA100" s="0" t="n">
        <f aca="false">BW100-BX100-BY100-BZ100</f>
        <v>0</v>
      </c>
      <c r="CB100" s="0" t="n">
        <f aca="false">MAX(0,AT100+AU100+AV100-BL100-BM100-BN100-BR100-BS100-BT100-BX100-BY100-BZ100-AW100)</f>
        <v>1.06979314296041E-010</v>
      </c>
      <c r="CC100" s="0" t="n">
        <f aca="false">1*MIN((AT100-BL100-BR100-BX100),MIN(CA100,CB100))</f>
        <v>0</v>
      </c>
      <c r="CD100" s="0" t="n">
        <f aca="false">1*MIN((AU100-BM100-BS100-BY100),MIN(CA100,CB100)-CC100)</f>
        <v>0</v>
      </c>
      <c r="CE100" s="0" t="n">
        <f aca="false">1*MIN((AV100-BN100-BT100-BZ100),MIN(CA100,CB100)-CC100-CD100)</f>
        <v>0</v>
      </c>
      <c r="CF100" s="0" t="n">
        <f aca="false">CA100-CC100-CD100-CE100</f>
        <v>0</v>
      </c>
      <c r="CG100" s="0" t="n">
        <f aca="false">IF(C100+D100+E100&gt;Inputs!$B$19,MIN(CF100,MAX(0,Inputs!$B$15-DO99)),0)</f>
        <v>0</v>
      </c>
      <c r="CH100" s="0" t="n">
        <f aca="false">CF100-CG100</f>
        <v>0</v>
      </c>
      <c r="CI100" s="0" t="n">
        <f aca="false">DO99+CG100</f>
        <v>0</v>
      </c>
      <c r="CJ100" s="0" t="n">
        <f aca="false">MIN(MAX(N100-BH100,0),CI100)</f>
        <v>0</v>
      </c>
      <c r="CK100" s="0" t="n">
        <f aca="false">MIN(MAX(O100-BJ100,0),CI100-CJ100)</f>
        <v>0</v>
      </c>
      <c r="CL100" s="0" t="n">
        <f aca="false">MIN(MAX(P100-BP100,0),CI100-CJ100-CK100)</f>
        <v>0</v>
      </c>
      <c r="CM100" s="0" t="n">
        <f aca="false">CJ100+CK100+CL100</f>
        <v>0</v>
      </c>
      <c r="CN100" s="0" t="n">
        <f aca="false">CI100-CM100</f>
        <v>0</v>
      </c>
      <c r="CO100" s="0" t="n">
        <f aca="false">BH100+CJ100</f>
        <v>0</v>
      </c>
      <c r="CP100" s="0" t="n">
        <f aca="false">BJ100+CK100</f>
        <v>0</v>
      </c>
      <c r="CQ100" s="0" t="n">
        <f aca="false">BP100+CL100</f>
        <v>0</v>
      </c>
      <c r="CR100" s="0" t="n">
        <f aca="false">BV100</f>
        <v>0</v>
      </c>
      <c r="CS100" s="0" t="n">
        <f aca="false">AT100-BL100-BR100-BX100-CC100</f>
        <v>0</v>
      </c>
      <c r="CT100" s="0" t="n">
        <f aca="false">AU100-BM100-BS100-BY100-CD100</f>
        <v>0</v>
      </c>
      <c r="CU100" s="0" t="n">
        <f aca="false">AV100-BN100-BT100-BZ100-CE100</f>
        <v>0</v>
      </c>
      <c r="CV100" s="0" t="n">
        <f aca="false">MAX(0,CS100+CT100+CU100-AW100)</f>
        <v>1.06979314296041E-010</v>
      </c>
      <c r="CW100" s="0" t="n">
        <f aca="false">MIN(CU100,CV100)</f>
        <v>0</v>
      </c>
      <c r="CX100" s="0" t="n">
        <f aca="false">MIN(CT100,CV100-CW100)</f>
        <v>0</v>
      </c>
      <c r="CY100" s="0" t="n">
        <f aca="false">MIN(CS100,CV100-CW100-CX100)</f>
        <v>0</v>
      </c>
      <c r="CZ100" s="0" t="n">
        <f aca="false">IF(CS100-CY100&lt;Inputs!$B$19,0,CS100-CY100)</f>
        <v>0</v>
      </c>
      <c r="DA100" s="0" t="n">
        <f aca="false">IF(CT100-CX100&lt;Inputs!$B$19,0,CT100-CX100)</f>
        <v>0</v>
      </c>
      <c r="DB100" s="0" t="n">
        <f aca="false">IF(CU100-CW100&lt;Inputs!$B$19,0,CU100-CW100)</f>
        <v>0</v>
      </c>
      <c r="DC100" s="0" t="n">
        <f aca="false">N100-CO100</f>
        <v>0</v>
      </c>
      <c r="DD100" s="0" t="n">
        <f aca="false">O100-CP100</f>
        <v>0</v>
      </c>
      <c r="DE100" s="0" t="n">
        <f aca="false">P100-CQ100</f>
        <v>0</v>
      </c>
      <c r="DF100" s="0" t="n">
        <f aca="false">Q100-CR100</f>
        <v>0</v>
      </c>
      <c r="DG100" s="0" t="n">
        <f aca="false">IF(CZ100+DA100+DB100&lt;=Inputs!$B$19,1,0)</f>
        <v>1</v>
      </c>
      <c r="DH100" s="0" t="n">
        <f aca="false">DG100*CN100</f>
        <v>0</v>
      </c>
      <c r="DI100" s="0" t="n">
        <f aca="false">DG100*(AS100+DH100)</f>
        <v>0</v>
      </c>
      <c r="DJ100" s="0" t="n">
        <f aca="false">DG100*MIN(DC100,DI100)</f>
        <v>0</v>
      </c>
      <c r="DK100" s="0" t="n">
        <f aca="false">DG100*MIN(DD100,DI100-DJ100)</f>
        <v>0</v>
      </c>
      <c r="DL100" s="0" t="n">
        <f aca="false">DG100*MIN(DE100,DI100-DJ100-DK100)</f>
        <v>0</v>
      </c>
      <c r="DM100" s="0" t="n">
        <f aca="false">DG100*MIN(DF100,DI100-DJ100-DK100-DL100)</f>
        <v>0</v>
      </c>
      <c r="DN100" s="0" t="n">
        <f aca="false">DJ100+DK100+DL100+DM100</f>
        <v>0</v>
      </c>
      <c r="DO100" s="0" t="n">
        <f aca="false">CN100-DH100</f>
        <v>0</v>
      </c>
      <c r="DP100" s="0" t="n">
        <f aca="false">DC100-DJ100</f>
        <v>0</v>
      </c>
      <c r="DQ100" s="0" t="n">
        <f aca="false">DD100-DK100</f>
        <v>0</v>
      </c>
      <c r="DR100" s="0" t="n">
        <f aca="false">DE100-DL100</f>
        <v>0</v>
      </c>
      <c r="DS100" s="0" t="n">
        <f aca="false">DF100-DM100</f>
        <v>0</v>
      </c>
      <c r="DT100" s="0" t="n">
        <f aca="false">CO100+DJ100</f>
        <v>0</v>
      </c>
      <c r="DU100" s="0" t="n">
        <f aca="false">CP100+DK100</f>
        <v>0</v>
      </c>
      <c r="DV100" s="0" t="n">
        <f aca="false">AP100+BL100+BR100+BX100+CC100</f>
        <v>0</v>
      </c>
      <c r="DW100" s="0" t="n">
        <f aca="false">CQ100+DL100</f>
        <v>0</v>
      </c>
      <c r="DX100" s="0" t="n">
        <f aca="false">AQ100+BM100+BS100+BY100+CD100</f>
        <v>0</v>
      </c>
      <c r="DY100" s="0" t="n">
        <f aca="false">CR100+DM100</f>
        <v>0</v>
      </c>
      <c r="DZ100" s="0" t="n">
        <f aca="false">AR100+BN100+BT100+BZ100+CE100</f>
        <v>0</v>
      </c>
      <c r="EA100" s="0" t="n">
        <f aca="false">DI100-DN100</f>
        <v>0</v>
      </c>
      <c r="EB100" s="0" t="n">
        <f aca="false">CH100+EA100</f>
        <v>0</v>
      </c>
      <c r="EC100" s="0" t="n">
        <f aca="false">R100-I100-MAX(-M100,0)-J100-K100-L100</f>
        <v>0</v>
      </c>
      <c r="ED100" s="0" t="n">
        <f aca="false">R100+S100+CM100+DH100-CG100-DT100-DU100-DW100-DY100-DV100-DX100-DZ100-EB100</f>
        <v>0</v>
      </c>
      <c r="EE100" s="0" t="n">
        <f aca="false">IF(AND(EB100&gt;0.000001,DP100+DQ100+DR100+DS100&gt;0.000001),1,0)</f>
        <v>0</v>
      </c>
    </row>
    <row r="101" customFormat="false" ht="15" hidden="false" customHeight="false" outlineLevel="0" collapsed="false">
      <c r="A101" s="0" t="n">
        <f aca="false">ROW()-5</f>
        <v>96</v>
      </c>
      <c r="B101" s="0" t="n">
        <f aca="false">Inputs!$B$11+(Inputs!$B$12-Inputs!$B$11)*(1-EXP(-A101/Inputs!$B$13))+Inputs!$B$8</f>
        <v>0.0326923142083317</v>
      </c>
      <c r="C101" s="0" t="n">
        <f aca="false">CZ100</f>
        <v>0</v>
      </c>
      <c r="D101" s="0" t="n">
        <f aca="false">DA100</f>
        <v>0</v>
      </c>
      <c r="E101" s="0" t="n">
        <f aca="false">DB100</f>
        <v>0</v>
      </c>
      <c r="F101" s="0" t="n">
        <f aca="false">IF(Inputs!$B$22=1,B101+Inputs!$B$23,Inputs!$B$23)/12</f>
        <v>0.00364102618402764</v>
      </c>
      <c r="G101" s="0" t="n">
        <f aca="false">IF(Inputs!$B$27=1,B101+Inputs!$B$28,Inputs!$B$28)/12</f>
        <v>0.00459935951736098</v>
      </c>
      <c r="H101" s="0" t="n">
        <f aca="false">IF(Inputs!$B$32=1,B101+Inputs!$B$33,Inputs!$B$33)/12</f>
        <v>0.00625</v>
      </c>
      <c r="I101" s="0" t="n">
        <f aca="false">Pool!BT101*Inputs!$B$14/12</f>
        <v>0</v>
      </c>
      <c r="J101" s="0" t="n">
        <f aca="false">C101*F101</f>
        <v>0</v>
      </c>
      <c r="K101" s="0" t="n">
        <f aca="false">D101*G101</f>
        <v>0</v>
      </c>
      <c r="L101" s="0" t="n">
        <f aca="false">E101*H101</f>
        <v>0</v>
      </c>
      <c r="M101" s="0" t="n">
        <f aca="false">Inputs!$B$17*(C101*Inputs!$B$22+D101*Inputs!$B$27+E101*Inputs!$B$32)*(B101-Inputs!$B$18)/12</f>
        <v>-0</v>
      </c>
      <c r="N101" s="0" t="n">
        <f aca="false">DP100+I101+MAX(-M101,0)</f>
        <v>0</v>
      </c>
      <c r="O101" s="0" t="n">
        <f aca="false">DQ100+J101</f>
        <v>0</v>
      </c>
      <c r="P101" s="0" t="n">
        <f aca="false">DR100+K101</f>
        <v>0</v>
      </c>
      <c r="Q101" s="0" t="n">
        <f aca="false">DS100+L101</f>
        <v>0</v>
      </c>
      <c r="R101" s="0" t="n">
        <f aca="false">Pool!BV101+MAX(M101,0)</f>
        <v>0</v>
      </c>
      <c r="S101" s="0" t="n">
        <f aca="false">Pool!BW101+Pool!BX101+Pool!BZ101</f>
        <v>0</v>
      </c>
      <c r="T101" s="0" t="n">
        <f aca="false">MAX(T100,BG100)</f>
        <v>1</v>
      </c>
      <c r="U101" s="0" t="n">
        <f aca="false">MIN(C101,S101)</f>
        <v>0</v>
      </c>
      <c r="V101" s="0" t="n">
        <f aca="false">MIN(D101,S101-U101)</f>
        <v>0</v>
      </c>
      <c r="W101" s="0" t="n">
        <f aca="false">MIN(E101,S101-U101-V101)</f>
        <v>0</v>
      </c>
      <c r="X101" s="0" t="n">
        <f aca="false">IF(C101-(0)&gt;Inputs!$B$19,1,0)</f>
        <v>0</v>
      </c>
      <c r="Y101" s="0" t="n">
        <f aca="false">IF(D101-(0)&gt;Inputs!$B$19,1,0)</f>
        <v>0</v>
      </c>
      <c r="Z101" s="0" t="n">
        <f aca="false">IF(E101-(0)&gt;Inputs!$B$19,1,0)</f>
        <v>0</v>
      </c>
      <c r="AA101" s="0" t="n">
        <f aca="false">IF((X101*C101+Y101*D101+Z101*E101)&gt;0,MIN(C101-(0),S101*X101*C101/(X101*C101+Y101*D101+Z101*E101)),0)</f>
        <v>0</v>
      </c>
      <c r="AB101" s="0" t="n">
        <f aca="false">IF((X101*C101+Y101*D101+Z101*E101)&gt;0,MIN(D101-(0),S101*Y101*D101/(X101*C101+Y101*D101+Z101*E101)),0)</f>
        <v>0</v>
      </c>
      <c r="AC101" s="0" t="n">
        <f aca="false">IF((X101*C101+Y101*D101+Z101*E101)&gt;0,MIN(E101-(0),S101*Z101*E101/(X101*C101+Y101*D101+Z101*E101)),0)</f>
        <v>0</v>
      </c>
      <c r="AD101" s="0" t="n">
        <f aca="false">IF(C101-(AA101)&gt;Inputs!$B$19,1,0)</f>
        <v>0</v>
      </c>
      <c r="AE101" s="0" t="n">
        <f aca="false">IF(D101-(AB101)&gt;Inputs!$B$19,1,0)</f>
        <v>0</v>
      </c>
      <c r="AF101" s="0" t="n">
        <f aca="false">IF(E101-(AC101)&gt;Inputs!$B$19,1,0)</f>
        <v>0</v>
      </c>
      <c r="AG101" s="0" t="n">
        <f aca="false">IF((AD101*C101+AE101*D101+AF101*E101)&gt;0,MIN(C101-(AA101),(S101-(AA101+AB101+AC101))*AD101*C101/(AD101*C101+AE101*D101+AF101*E101)),0)</f>
        <v>0</v>
      </c>
      <c r="AH101" s="0" t="n">
        <f aca="false">IF((AD101*C101+AE101*D101+AF101*E101)&gt;0,MIN(D101-(AB101),(S101-(AA101+AB101+AC101))*AE101*D101/(AD101*C101+AE101*D101+AF101*E101)),0)</f>
        <v>0</v>
      </c>
      <c r="AI101" s="0" t="n">
        <f aca="false">IF((AD101*C101+AE101*D101+AF101*E101)&gt;0,MIN(E101-(AC101),(S101-(AA101+AB101+AC101))*AF101*E101/(AD101*C101+AE101*D101+AF101*E101)),0)</f>
        <v>0</v>
      </c>
      <c r="AJ101" s="0" t="n">
        <f aca="false">IF(C101-(AA101+AG101)&gt;Inputs!$B$19,1,0)</f>
        <v>0</v>
      </c>
      <c r="AK101" s="0" t="n">
        <f aca="false">IF(D101-(AB101+AH101)&gt;Inputs!$B$19,1,0)</f>
        <v>0</v>
      </c>
      <c r="AL101" s="0" t="n">
        <f aca="false">IF(E101-(AC101+AI101)&gt;Inputs!$B$19,1,0)</f>
        <v>0</v>
      </c>
      <c r="AM101" s="0" t="n">
        <f aca="false">IF((AJ101*C101+AK101*D101+AL101*E101)&gt;0,MIN(C101-(AA101+AG101),(S101-(AA101+AB101+AC101+AG101+AH101+AI101))*AJ101*C101/(AJ101*C101+AK101*D101+AL101*E101)),0)</f>
        <v>0</v>
      </c>
      <c r="AN101" s="0" t="n">
        <f aca="false">IF((AJ101*C101+AK101*D101+AL101*E101)&gt;0,MIN(D101-(AB101+AH101),(S101-(AA101+AB101+AC101+AG101+AH101+AI101))*AK101*D101/(AJ101*C101+AK101*D101+AL101*E101)),0)</f>
        <v>0</v>
      </c>
      <c r="AO101" s="0" t="n">
        <f aca="false">IF((AJ101*C101+AK101*D101+AL101*E101)&gt;0,MIN(E101-(AC101+AI101),(S101-(AA101+AB101+AC101+AG101+AH101+AI101))*AL101*E101/(AJ101*C101+AK101*D101+AL101*E101)),0)</f>
        <v>0</v>
      </c>
      <c r="AP101" s="0" t="n">
        <f aca="false">IF(T101=1,U101,AA101+AG101+AM101)</f>
        <v>0</v>
      </c>
      <c r="AQ101" s="0" t="n">
        <f aca="false">IF(T101=1,V101,AB101+AH101+AN101)</f>
        <v>0</v>
      </c>
      <c r="AR101" s="0" t="n">
        <f aca="false">IF(T101=1,W101,AC101+AI101+AO101)</f>
        <v>0</v>
      </c>
      <c r="AS101" s="0" t="n">
        <f aca="false">S101-AP101-AQ101-AR101</f>
        <v>0</v>
      </c>
      <c r="AT101" s="0" t="n">
        <f aca="false">C101-AP101</f>
        <v>0</v>
      </c>
      <c r="AU101" s="0" t="n">
        <f aca="false">D101-AQ101</f>
        <v>0</v>
      </c>
      <c r="AV101" s="0" t="n">
        <f aca="false">E101-AR101</f>
        <v>0</v>
      </c>
      <c r="AW101" s="0" t="n">
        <f aca="false">Pool!CB101</f>
        <v>-1.06979314296041E-010</v>
      </c>
      <c r="AX101" s="0" t="n">
        <f aca="false">IF((AT101)&gt;Inputs!$B$19,AW101/(AT101),1000000000)</f>
        <v>1000000000</v>
      </c>
      <c r="AY101" s="0" t="n">
        <f aca="false">IF((J101)&gt;0.000000001,(R101-I101-MAX(-M101,0))/(J101),1000000000)</f>
        <v>1000000000</v>
      </c>
      <c r="AZ101" s="0" t="n">
        <f aca="false">IF(OR(AX101&lt;Inputs!$B$24,AY101&lt;Inputs!$B$25),1,0)</f>
        <v>0</v>
      </c>
      <c r="BA101" s="0" t="n">
        <f aca="false">IF((AT101+AU101)&gt;Inputs!$B$19,AW101/(AT101+AU101),1000000000)</f>
        <v>1000000000</v>
      </c>
      <c r="BB101" s="0" t="n">
        <f aca="false">IF((J101+K101)&gt;0.000000001,(R101-I101-MAX(-M101,0))/(J101+K101),1000000000)</f>
        <v>1000000000</v>
      </c>
      <c r="BC101" s="0" t="n">
        <f aca="false">IF(OR(BA101&lt;Inputs!$B$29,BB101&lt;Inputs!$B$30),1,0)</f>
        <v>0</v>
      </c>
      <c r="BD101" s="0" t="n">
        <f aca="false">IF((AT101+AU101+AV101)&gt;Inputs!$B$19,AW101/(AT101+AU101+AV101),1000000000)</f>
        <v>1000000000</v>
      </c>
      <c r="BE101" s="0" t="n">
        <f aca="false">IF((J101+K101+L101)&gt;0.000000001,(R101-I101-MAX(-M101,0))/(J101+K101+L101),1000000000)</f>
        <v>1000000000</v>
      </c>
      <c r="BF101" s="0" t="n">
        <f aca="false">IF(OR(BD101&lt;Inputs!$B$34,BE101&lt;Inputs!$B$35),1,0)</f>
        <v>0</v>
      </c>
      <c r="BG101" s="0" t="n">
        <f aca="false">MAX(AZ101,BC101,BF101)</f>
        <v>0</v>
      </c>
      <c r="BH101" s="0" t="n">
        <f aca="false">MIN(R101,N101)</f>
        <v>0</v>
      </c>
      <c r="BI101" s="0" t="n">
        <f aca="false">R101-BH101</f>
        <v>0</v>
      </c>
      <c r="BJ101" s="0" t="n">
        <f aca="false">MIN(BI101,O101)</f>
        <v>0</v>
      </c>
      <c r="BK101" s="0" t="n">
        <f aca="false">BI101-BJ101</f>
        <v>0</v>
      </c>
      <c r="BL101" s="0" t="n">
        <f aca="false">AZ101*MIN(AT101,BK101)</f>
        <v>0</v>
      </c>
      <c r="BM101" s="0" t="n">
        <f aca="false">AZ101*MIN(AU101,BK101-BL101)</f>
        <v>0</v>
      </c>
      <c r="BN101" s="0" t="n">
        <f aca="false">AZ101*MIN(AV101,BK101-BL101-BM101)</f>
        <v>0</v>
      </c>
      <c r="BO101" s="0" t="n">
        <f aca="false">BK101-BL101-BM101-BN101</f>
        <v>0</v>
      </c>
      <c r="BP101" s="0" t="n">
        <f aca="false">MIN(BO101,P101)</f>
        <v>0</v>
      </c>
      <c r="BQ101" s="0" t="n">
        <f aca="false">BO101-BP101</f>
        <v>0</v>
      </c>
      <c r="BR101" s="0" t="n">
        <f aca="false">BC101*MIN((AT101-BL101),BQ101)</f>
        <v>0</v>
      </c>
      <c r="BS101" s="0" t="n">
        <f aca="false">BC101*MIN((AU101-BM101),BQ101-BR101)</f>
        <v>0</v>
      </c>
      <c r="BT101" s="0" t="n">
        <f aca="false">BC101*MIN((AV101-BN101),BQ101-BR101-BS101)</f>
        <v>0</v>
      </c>
      <c r="BU101" s="0" t="n">
        <f aca="false">BQ101-BR101-BS101-BT101</f>
        <v>0</v>
      </c>
      <c r="BV101" s="0" t="n">
        <f aca="false">MIN(BU101,Q101)</f>
        <v>0</v>
      </c>
      <c r="BW101" s="0" t="n">
        <f aca="false">BU101-BV101</f>
        <v>0</v>
      </c>
      <c r="BX101" s="0" t="n">
        <f aca="false">BF101*MIN((AT101-BL101-BR101),BW101)</f>
        <v>0</v>
      </c>
      <c r="BY101" s="0" t="n">
        <f aca="false">BF101*MIN((AU101-BM101-BS101),BW101-BX101)</f>
        <v>0</v>
      </c>
      <c r="BZ101" s="0" t="n">
        <f aca="false">BF101*MIN((AV101-BN101-BT101),BW101-BX101-BY101)</f>
        <v>0</v>
      </c>
      <c r="CA101" s="0" t="n">
        <f aca="false">BW101-BX101-BY101-BZ101</f>
        <v>0</v>
      </c>
      <c r="CB101" s="0" t="n">
        <f aca="false">MAX(0,AT101+AU101+AV101-BL101-BM101-BN101-BR101-BS101-BT101-BX101-BY101-BZ101-AW101)</f>
        <v>1.06979314296041E-010</v>
      </c>
      <c r="CC101" s="0" t="n">
        <f aca="false">1*MIN((AT101-BL101-BR101-BX101),MIN(CA101,CB101))</f>
        <v>0</v>
      </c>
      <c r="CD101" s="0" t="n">
        <f aca="false">1*MIN((AU101-BM101-BS101-BY101),MIN(CA101,CB101)-CC101)</f>
        <v>0</v>
      </c>
      <c r="CE101" s="0" t="n">
        <f aca="false">1*MIN((AV101-BN101-BT101-BZ101),MIN(CA101,CB101)-CC101-CD101)</f>
        <v>0</v>
      </c>
      <c r="CF101" s="0" t="n">
        <f aca="false">CA101-CC101-CD101-CE101</f>
        <v>0</v>
      </c>
      <c r="CG101" s="0" t="n">
        <f aca="false">IF(C101+D101+E101&gt;Inputs!$B$19,MIN(CF101,MAX(0,Inputs!$B$15-DO100)),0)</f>
        <v>0</v>
      </c>
      <c r="CH101" s="0" t="n">
        <f aca="false">CF101-CG101</f>
        <v>0</v>
      </c>
      <c r="CI101" s="0" t="n">
        <f aca="false">DO100+CG101</f>
        <v>0</v>
      </c>
      <c r="CJ101" s="0" t="n">
        <f aca="false">MIN(MAX(N101-BH101,0),CI101)</f>
        <v>0</v>
      </c>
      <c r="CK101" s="0" t="n">
        <f aca="false">MIN(MAX(O101-BJ101,0),CI101-CJ101)</f>
        <v>0</v>
      </c>
      <c r="CL101" s="0" t="n">
        <f aca="false">MIN(MAX(P101-BP101,0),CI101-CJ101-CK101)</f>
        <v>0</v>
      </c>
      <c r="CM101" s="0" t="n">
        <f aca="false">CJ101+CK101+CL101</f>
        <v>0</v>
      </c>
      <c r="CN101" s="0" t="n">
        <f aca="false">CI101-CM101</f>
        <v>0</v>
      </c>
      <c r="CO101" s="0" t="n">
        <f aca="false">BH101+CJ101</f>
        <v>0</v>
      </c>
      <c r="CP101" s="0" t="n">
        <f aca="false">BJ101+CK101</f>
        <v>0</v>
      </c>
      <c r="CQ101" s="0" t="n">
        <f aca="false">BP101+CL101</f>
        <v>0</v>
      </c>
      <c r="CR101" s="0" t="n">
        <f aca="false">BV101</f>
        <v>0</v>
      </c>
      <c r="CS101" s="0" t="n">
        <f aca="false">AT101-BL101-BR101-BX101-CC101</f>
        <v>0</v>
      </c>
      <c r="CT101" s="0" t="n">
        <f aca="false">AU101-BM101-BS101-BY101-CD101</f>
        <v>0</v>
      </c>
      <c r="CU101" s="0" t="n">
        <f aca="false">AV101-BN101-BT101-BZ101-CE101</f>
        <v>0</v>
      </c>
      <c r="CV101" s="0" t="n">
        <f aca="false">MAX(0,CS101+CT101+CU101-AW101)</f>
        <v>1.06979314296041E-010</v>
      </c>
      <c r="CW101" s="0" t="n">
        <f aca="false">MIN(CU101,CV101)</f>
        <v>0</v>
      </c>
      <c r="CX101" s="0" t="n">
        <f aca="false">MIN(CT101,CV101-CW101)</f>
        <v>0</v>
      </c>
      <c r="CY101" s="0" t="n">
        <f aca="false">MIN(CS101,CV101-CW101-CX101)</f>
        <v>0</v>
      </c>
      <c r="CZ101" s="0" t="n">
        <f aca="false">IF(CS101-CY101&lt;Inputs!$B$19,0,CS101-CY101)</f>
        <v>0</v>
      </c>
      <c r="DA101" s="0" t="n">
        <f aca="false">IF(CT101-CX101&lt;Inputs!$B$19,0,CT101-CX101)</f>
        <v>0</v>
      </c>
      <c r="DB101" s="0" t="n">
        <f aca="false">IF(CU101-CW101&lt;Inputs!$B$19,0,CU101-CW101)</f>
        <v>0</v>
      </c>
      <c r="DC101" s="0" t="n">
        <f aca="false">N101-CO101</f>
        <v>0</v>
      </c>
      <c r="DD101" s="0" t="n">
        <f aca="false">O101-CP101</f>
        <v>0</v>
      </c>
      <c r="DE101" s="0" t="n">
        <f aca="false">P101-CQ101</f>
        <v>0</v>
      </c>
      <c r="DF101" s="0" t="n">
        <f aca="false">Q101-CR101</f>
        <v>0</v>
      </c>
      <c r="DG101" s="0" t="n">
        <f aca="false">IF(CZ101+DA101+DB101&lt;=Inputs!$B$19,1,0)</f>
        <v>1</v>
      </c>
      <c r="DH101" s="0" t="n">
        <f aca="false">DG101*CN101</f>
        <v>0</v>
      </c>
      <c r="DI101" s="0" t="n">
        <f aca="false">DG101*(AS101+DH101)</f>
        <v>0</v>
      </c>
      <c r="DJ101" s="0" t="n">
        <f aca="false">DG101*MIN(DC101,DI101)</f>
        <v>0</v>
      </c>
      <c r="DK101" s="0" t="n">
        <f aca="false">DG101*MIN(DD101,DI101-DJ101)</f>
        <v>0</v>
      </c>
      <c r="DL101" s="0" t="n">
        <f aca="false">DG101*MIN(DE101,DI101-DJ101-DK101)</f>
        <v>0</v>
      </c>
      <c r="DM101" s="0" t="n">
        <f aca="false">DG101*MIN(DF101,DI101-DJ101-DK101-DL101)</f>
        <v>0</v>
      </c>
      <c r="DN101" s="0" t="n">
        <f aca="false">DJ101+DK101+DL101+DM101</f>
        <v>0</v>
      </c>
      <c r="DO101" s="0" t="n">
        <f aca="false">CN101-DH101</f>
        <v>0</v>
      </c>
      <c r="DP101" s="0" t="n">
        <f aca="false">DC101-DJ101</f>
        <v>0</v>
      </c>
      <c r="DQ101" s="0" t="n">
        <f aca="false">DD101-DK101</f>
        <v>0</v>
      </c>
      <c r="DR101" s="0" t="n">
        <f aca="false">DE101-DL101</f>
        <v>0</v>
      </c>
      <c r="DS101" s="0" t="n">
        <f aca="false">DF101-DM101</f>
        <v>0</v>
      </c>
      <c r="DT101" s="0" t="n">
        <f aca="false">CO101+DJ101</f>
        <v>0</v>
      </c>
      <c r="DU101" s="0" t="n">
        <f aca="false">CP101+DK101</f>
        <v>0</v>
      </c>
      <c r="DV101" s="0" t="n">
        <f aca="false">AP101+BL101+BR101+BX101+CC101</f>
        <v>0</v>
      </c>
      <c r="DW101" s="0" t="n">
        <f aca="false">CQ101+DL101</f>
        <v>0</v>
      </c>
      <c r="DX101" s="0" t="n">
        <f aca="false">AQ101+BM101+BS101+BY101+CD101</f>
        <v>0</v>
      </c>
      <c r="DY101" s="0" t="n">
        <f aca="false">CR101+DM101</f>
        <v>0</v>
      </c>
      <c r="DZ101" s="0" t="n">
        <f aca="false">AR101+BN101+BT101+BZ101+CE101</f>
        <v>0</v>
      </c>
      <c r="EA101" s="0" t="n">
        <f aca="false">DI101-DN101</f>
        <v>0</v>
      </c>
      <c r="EB101" s="0" t="n">
        <f aca="false">CH101+EA101</f>
        <v>0</v>
      </c>
      <c r="EC101" s="0" t="n">
        <f aca="false">R101-I101-MAX(-M101,0)-J101-K101-L101</f>
        <v>0</v>
      </c>
      <c r="ED101" s="0" t="n">
        <f aca="false">R101+S101+CM101+DH101-CG101-DT101-DU101-DW101-DY101-DV101-DX101-DZ101-EB101</f>
        <v>0</v>
      </c>
      <c r="EE101" s="0" t="n">
        <f aca="false">IF(AND(EB101&gt;0.000001,DP101+DQ101+DR101+DS101&gt;0.000001),1,0)</f>
        <v>0</v>
      </c>
    </row>
    <row r="102" customFormat="false" ht="15" hidden="false" customHeight="false" outlineLevel="0" collapsed="false">
      <c r="A102" s="0" t="n">
        <f aca="false">ROW()-5</f>
        <v>97</v>
      </c>
      <c r="B102" s="0" t="n">
        <f aca="false">Inputs!$B$11+(Inputs!$B$12-Inputs!$B$11)*(1-EXP(-A102/Inputs!$B$13))+Inputs!$B$8</f>
        <v>0.0326844657610841</v>
      </c>
      <c r="C102" s="0" t="n">
        <f aca="false">CZ101</f>
        <v>0</v>
      </c>
      <c r="D102" s="0" t="n">
        <f aca="false">DA101</f>
        <v>0</v>
      </c>
      <c r="E102" s="0" t="n">
        <f aca="false">DB101</f>
        <v>0</v>
      </c>
      <c r="F102" s="0" t="n">
        <f aca="false">IF(Inputs!$B$22=1,B102+Inputs!$B$23,Inputs!$B$23)/12</f>
        <v>0.00364037214675701</v>
      </c>
      <c r="G102" s="0" t="n">
        <f aca="false">IF(Inputs!$B$27=1,B102+Inputs!$B$28,Inputs!$B$28)/12</f>
        <v>0.00459870548009034</v>
      </c>
      <c r="H102" s="0" t="n">
        <f aca="false">IF(Inputs!$B$32=1,B102+Inputs!$B$33,Inputs!$B$33)/12</f>
        <v>0.00625</v>
      </c>
      <c r="I102" s="0" t="n">
        <f aca="false">Pool!BT102*Inputs!$B$14/12</f>
        <v>0</v>
      </c>
      <c r="J102" s="0" t="n">
        <f aca="false">C102*F102</f>
        <v>0</v>
      </c>
      <c r="K102" s="0" t="n">
        <f aca="false">D102*G102</f>
        <v>0</v>
      </c>
      <c r="L102" s="0" t="n">
        <f aca="false">E102*H102</f>
        <v>0</v>
      </c>
      <c r="M102" s="0" t="n">
        <f aca="false">Inputs!$B$17*(C102*Inputs!$B$22+D102*Inputs!$B$27+E102*Inputs!$B$32)*(B102-Inputs!$B$18)/12</f>
        <v>-0</v>
      </c>
      <c r="N102" s="0" t="n">
        <f aca="false">DP101+I102+MAX(-M102,0)</f>
        <v>0</v>
      </c>
      <c r="O102" s="0" t="n">
        <f aca="false">DQ101+J102</f>
        <v>0</v>
      </c>
      <c r="P102" s="0" t="n">
        <f aca="false">DR101+K102</f>
        <v>0</v>
      </c>
      <c r="Q102" s="0" t="n">
        <f aca="false">DS101+L102</f>
        <v>0</v>
      </c>
      <c r="R102" s="0" t="n">
        <f aca="false">Pool!BV102+MAX(M102,0)</f>
        <v>0</v>
      </c>
      <c r="S102" s="0" t="n">
        <f aca="false">Pool!BW102+Pool!BX102+Pool!BZ102</f>
        <v>0</v>
      </c>
      <c r="T102" s="0" t="n">
        <f aca="false">MAX(T101,BG101)</f>
        <v>1</v>
      </c>
      <c r="U102" s="0" t="n">
        <f aca="false">MIN(C102,S102)</f>
        <v>0</v>
      </c>
      <c r="V102" s="0" t="n">
        <f aca="false">MIN(D102,S102-U102)</f>
        <v>0</v>
      </c>
      <c r="W102" s="0" t="n">
        <f aca="false">MIN(E102,S102-U102-V102)</f>
        <v>0</v>
      </c>
      <c r="X102" s="0" t="n">
        <f aca="false">IF(C102-(0)&gt;Inputs!$B$19,1,0)</f>
        <v>0</v>
      </c>
      <c r="Y102" s="0" t="n">
        <f aca="false">IF(D102-(0)&gt;Inputs!$B$19,1,0)</f>
        <v>0</v>
      </c>
      <c r="Z102" s="0" t="n">
        <f aca="false">IF(E102-(0)&gt;Inputs!$B$19,1,0)</f>
        <v>0</v>
      </c>
      <c r="AA102" s="0" t="n">
        <f aca="false">IF((X102*C102+Y102*D102+Z102*E102)&gt;0,MIN(C102-(0),S102*X102*C102/(X102*C102+Y102*D102+Z102*E102)),0)</f>
        <v>0</v>
      </c>
      <c r="AB102" s="0" t="n">
        <f aca="false">IF((X102*C102+Y102*D102+Z102*E102)&gt;0,MIN(D102-(0),S102*Y102*D102/(X102*C102+Y102*D102+Z102*E102)),0)</f>
        <v>0</v>
      </c>
      <c r="AC102" s="0" t="n">
        <f aca="false">IF((X102*C102+Y102*D102+Z102*E102)&gt;0,MIN(E102-(0),S102*Z102*E102/(X102*C102+Y102*D102+Z102*E102)),0)</f>
        <v>0</v>
      </c>
      <c r="AD102" s="0" t="n">
        <f aca="false">IF(C102-(AA102)&gt;Inputs!$B$19,1,0)</f>
        <v>0</v>
      </c>
      <c r="AE102" s="0" t="n">
        <f aca="false">IF(D102-(AB102)&gt;Inputs!$B$19,1,0)</f>
        <v>0</v>
      </c>
      <c r="AF102" s="0" t="n">
        <f aca="false">IF(E102-(AC102)&gt;Inputs!$B$19,1,0)</f>
        <v>0</v>
      </c>
      <c r="AG102" s="0" t="n">
        <f aca="false">IF((AD102*C102+AE102*D102+AF102*E102)&gt;0,MIN(C102-(AA102),(S102-(AA102+AB102+AC102))*AD102*C102/(AD102*C102+AE102*D102+AF102*E102)),0)</f>
        <v>0</v>
      </c>
      <c r="AH102" s="0" t="n">
        <f aca="false">IF((AD102*C102+AE102*D102+AF102*E102)&gt;0,MIN(D102-(AB102),(S102-(AA102+AB102+AC102))*AE102*D102/(AD102*C102+AE102*D102+AF102*E102)),0)</f>
        <v>0</v>
      </c>
      <c r="AI102" s="0" t="n">
        <f aca="false">IF((AD102*C102+AE102*D102+AF102*E102)&gt;0,MIN(E102-(AC102),(S102-(AA102+AB102+AC102))*AF102*E102/(AD102*C102+AE102*D102+AF102*E102)),0)</f>
        <v>0</v>
      </c>
      <c r="AJ102" s="0" t="n">
        <f aca="false">IF(C102-(AA102+AG102)&gt;Inputs!$B$19,1,0)</f>
        <v>0</v>
      </c>
      <c r="AK102" s="0" t="n">
        <f aca="false">IF(D102-(AB102+AH102)&gt;Inputs!$B$19,1,0)</f>
        <v>0</v>
      </c>
      <c r="AL102" s="0" t="n">
        <f aca="false">IF(E102-(AC102+AI102)&gt;Inputs!$B$19,1,0)</f>
        <v>0</v>
      </c>
      <c r="AM102" s="0" t="n">
        <f aca="false">IF((AJ102*C102+AK102*D102+AL102*E102)&gt;0,MIN(C102-(AA102+AG102),(S102-(AA102+AB102+AC102+AG102+AH102+AI102))*AJ102*C102/(AJ102*C102+AK102*D102+AL102*E102)),0)</f>
        <v>0</v>
      </c>
      <c r="AN102" s="0" t="n">
        <f aca="false">IF((AJ102*C102+AK102*D102+AL102*E102)&gt;0,MIN(D102-(AB102+AH102),(S102-(AA102+AB102+AC102+AG102+AH102+AI102))*AK102*D102/(AJ102*C102+AK102*D102+AL102*E102)),0)</f>
        <v>0</v>
      </c>
      <c r="AO102" s="0" t="n">
        <f aca="false">IF((AJ102*C102+AK102*D102+AL102*E102)&gt;0,MIN(E102-(AC102+AI102),(S102-(AA102+AB102+AC102+AG102+AH102+AI102))*AL102*E102/(AJ102*C102+AK102*D102+AL102*E102)),0)</f>
        <v>0</v>
      </c>
      <c r="AP102" s="0" t="n">
        <f aca="false">IF(T102=1,U102,AA102+AG102+AM102)</f>
        <v>0</v>
      </c>
      <c r="AQ102" s="0" t="n">
        <f aca="false">IF(T102=1,V102,AB102+AH102+AN102)</f>
        <v>0</v>
      </c>
      <c r="AR102" s="0" t="n">
        <f aca="false">IF(T102=1,W102,AC102+AI102+AO102)</f>
        <v>0</v>
      </c>
      <c r="AS102" s="0" t="n">
        <f aca="false">S102-AP102-AQ102-AR102</f>
        <v>0</v>
      </c>
      <c r="AT102" s="0" t="n">
        <f aca="false">C102-AP102</f>
        <v>0</v>
      </c>
      <c r="AU102" s="0" t="n">
        <f aca="false">D102-AQ102</f>
        <v>0</v>
      </c>
      <c r="AV102" s="0" t="n">
        <f aca="false">E102-AR102</f>
        <v>0</v>
      </c>
      <c r="AW102" s="0" t="n">
        <f aca="false">Pool!CB102</f>
        <v>-1.06979314296041E-010</v>
      </c>
      <c r="AX102" s="0" t="n">
        <f aca="false">IF((AT102)&gt;Inputs!$B$19,AW102/(AT102),1000000000)</f>
        <v>1000000000</v>
      </c>
      <c r="AY102" s="0" t="n">
        <f aca="false">IF((J102)&gt;0.000000001,(R102-I102-MAX(-M102,0))/(J102),1000000000)</f>
        <v>1000000000</v>
      </c>
      <c r="AZ102" s="0" t="n">
        <f aca="false">IF(OR(AX102&lt;Inputs!$B$24,AY102&lt;Inputs!$B$25),1,0)</f>
        <v>0</v>
      </c>
      <c r="BA102" s="0" t="n">
        <f aca="false">IF((AT102+AU102)&gt;Inputs!$B$19,AW102/(AT102+AU102),1000000000)</f>
        <v>1000000000</v>
      </c>
      <c r="BB102" s="0" t="n">
        <f aca="false">IF((J102+K102)&gt;0.000000001,(R102-I102-MAX(-M102,0))/(J102+K102),1000000000)</f>
        <v>1000000000</v>
      </c>
      <c r="BC102" s="0" t="n">
        <f aca="false">IF(OR(BA102&lt;Inputs!$B$29,BB102&lt;Inputs!$B$30),1,0)</f>
        <v>0</v>
      </c>
      <c r="BD102" s="0" t="n">
        <f aca="false">IF((AT102+AU102+AV102)&gt;Inputs!$B$19,AW102/(AT102+AU102+AV102),1000000000)</f>
        <v>1000000000</v>
      </c>
      <c r="BE102" s="0" t="n">
        <f aca="false">IF((J102+K102+L102)&gt;0.000000001,(R102-I102-MAX(-M102,0))/(J102+K102+L102),1000000000)</f>
        <v>1000000000</v>
      </c>
      <c r="BF102" s="0" t="n">
        <f aca="false">IF(OR(BD102&lt;Inputs!$B$34,BE102&lt;Inputs!$B$35),1,0)</f>
        <v>0</v>
      </c>
      <c r="BG102" s="0" t="n">
        <f aca="false">MAX(AZ102,BC102,BF102)</f>
        <v>0</v>
      </c>
      <c r="BH102" s="0" t="n">
        <f aca="false">MIN(R102,N102)</f>
        <v>0</v>
      </c>
      <c r="BI102" s="0" t="n">
        <f aca="false">R102-BH102</f>
        <v>0</v>
      </c>
      <c r="BJ102" s="0" t="n">
        <f aca="false">MIN(BI102,O102)</f>
        <v>0</v>
      </c>
      <c r="BK102" s="0" t="n">
        <f aca="false">BI102-BJ102</f>
        <v>0</v>
      </c>
      <c r="BL102" s="0" t="n">
        <f aca="false">AZ102*MIN(AT102,BK102)</f>
        <v>0</v>
      </c>
      <c r="BM102" s="0" t="n">
        <f aca="false">AZ102*MIN(AU102,BK102-BL102)</f>
        <v>0</v>
      </c>
      <c r="BN102" s="0" t="n">
        <f aca="false">AZ102*MIN(AV102,BK102-BL102-BM102)</f>
        <v>0</v>
      </c>
      <c r="BO102" s="0" t="n">
        <f aca="false">BK102-BL102-BM102-BN102</f>
        <v>0</v>
      </c>
      <c r="BP102" s="0" t="n">
        <f aca="false">MIN(BO102,P102)</f>
        <v>0</v>
      </c>
      <c r="BQ102" s="0" t="n">
        <f aca="false">BO102-BP102</f>
        <v>0</v>
      </c>
      <c r="BR102" s="0" t="n">
        <f aca="false">BC102*MIN((AT102-BL102),BQ102)</f>
        <v>0</v>
      </c>
      <c r="BS102" s="0" t="n">
        <f aca="false">BC102*MIN((AU102-BM102),BQ102-BR102)</f>
        <v>0</v>
      </c>
      <c r="BT102" s="0" t="n">
        <f aca="false">BC102*MIN((AV102-BN102),BQ102-BR102-BS102)</f>
        <v>0</v>
      </c>
      <c r="BU102" s="0" t="n">
        <f aca="false">BQ102-BR102-BS102-BT102</f>
        <v>0</v>
      </c>
      <c r="BV102" s="0" t="n">
        <f aca="false">MIN(BU102,Q102)</f>
        <v>0</v>
      </c>
      <c r="BW102" s="0" t="n">
        <f aca="false">BU102-BV102</f>
        <v>0</v>
      </c>
      <c r="BX102" s="0" t="n">
        <f aca="false">BF102*MIN((AT102-BL102-BR102),BW102)</f>
        <v>0</v>
      </c>
      <c r="BY102" s="0" t="n">
        <f aca="false">BF102*MIN((AU102-BM102-BS102),BW102-BX102)</f>
        <v>0</v>
      </c>
      <c r="BZ102" s="0" t="n">
        <f aca="false">BF102*MIN((AV102-BN102-BT102),BW102-BX102-BY102)</f>
        <v>0</v>
      </c>
      <c r="CA102" s="0" t="n">
        <f aca="false">BW102-BX102-BY102-BZ102</f>
        <v>0</v>
      </c>
      <c r="CB102" s="0" t="n">
        <f aca="false">MAX(0,AT102+AU102+AV102-BL102-BM102-BN102-BR102-BS102-BT102-BX102-BY102-BZ102-AW102)</f>
        <v>1.06979314296041E-010</v>
      </c>
      <c r="CC102" s="0" t="n">
        <f aca="false">1*MIN((AT102-BL102-BR102-BX102),MIN(CA102,CB102))</f>
        <v>0</v>
      </c>
      <c r="CD102" s="0" t="n">
        <f aca="false">1*MIN((AU102-BM102-BS102-BY102),MIN(CA102,CB102)-CC102)</f>
        <v>0</v>
      </c>
      <c r="CE102" s="0" t="n">
        <f aca="false">1*MIN((AV102-BN102-BT102-BZ102),MIN(CA102,CB102)-CC102-CD102)</f>
        <v>0</v>
      </c>
      <c r="CF102" s="0" t="n">
        <f aca="false">CA102-CC102-CD102-CE102</f>
        <v>0</v>
      </c>
      <c r="CG102" s="0" t="n">
        <f aca="false">IF(C102+D102+E102&gt;Inputs!$B$19,MIN(CF102,MAX(0,Inputs!$B$15-DO101)),0)</f>
        <v>0</v>
      </c>
      <c r="CH102" s="0" t="n">
        <f aca="false">CF102-CG102</f>
        <v>0</v>
      </c>
      <c r="CI102" s="0" t="n">
        <f aca="false">DO101+CG102</f>
        <v>0</v>
      </c>
      <c r="CJ102" s="0" t="n">
        <f aca="false">MIN(MAX(N102-BH102,0),CI102)</f>
        <v>0</v>
      </c>
      <c r="CK102" s="0" t="n">
        <f aca="false">MIN(MAX(O102-BJ102,0),CI102-CJ102)</f>
        <v>0</v>
      </c>
      <c r="CL102" s="0" t="n">
        <f aca="false">MIN(MAX(P102-BP102,0),CI102-CJ102-CK102)</f>
        <v>0</v>
      </c>
      <c r="CM102" s="0" t="n">
        <f aca="false">CJ102+CK102+CL102</f>
        <v>0</v>
      </c>
      <c r="CN102" s="0" t="n">
        <f aca="false">CI102-CM102</f>
        <v>0</v>
      </c>
      <c r="CO102" s="0" t="n">
        <f aca="false">BH102+CJ102</f>
        <v>0</v>
      </c>
      <c r="CP102" s="0" t="n">
        <f aca="false">BJ102+CK102</f>
        <v>0</v>
      </c>
      <c r="CQ102" s="0" t="n">
        <f aca="false">BP102+CL102</f>
        <v>0</v>
      </c>
      <c r="CR102" s="0" t="n">
        <f aca="false">BV102</f>
        <v>0</v>
      </c>
      <c r="CS102" s="0" t="n">
        <f aca="false">AT102-BL102-BR102-BX102-CC102</f>
        <v>0</v>
      </c>
      <c r="CT102" s="0" t="n">
        <f aca="false">AU102-BM102-BS102-BY102-CD102</f>
        <v>0</v>
      </c>
      <c r="CU102" s="0" t="n">
        <f aca="false">AV102-BN102-BT102-BZ102-CE102</f>
        <v>0</v>
      </c>
      <c r="CV102" s="0" t="n">
        <f aca="false">MAX(0,CS102+CT102+CU102-AW102)</f>
        <v>1.06979314296041E-010</v>
      </c>
      <c r="CW102" s="0" t="n">
        <f aca="false">MIN(CU102,CV102)</f>
        <v>0</v>
      </c>
      <c r="CX102" s="0" t="n">
        <f aca="false">MIN(CT102,CV102-CW102)</f>
        <v>0</v>
      </c>
      <c r="CY102" s="0" t="n">
        <f aca="false">MIN(CS102,CV102-CW102-CX102)</f>
        <v>0</v>
      </c>
      <c r="CZ102" s="0" t="n">
        <f aca="false">IF(CS102-CY102&lt;Inputs!$B$19,0,CS102-CY102)</f>
        <v>0</v>
      </c>
      <c r="DA102" s="0" t="n">
        <f aca="false">IF(CT102-CX102&lt;Inputs!$B$19,0,CT102-CX102)</f>
        <v>0</v>
      </c>
      <c r="DB102" s="0" t="n">
        <f aca="false">IF(CU102-CW102&lt;Inputs!$B$19,0,CU102-CW102)</f>
        <v>0</v>
      </c>
      <c r="DC102" s="0" t="n">
        <f aca="false">N102-CO102</f>
        <v>0</v>
      </c>
      <c r="DD102" s="0" t="n">
        <f aca="false">O102-CP102</f>
        <v>0</v>
      </c>
      <c r="DE102" s="0" t="n">
        <f aca="false">P102-CQ102</f>
        <v>0</v>
      </c>
      <c r="DF102" s="0" t="n">
        <f aca="false">Q102-CR102</f>
        <v>0</v>
      </c>
      <c r="DG102" s="0" t="n">
        <f aca="false">IF(CZ102+DA102+DB102&lt;=Inputs!$B$19,1,0)</f>
        <v>1</v>
      </c>
      <c r="DH102" s="0" t="n">
        <f aca="false">DG102*CN102</f>
        <v>0</v>
      </c>
      <c r="DI102" s="0" t="n">
        <f aca="false">DG102*(AS102+DH102)</f>
        <v>0</v>
      </c>
      <c r="DJ102" s="0" t="n">
        <f aca="false">DG102*MIN(DC102,DI102)</f>
        <v>0</v>
      </c>
      <c r="DK102" s="0" t="n">
        <f aca="false">DG102*MIN(DD102,DI102-DJ102)</f>
        <v>0</v>
      </c>
      <c r="DL102" s="0" t="n">
        <f aca="false">DG102*MIN(DE102,DI102-DJ102-DK102)</f>
        <v>0</v>
      </c>
      <c r="DM102" s="0" t="n">
        <f aca="false">DG102*MIN(DF102,DI102-DJ102-DK102-DL102)</f>
        <v>0</v>
      </c>
      <c r="DN102" s="0" t="n">
        <f aca="false">DJ102+DK102+DL102+DM102</f>
        <v>0</v>
      </c>
      <c r="DO102" s="0" t="n">
        <f aca="false">CN102-DH102</f>
        <v>0</v>
      </c>
      <c r="DP102" s="0" t="n">
        <f aca="false">DC102-DJ102</f>
        <v>0</v>
      </c>
      <c r="DQ102" s="0" t="n">
        <f aca="false">DD102-DK102</f>
        <v>0</v>
      </c>
      <c r="DR102" s="0" t="n">
        <f aca="false">DE102-DL102</f>
        <v>0</v>
      </c>
      <c r="DS102" s="0" t="n">
        <f aca="false">DF102-DM102</f>
        <v>0</v>
      </c>
      <c r="DT102" s="0" t="n">
        <f aca="false">CO102+DJ102</f>
        <v>0</v>
      </c>
      <c r="DU102" s="0" t="n">
        <f aca="false">CP102+DK102</f>
        <v>0</v>
      </c>
      <c r="DV102" s="0" t="n">
        <f aca="false">AP102+BL102+BR102+BX102+CC102</f>
        <v>0</v>
      </c>
      <c r="DW102" s="0" t="n">
        <f aca="false">CQ102+DL102</f>
        <v>0</v>
      </c>
      <c r="DX102" s="0" t="n">
        <f aca="false">AQ102+BM102+BS102+BY102+CD102</f>
        <v>0</v>
      </c>
      <c r="DY102" s="0" t="n">
        <f aca="false">CR102+DM102</f>
        <v>0</v>
      </c>
      <c r="DZ102" s="0" t="n">
        <f aca="false">AR102+BN102+BT102+BZ102+CE102</f>
        <v>0</v>
      </c>
      <c r="EA102" s="0" t="n">
        <f aca="false">DI102-DN102</f>
        <v>0</v>
      </c>
      <c r="EB102" s="0" t="n">
        <f aca="false">CH102+EA102</f>
        <v>0</v>
      </c>
      <c r="EC102" s="0" t="n">
        <f aca="false">R102-I102-MAX(-M102,0)-J102-K102-L102</f>
        <v>0</v>
      </c>
      <c r="ED102" s="0" t="n">
        <f aca="false">R102+S102+CM102+DH102-CG102-DT102-DU102-DW102-DY102-DV102-DX102-DZ102-EB102</f>
        <v>0</v>
      </c>
      <c r="EE102" s="0" t="n">
        <f aca="false">IF(AND(EB102&gt;0.000001,DP102+DQ102+DR102+DS102&gt;0.000001),1,0)</f>
        <v>0</v>
      </c>
    </row>
    <row r="103" customFormat="false" ht="15" hidden="false" customHeight="false" outlineLevel="0" collapsed="false">
      <c r="A103" s="0" t="n">
        <f aca="false">ROW()-5</f>
        <v>98</v>
      </c>
      <c r="B103" s="0" t="n">
        <f aca="false">Inputs!$B$11+(Inputs!$B$12-Inputs!$B$11)*(1-EXP(-A103/Inputs!$B$13))+Inputs!$B$8</f>
        <v>0.0326769376132295</v>
      </c>
      <c r="C103" s="0" t="n">
        <f aca="false">CZ102</f>
        <v>0</v>
      </c>
      <c r="D103" s="0" t="n">
        <f aca="false">DA102</f>
        <v>0</v>
      </c>
      <c r="E103" s="0" t="n">
        <f aca="false">DB102</f>
        <v>0</v>
      </c>
      <c r="F103" s="0" t="n">
        <f aca="false">IF(Inputs!$B$22=1,B103+Inputs!$B$23,Inputs!$B$23)/12</f>
        <v>0.00363974480110245</v>
      </c>
      <c r="G103" s="0" t="n">
        <f aca="false">IF(Inputs!$B$27=1,B103+Inputs!$B$28,Inputs!$B$28)/12</f>
        <v>0.00459807813443579</v>
      </c>
      <c r="H103" s="0" t="n">
        <f aca="false">IF(Inputs!$B$32=1,B103+Inputs!$B$33,Inputs!$B$33)/12</f>
        <v>0.00625</v>
      </c>
      <c r="I103" s="0" t="n">
        <f aca="false">Pool!BT103*Inputs!$B$14/12</f>
        <v>0</v>
      </c>
      <c r="J103" s="0" t="n">
        <f aca="false">C103*F103</f>
        <v>0</v>
      </c>
      <c r="K103" s="0" t="n">
        <f aca="false">D103*G103</f>
        <v>0</v>
      </c>
      <c r="L103" s="0" t="n">
        <f aca="false">E103*H103</f>
        <v>0</v>
      </c>
      <c r="M103" s="0" t="n">
        <f aca="false">Inputs!$B$17*(C103*Inputs!$B$22+D103*Inputs!$B$27+E103*Inputs!$B$32)*(B103-Inputs!$B$18)/12</f>
        <v>-0</v>
      </c>
      <c r="N103" s="0" t="n">
        <f aca="false">DP102+I103+MAX(-M103,0)</f>
        <v>0</v>
      </c>
      <c r="O103" s="0" t="n">
        <f aca="false">DQ102+J103</f>
        <v>0</v>
      </c>
      <c r="P103" s="0" t="n">
        <f aca="false">DR102+K103</f>
        <v>0</v>
      </c>
      <c r="Q103" s="0" t="n">
        <f aca="false">DS102+L103</f>
        <v>0</v>
      </c>
      <c r="R103" s="0" t="n">
        <f aca="false">Pool!BV103+MAX(M103,0)</f>
        <v>0</v>
      </c>
      <c r="S103" s="0" t="n">
        <f aca="false">Pool!BW103+Pool!BX103+Pool!BZ103</f>
        <v>0</v>
      </c>
      <c r="T103" s="0" t="n">
        <f aca="false">MAX(T102,BG102)</f>
        <v>1</v>
      </c>
      <c r="U103" s="0" t="n">
        <f aca="false">MIN(C103,S103)</f>
        <v>0</v>
      </c>
      <c r="V103" s="0" t="n">
        <f aca="false">MIN(D103,S103-U103)</f>
        <v>0</v>
      </c>
      <c r="W103" s="0" t="n">
        <f aca="false">MIN(E103,S103-U103-V103)</f>
        <v>0</v>
      </c>
      <c r="X103" s="0" t="n">
        <f aca="false">IF(C103-(0)&gt;Inputs!$B$19,1,0)</f>
        <v>0</v>
      </c>
      <c r="Y103" s="0" t="n">
        <f aca="false">IF(D103-(0)&gt;Inputs!$B$19,1,0)</f>
        <v>0</v>
      </c>
      <c r="Z103" s="0" t="n">
        <f aca="false">IF(E103-(0)&gt;Inputs!$B$19,1,0)</f>
        <v>0</v>
      </c>
      <c r="AA103" s="0" t="n">
        <f aca="false">IF((X103*C103+Y103*D103+Z103*E103)&gt;0,MIN(C103-(0),S103*X103*C103/(X103*C103+Y103*D103+Z103*E103)),0)</f>
        <v>0</v>
      </c>
      <c r="AB103" s="0" t="n">
        <f aca="false">IF((X103*C103+Y103*D103+Z103*E103)&gt;0,MIN(D103-(0),S103*Y103*D103/(X103*C103+Y103*D103+Z103*E103)),0)</f>
        <v>0</v>
      </c>
      <c r="AC103" s="0" t="n">
        <f aca="false">IF((X103*C103+Y103*D103+Z103*E103)&gt;0,MIN(E103-(0),S103*Z103*E103/(X103*C103+Y103*D103+Z103*E103)),0)</f>
        <v>0</v>
      </c>
      <c r="AD103" s="0" t="n">
        <f aca="false">IF(C103-(AA103)&gt;Inputs!$B$19,1,0)</f>
        <v>0</v>
      </c>
      <c r="AE103" s="0" t="n">
        <f aca="false">IF(D103-(AB103)&gt;Inputs!$B$19,1,0)</f>
        <v>0</v>
      </c>
      <c r="AF103" s="0" t="n">
        <f aca="false">IF(E103-(AC103)&gt;Inputs!$B$19,1,0)</f>
        <v>0</v>
      </c>
      <c r="AG103" s="0" t="n">
        <f aca="false">IF((AD103*C103+AE103*D103+AF103*E103)&gt;0,MIN(C103-(AA103),(S103-(AA103+AB103+AC103))*AD103*C103/(AD103*C103+AE103*D103+AF103*E103)),0)</f>
        <v>0</v>
      </c>
      <c r="AH103" s="0" t="n">
        <f aca="false">IF((AD103*C103+AE103*D103+AF103*E103)&gt;0,MIN(D103-(AB103),(S103-(AA103+AB103+AC103))*AE103*D103/(AD103*C103+AE103*D103+AF103*E103)),0)</f>
        <v>0</v>
      </c>
      <c r="AI103" s="0" t="n">
        <f aca="false">IF((AD103*C103+AE103*D103+AF103*E103)&gt;0,MIN(E103-(AC103),(S103-(AA103+AB103+AC103))*AF103*E103/(AD103*C103+AE103*D103+AF103*E103)),0)</f>
        <v>0</v>
      </c>
      <c r="AJ103" s="0" t="n">
        <f aca="false">IF(C103-(AA103+AG103)&gt;Inputs!$B$19,1,0)</f>
        <v>0</v>
      </c>
      <c r="AK103" s="0" t="n">
        <f aca="false">IF(D103-(AB103+AH103)&gt;Inputs!$B$19,1,0)</f>
        <v>0</v>
      </c>
      <c r="AL103" s="0" t="n">
        <f aca="false">IF(E103-(AC103+AI103)&gt;Inputs!$B$19,1,0)</f>
        <v>0</v>
      </c>
      <c r="AM103" s="0" t="n">
        <f aca="false">IF((AJ103*C103+AK103*D103+AL103*E103)&gt;0,MIN(C103-(AA103+AG103),(S103-(AA103+AB103+AC103+AG103+AH103+AI103))*AJ103*C103/(AJ103*C103+AK103*D103+AL103*E103)),0)</f>
        <v>0</v>
      </c>
      <c r="AN103" s="0" t="n">
        <f aca="false">IF((AJ103*C103+AK103*D103+AL103*E103)&gt;0,MIN(D103-(AB103+AH103),(S103-(AA103+AB103+AC103+AG103+AH103+AI103))*AK103*D103/(AJ103*C103+AK103*D103+AL103*E103)),0)</f>
        <v>0</v>
      </c>
      <c r="AO103" s="0" t="n">
        <f aca="false">IF((AJ103*C103+AK103*D103+AL103*E103)&gt;0,MIN(E103-(AC103+AI103),(S103-(AA103+AB103+AC103+AG103+AH103+AI103))*AL103*E103/(AJ103*C103+AK103*D103+AL103*E103)),0)</f>
        <v>0</v>
      </c>
      <c r="AP103" s="0" t="n">
        <f aca="false">IF(T103=1,U103,AA103+AG103+AM103)</f>
        <v>0</v>
      </c>
      <c r="AQ103" s="0" t="n">
        <f aca="false">IF(T103=1,V103,AB103+AH103+AN103)</f>
        <v>0</v>
      </c>
      <c r="AR103" s="0" t="n">
        <f aca="false">IF(T103=1,W103,AC103+AI103+AO103)</f>
        <v>0</v>
      </c>
      <c r="AS103" s="0" t="n">
        <f aca="false">S103-AP103-AQ103-AR103</f>
        <v>0</v>
      </c>
      <c r="AT103" s="0" t="n">
        <f aca="false">C103-AP103</f>
        <v>0</v>
      </c>
      <c r="AU103" s="0" t="n">
        <f aca="false">D103-AQ103</f>
        <v>0</v>
      </c>
      <c r="AV103" s="0" t="n">
        <f aca="false">E103-AR103</f>
        <v>0</v>
      </c>
      <c r="AW103" s="0" t="n">
        <f aca="false">Pool!CB103</f>
        <v>-1.06979314296041E-010</v>
      </c>
      <c r="AX103" s="0" t="n">
        <f aca="false">IF((AT103)&gt;Inputs!$B$19,AW103/(AT103),1000000000)</f>
        <v>1000000000</v>
      </c>
      <c r="AY103" s="0" t="n">
        <f aca="false">IF((J103)&gt;0.000000001,(R103-I103-MAX(-M103,0))/(J103),1000000000)</f>
        <v>1000000000</v>
      </c>
      <c r="AZ103" s="0" t="n">
        <f aca="false">IF(OR(AX103&lt;Inputs!$B$24,AY103&lt;Inputs!$B$25),1,0)</f>
        <v>0</v>
      </c>
      <c r="BA103" s="0" t="n">
        <f aca="false">IF((AT103+AU103)&gt;Inputs!$B$19,AW103/(AT103+AU103),1000000000)</f>
        <v>1000000000</v>
      </c>
      <c r="BB103" s="0" t="n">
        <f aca="false">IF((J103+K103)&gt;0.000000001,(R103-I103-MAX(-M103,0))/(J103+K103),1000000000)</f>
        <v>1000000000</v>
      </c>
      <c r="BC103" s="0" t="n">
        <f aca="false">IF(OR(BA103&lt;Inputs!$B$29,BB103&lt;Inputs!$B$30),1,0)</f>
        <v>0</v>
      </c>
      <c r="BD103" s="0" t="n">
        <f aca="false">IF((AT103+AU103+AV103)&gt;Inputs!$B$19,AW103/(AT103+AU103+AV103),1000000000)</f>
        <v>1000000000</v>
      </c>
      <c r="BE103" s="0" t="n">
        <f aca="false">IF((J103+K103+L103)&gt;0.000000001,(R103-I103-MAX(-M103,0))/(J103+K103+L103),1000000000)</f>
        <v>1000000000</v>
      </c>
      <c r="BF103" s="0" t="n">
        <f aca="false">IF(OR(BD103&lt;Inputs!$B$34,BE103&lt;Inputs!$B$35),1,0)</f>
        <v>0</v>
      </c>
      <c r="BG103" s="0" t="n">
        <f aca="false">MAX(AZ103,BC103,BF103)</f>
        <v>0</v>
      </c>
      <c r="BH103" s="0" t="n">
        <f aca="false">MIN(R103,N103)</f>
        <v>0</v>
      </c>
      <c r="BI103" s="0" t="n">
        <f aca="false">R103-BH103</f>
        <v>0</v>
      </c>
      <c r="BJ103" s="0" t="n">
        <f aca="false">MIN(BI103,O103)</f>
        <v>0</v>
      </c>
      <c r="BK103" s="0" t="n">
        <f aca="false">BI103-BJ103</f>
        <v>0</v>
      </c>
      <c r="BL103" s="0" t="n">
        <f aca="false">AZ103*MIN(AT103,BK103)</f>
        <v>0</v>
      </c>
      <c r="BM103" s="0" t="n">
        <f aca="false">AZ103*MIN(AU103,BK103-BL103)</f>
        <v>0</v>
      </c>
      <c r="BN103" s="0" t="n">
        <f aca="false">AZ103*MIN(AV103,BK103-BL103-BM103)</f>
        <v>0</v>
      </c>
      <c r="BO103" s="0" t="n">
        <f aca="false">BK103-BL103-BM103-BN103</f>
        <v>0</v>
      </c>
      <c r="BP103" s="0" t="n">
        <f aca="false">MIN(BO103,P103)</f>
        <v>0</v>
      </c>
      <c r="BQ103" s="0" t="n">
        <f aca="false">BO103-BP103</f>
        <v>0</v>
      </c>
      <c r="BR103" s="0" t="n">
        <f aca="false">BC103*MIN((AT103-BL103),BQ103)</f>
        <v>0</v>
      </c>
      <c r="BS103" s="0" t="n">
        <f aca="false">BC103*MIN((AU103-BM103),BQ103-BR103)</f>
        <v>0</v>
      </c>
      <c r="BT103" s="0" t="n">
        <f aca="false">BC103*MIN((AV103-BN103),BQ103-BR103-BS103)</f>
        <v>0</v>
      </c>
      <c r="BU103" s="0" t="n">
        <f aca="false">BQ103-BR103-BS103-BT103</f>
        <v>0</v>
      </c>
      <c r="BV103" s="0" t="n">
        <f aca="false">MIN(BU103,Q103)</f>
        <v>0</v>
      </c>
      <c r="BW103" s="0" t="n">
        <f aca="false">BU103-BV103</f>
        <v>0</v>
      </c>
      <c r="BX103" s="0" t="n">
        <f aca="false">BF103*MIN((AT103-BL103-BR103),BW103)</f>
        <v>0</v>
      </c>
      <c r="BY103" s="0" t="n">
        <f aca="false">BF103*MIN((AU103-BM103-BS103),BW103-BX103)</f>
        <v>0</v>
      </c>
      <c r="BZ103" s="0" t="n">
        <f aca="false">BF103*MIN((AV103-BN103-BT103),BW103-BX103-BY103)</f>
        <v>0</v>
      </c>
      <c r="CA103" s="0" t="n">
        <f aca="false">BW103-BX103-BY103-BZ103</f>
        <v>0</v>
      </c>
      <c r="CB103" s="0" t="n">
        <f aca="false">MAX(0,AT103+AU103+AV103-BL103-BM103-BN103-BR103-BS103-BT103-BX103-BY103-BZ103-AW103)</f>
        <v>1.06979314296041E-010</v>
      </c>
      <c r="CC103" s="0" t="n">
        <f aca="false">1*MIN((AT103-BL103-BR103-BX103),MIN(CA103,CB103))</f>
        <v>0</v>
      </c>
      <c r="CD103" s="0" t="n">
        <f aca="false">1*MIN((AU103-BM103-BS103-BY103),MIN(CA103,CB103)-CC103)</f>
        <v>0</v>
      </c>
      <c r="CE103" s="0" t="n">
        <f aca="false">1*MIN((AV103-BN103-BT103-BZ103),MIN(CA103,CB103)-CC103-CD103)</f>
        <v>0</v>
      </c>
      <c r="CF103" s="0" t="n">
        <f aca="false">CA103-CC103-CD103-CE103</f>
        <v>0</v>
      </c>
      <c r="CG103" s="0" t="n">
        <f aca="false">IF(C103+D103+E103&gt;Inputs!$B$19,MIN(CF103,MAX(0,Inputs!$B$15-DO102)),0)</f>
        <v>0</v>
      </c>
      <c r="CH103" s="0" t="n">
        <f aca="false">CF103-CG103</f>
        <v>0</v>
      </c>
      <c r="CI103" s="0" t="n">
        <f aca="false">DO102+CG103</f>
        <v>0</v>
      </c>
      <c r="CJ103" s="0" t="n">
        <f aca="false">MIN(MAX(N103-BH103,0),CI103)</f>
        <v>0</v>
      </c>
      <c r="CK103" s="0" t="n">
        <f aca="false">MIN(MAX(O103-BJ103,0),CI103-CJ103)</f>
        <v>0</v>
      </c>
      <c r="CL103" s="0" t="n">
        <f aca="false">MIN(MAX(P103-BP103,0),CI103-CJ103-CK103)</f>
        <v>0</v>
      </c>
      <c r="CM103" s="0" t="n">
        <f aca="false">CJ103+CK103+CL103</f>
        <v>0</v>
      </c>
      <c r="CN103" s="0" t="n">
        <f aca="false">CI103-CM103</f>
        <v>0</v>
      </c>
      <c r="CO103" s="0" t="n">
        <f aca="false">BH103+CJ103</f>
        <v>0</v>
      </c>
      <c r="CP103" s="0" t="n">
        <f aca="false">BJ103+CK103</f>
        <v>0</v>
      </c>
      <c r="CQ103" s="0" t="n">
        <f aca="false">BP103+CL103</f>
        <v>0</v>
      </c>
      <c r="CR103" s="0" t="n">
        <f aca="false">BV103</f>
        <v>0</v>
      </c>
      <c r="CS103" s="0" t="n">
        <f aca="false">AT103-BL103-BR103-BX103-CC103</f>
        <v>0</v>
      </c>
      <c r="CT103" s="0" t="n">
        <f aca="false">AU103-BM103-BS103-BY103-CD103</f>
        <v>0</v>
      </c>
      <c r="CU103" s="0" t="n">
        <f aca="false">AV103-BN103-BT103-BZ103-CE103</f>
        <v>0</v>
      </c>
      <c r="CV103" s="0" t="n">
        <f aca="false">MAX(0,CS103+CT103+CU103-AW103)</f>
        <v>1.06979314296041E-010</v>
      </c>
      <c r="CW103" s="0" t="n">
        <f aca="false">MIN(CU103,CV103)</f>
        <v>0</v>
      </c>
      <c r="CX103" s="0" t="n">
        <f aca="false">MIN(CT103,CV103-CW103)</f>
        <v>0</v>
      </c>
      <c r="CY103" s="0" t="n">
        <f aca="false">MIN(CS103,CV103-CW103-CX103)</f>
        <v>0</v>
      </c>
      <c r="CZ103" s="0" t="n">
        <f aca="false">IF(CS103-CY103&lt;Inputs!$B$19,0,CS103-CY103)</f>
        <v>0</v>
      </c>
      <c r="DA103" s="0" t="n">
        <f aca="false">IF(CT103-CX103&lt;Inputs!$B$19,0,CT103-CX103)</f>
        <v>0</v>
      </c>
      <c r="DB103" s="0" t="n">
        <f aca="false">IF(CU103-CW103&lt;Inputs!$B$19,0,CU103-CW103)</f>
        <v>0</v>
      </c>
      <c r="DC103" s="0" t="n">
        <f aca="false">N103-CO103</f>
        <v>0</v>
      </c>
      <c r="DD103" s="0" t="n">
        <f aca="false">O103-CP103</f>
        <v>0</v>
      </c>
      <c r="DE103" s="0" t="n">
        <f aca="false">P103-CQ103</f>
        <v>0</v>
      </c>
      <c r="DF103" s="0" t="n">
        <f aca="false">Q103-CR103</f>
        <v>0</v>
      </c>
      <c r="DG103" s="0" t="n">
        <f aca="false">IF(CZ103+DA103+DB103&lt;=Inputs!$B$19,1,0)</f>
        <v>1</v>
      </c>
      <c r="DH103" s="0" t="n">
        <f aca="false">DG103*CN103</f>
        <v>0</v>
      </c>
      <c r="DI103" s="0" t="n">
        <f aca="false">DG103*(AS103+DH103)</f>
        <v>0</v>
      </c>
      <c r="DJ103" s="0" t="n">
        <f aca="false">DG103*MIN(DC103,DI103)</f>
        <v>0</v>
      </c>
      <c r="DK103" s="0" t="n">
        <f aca="false">DG103*MIN(DD103,DI103-DJ103)</f>
        <v>0</v>
      </c>
      <c r="DL103" s="0" t="n">
        <f aca="false">DG103*MIN(DE103,DI103-DJ103-DK103)</f>
        <v>0</v>
      </c>
      <c r="DM103" s="0" t="n">
        <f aca="false">DG103*MIN(DF103,DI103-DJ103-DK103-DL103)</f>
        <v>0</v>
      </c>
      <c r="DN103" s="0" t="n">
        <f aca="false">DJ103+DK103+DL103+DM103</f>
        <v>0</v>
      </c>
      <c r="DO103" s="0" t="n">
        <f aca="false">CN103-DH103</f>
        <v>0</v>
      </c>
      <c r="DP103" s="0" t="n">
        <f aca="false">DC103-DJ103</f>
        <v>0</v>
      </c>
      <c r="DQ103" s="0" t="n">
        <f aca="false">DD103-DK103</f>
        <v>0</v>
      </c>
      <c r="DR103" s="0" t="n">
        <f aca="false">DE103-DL103</f>
        <v>0</v>
      </c>
      <c r="DS103" s="0" t="n">
        <f aca="false">DF103-DM103</f>
        <v>0</v>
      </c>
      <c r="DT103" s="0" t="n">
        <f aca="false">CO103+DJ103</f>
        <v>0</v>
      </c>
      <c r="DU103" s="0" t="n">
        <f aca="false">CP103+DK103</f>
        <v>0</v>
      </c>
      <c r="DV103" s="0" t="n">
        <f aca="false">AP103+BL103+BR103+BX103+CC103</f>
        <v>0</v>
      </c>
      <c r="DW103" s="0" t="n">
        <f aca="false">CQ103+DL103</f>
        <v>0</v>
      </c>
      <c r="DX103" s="0" t="n">
        <f aca="false">AQ103+BM103+BS103+BY103+CD103</f>
        <v>0</v>
      </c>
      <c r="DY103" s="0" t="n">
        <f aca="false">CR103+DM103</f>
        <v>0</v>
      </c>
      <c r="DZ103" s="0" t="n">
        <f aca="false">AR103+BN103+BT103+BZ103+CE103</f>
        <v>0</v>
      </c>
      <c r="EA103" s="0" t="n">
        <f aca="false">DI103-DN103</f>
        <v>0</v>
      </c>
      <c r="EB103" s="0" t="n">
        <f aca="false">CH103+EA103</f>
        <v>0</v>
      </c>
      <c r="EC103" s="0" t="n">
        <f aca="false">R103-I103-MAX(-M103,0)-J103-K103-L103</f>
        <v>0</v>
      </c>
      <c r="ED103" s="0" t="n">
        <f aca="false">R103+S103+CM103+DH103-CG103-DT103-DU103-DW103-DY103-DV103-DX103-DZ103-EB103</f>
        <v>0</v>
      </c>
      <c r="EE103" s="0" t="n">
        <f aca="false">IF(AND(EB103&gt;0.000001,DP103+DQ103+DR103+DS103&gt;0.000001),1,0)</f>
        <v>0</v>
      </c>
    </row>
    <row r="104" customFormat="false" ht="15" hidden="false" customHeight="false" outlineLevel="0" collapsed="false">
      <c r="A104" s="0" t="n">
        <f aca="false">ROW()-5</f>
        <v>99</v>
      </c>
      <c r="B104" s="0" t="n">
        <f aca="false">Inputs!$B$11+(Inputs!$B$12-Inputs!$B$11)*(1-EXP(-A104/Inputs!$B$13))+Inputs!$B$8</f>
        <v>0.0326697166931757</v>
      </c>
      <c r="C104" s="0" t="n">
        <f aca="false">CZ103</f>
        <v>0</v>
      </c>
      <c r="D104" s="0" t="n">
        <f aca="false">DA103</f>
        <v>0</v>
      </c>
      <c r="E104" s="0" t="n">
        <f aca="false">DB103</f>
        <v>0</v>
      </c>
      <c r="F104" s="0" t="n">
        <f aca="false">IF(Inputs!$B$22=1,B104+Inputs!$B$23,Inputs!$B$23)/12</f>
        <v>0.00363914305776464</v>
      </c>
      <c r="G104" s="0" t="n">
        <f aca="false">IF(Inputs!$B$27=1,B104+Inputs!$B$28,Inputs!$B$28)/12</f>
        <v>0.00459747639109798</v>
      </c>
      <c r="H104" s="0" t="n">
        <f aca="false">IF(Inputs!$B$32=1,B104+Inputs!$B$33,Inputs!$B$33)/12</f>
        <v>0.00625</v>
      </c>
      <c r="I104" s="0" t="n">
        <f aca="false">Pool!BT104*Inputs!$B$14/12</f>
        <v>0</v>
      </c>
      <c r="J104" s="0" t="n">
        <f aca="false">C104*F104</f>
        <v>0</v>
      </c>
      <c r="K104" s="0" t="n">
        <f aca="false">D104*G104</f>
        <v>0</v>
      </c>
      <c r="L104" s="0" t="n">
        <f aca="false">E104*H104</f>
        <v>0</v>
      </c>
      <c r="M104" s="0" t="n">
        <f aca="false">Inputs!$B$17*(C104*Inputs!$B$22+D104*Inputs!$B$27+E104*Inputs!$B$32)*(B104-Inputs!$B$18)/12</f>
        <v>-0</v>
      </c>
      <c r="N104" s="0" t="n">
        <f aca="false">DP103+I104+MAX(-M104,0)</f>
        <v>0</v>
      </c>
      <c r="O104" s="0" t="n">
        <f aca="false">DQ103+J104</f>
        <v>0</v>
      </c>
      <c r="P104" s="0" t="n">
        <f aca="false">DR103+K104</f>
        <v>0</v>
      </c>
      <c r="Q104" s="0" t="n">
        <f aca="false">DS103+L104</f>
        <v>0</v>
      </c>
      <c r="R104" s="0" t="n">
        <f aca="false">Pool!BV104+MAX(M104,0)</f>
        <v>0</v>
      </c>
      <c r="S104" s="0" t="n">
        <f aca="false">Pool!BW104+Pool!BX104+Pool!BZ104</f>
        <v>0</v>
      </c>
      <c r="T104" s="0" t="n">
        <f aca="false">MAX(T103,BG103)</f>
        <v>1</v>
      </c>
      <c r="U104" s="0" t="n">
        <f aca="false">MIN(C104,S104)</f>
        <v>0</v>
      </c>
      <c r="V104" s="0" t="n">
        <f aca="false">MIN(D104,S104-U104)</f>
        <v>0</v>
      </c>
      <c r="W104" s="0" t="n">
        <f aca="false">MIN(E104,S104-U104-V104)</f>
        <v>0</v>
      </c>
      <c r="X104" s="0" t="n">
        <f aca="false">IF(C104-(0)&gt;Inputs!$B$19,1,0)</f>
        <v>0</v>
      </c>
      <c r="Y104" s="0" t="n">
        <f aca="false">IF(D104-(0)&gt;Inputs!$B$19,1,0)</f>
        <v>0</v>
      </c>
      <c r="Z104" s="0" t="n">
        <f aca="false">IF(E104-(0)&gt;Inputs!$B$19,1,0)</f>
        <v>0</v>
      </c>
      <c r="AA104" s="0" t="n">
        <f aca="false">IF((X104*C104+Y104*D104+Z104*E104)&gt;0,MIN(C104-(0),S104*X104*C104/(X104*C104+Y104*D104+Z104*E104)),0)</f>
        <v>0</v>
      </c>
      <c r="AB104" s="0" t="n">
        <f aca="false">IF((X104*C104+Y104*D104+Z104*E104)&gt;0,MIN(D104-(0),S104*Y104*D104/(X104*C104+Y104*D104+Z104*E104)),0)</f>
        <v>0</v>
      </c>
      <c r="AC104" s="0" t="n">
        <f aca="false">IF((X104*C104+Y104*D104+Z104*E104)&gt;0,MIN(E104-(0),S104*Z104*E104/(X104*C104+Y104*D104+Z104*E104)),0)</f>
        <v>0</v>
      </c>
      <c r="AD104" s="0" t="n">
        <f aca="false">IF(C104-(AA104)&gt;Inputs!$B$19,1,0)</f>
        <v>0</v>
      </c>
      <c r="AE104" s="0" t="n">
        <f aca="false">IF(D104-(AB104)&gt;Inputs!$B$19,1,0)</f>
        <v>0</v>
      </c>
      <c r="AF104" s="0" t="n">
        <f aca="false">IF(E104-(AC104)&gt;Inputs!$B$19,1,0)</f>
        <v>0</v>
      </c>
      <c r="AG104" s="0" t="n">
        <f aca="false">IF((AD104*C104+AE104*D104+AF104*E104)&gt;0,MIN(C104-(AA104),(S104-(AA104+AB104+AC104))*AD104*C104/(AD104*C104+AE104*D104+AF104*E104)),0)</f>
        <v>0</v>
      </c>
      <c r="AH104" s="0" t="n">
        <f aca="false">IF((AD104*C104+AE104*D104+AF104*E104)&gt;0,MIN(D104-(AB104),(S104-(AA104+AB104+AC104))*AE104*D104/(AD104*C104+AE104*D104+AF104*E104)),0)</f>
        <v>0</v>
      </c>
      <c r="AI104" s="0" t="n">
        <f aca="false">IF((AD104*C104+AE104*D104+AF104*E104)&gt;0,MIN(E104-(AC104),(S104-(AA104+AB104+AC104))*AF104*E104/(AD104*C104+AE104*D104+AF104*E104)),0)</f>
        <v>0</v>
      </c>
      <c r="AJ104" s="0" t="n">
        <f aca="false">IF(C104-(AA104+AG104)&gt;Inputs!$B$19,1,0)</f>
        <v>0</v>
      </c>
      <c r="AK104" s="0" t="n">
        <f aca="false">IF(D104-(AB104+AH104)&gt;Inputs!$B$19,1,0)</f>
        <v>0</v>
      </c>
      <c r="AL104" s="0" t="n">
        <f aca="false">IF(E104-(AC104+AI104)&gt;Inputs!$B$19,1,0)</f>
        <v>0</v>
      </c>
      <c r="AM104" s="0" t="n">
        <f aca="false">IF((AJ104*C104+AK104*D104+AL104*E104)&gt;0,MIN(C104-(AA104+AG104),(S104-(AA104+AB104+AC104+AG104+AH104+AI104))*AJ104*C104/(AJ104*C104+AK104*D104+AL104*E104)),0)</f>
        <v>0</v>
      </c>
      <c r="AN104" s="0" t="n">
        <f aca="false">IF((AJ104*C104+AK104*D104+AL104*E104)&gt;0,MIN(D104-(AB104+AH104),(S104-(AA104+AB104+AC104+AG104+AH104+AI104))*AK104*D104/(AJ104*C104+AK104*D104+AL104*E104)),0)</f>
        <v>0</v>
      </c>
      <c r="AO104" s="0" t="n">
        <f aca="false">IF((AJ104*C104+AK104*D104+AL104*E104)&gt;0,MIN(E104-(AC104+AI104),(S104-(AA104+AB104+AC104+AG104+AH104+AI104))*AL104*E104/(AJ104*C104+AK104*D104+AL104*E104)),0)</f>
        <v>0</v>
      </c>
      <c r="AP104" s="0" t="n">
        <f aca="false">IF(T104=1,U104,AA104+AG104+AM104)</f>
        <v>0</v>
      </c>
      <c r="AQ104" s="0" t="n">
        <f aca="false">IF(T104=1,V104,AB104+AH104+AN104)</f>
        <v>0</v>
      </c>
      <c r="AR104" s="0" t="n">
        <f aca="false">IF(T104=1,W104,AC104+AI104+AO104)</f>
        <v>0</v>
      </c>
      <c r="AS104" s="0" t="n">
        <f aca="false">S104-AP104-AQ104-AR104</f>
        <v>0</v>
      </c>
      <c r="AT104" s="0" t="n">
        <f aca="false">C104-AP104</f>
        <v>0</v>
      </c>
      <c r="AU104" s="0" t="n">
        <f aca="false">D104-AQ104</f>
        <v>0</v>
      </c>
      <c r="AV104" s="0" t="n">
        <f aca="false">E104-AR104</f>
        <v>0</v>
      </c>
      <c r="AW104" s="0" t="n">
        <f aca="false">Pool!CB104</f>
        <v>-1.06979314296041E-010</v>
      </c>
      <c r="AX104" s="0" t="n">
        <f aca="false">IF((AT104)&gt;Inputs!$B$19,AW104/(AT104),1000000000)</f>
        <v>1000000000</v>
      </c>
      <c r="AY104" s="0" t="n">
        <f aca="false">IF((J104)&gt;0.000000001,(R104-I104-MAX(-M104,0))/(J104),1000000000)</f>
        <v>1000000000</v>
      </c>
      <c r="AZ104" s="0" t="n">
        <f aca="false">IF(OR(AX104&lt;Inputs!$B$24,AY104&lt;Inputs!$B$25),1,0)</f>
        <v>0</v>
      </c>
      <c r="BA104" s="0" t="n">
        <f aca="false">IF((AT104+AU104)&gt;Inputs!$B$19,AW104/(AT104+AU104),1000000000)</f>
        <v>1000000000</v>
      </c>
      <c r="BB104" s="0" t="n">
        <f aca="false">IF((J104+K104)&gt;0.000000001,(R104-I104-MAX(-M104,0))/(J104+K104),1000000000)</f>
        <v>1000000000</v>
      </c>
      <c r="BC104" s="0" t="n">
        <f aca="false">IF(OR(BA104&lt;Inputs!$B$29,BB104&lt;Inputs!$B$30),1,0)</f>
        <v>0</v>
      </c>
      <c r="BD104" s="0" t="n">
        <f aca="false">IF((AT104+AU104+AV104)&gt;Inputs!$B$19,AW104/(AT104+AU104+AV104),1000000000)</f>
        <v>1000000000</v>
      </c>
      <c r="BE104" s="0" t="n">
        <f aca="false">IF((J104+K104+L104)&gt;0.000000001,(R104-I104-MAX(-M104,0))/(J104+K104+L104),1000000000)</f>
        <v>1000000000</v>
      </c>
      <c r="BF104" s="0" t="n">
        <f aca="false">IF(OR(BD104&lt;Inputs!$B$34,BE104&lt;Inputs!$B$35),1,0)</f>
        <v>0</v>
      </c>
      <c r="BG104" s="0" t="n">
        <f aca="false">MAX(AZ104,BC104,BF104)</f>
        <v>0</v>
      </c>
      <c r="BH104" s="0" t="n">
        <f aca="false">MIN(R104,N104)</f>
        <v>0</v>
      </c>
      <c r="BI104" s="0" t="n">
        <f aca="false">R104-BH104</f>
        <v>0</v>
      </c>
      <c r="BJ104" s="0" t="n">
        <f aca="false">MIN(BI104,O104)</f>
        <v>0</v>
      </c>
      <c r="BK104" s="0" t="n">
        <f aca="false">BI104-BJ104</f>
        <v>0</v>
      </c>
      <c r="BL104" s="0" t="n">
        <f aca="false">AZ104*MIN(AT104,BK104)</f>
        <v>0</v>
      </c>
      <c r="BM104" s="0" t="n">
        <f aca="false">AZ104*MIN(AU104,BK104-BL104)</f>
        <v>0</v>
      </c>
      <c r="BN104" s="0" t="n">
        <f aca="false">AZ104*MIN(AV104,BK104-BL104-BM104)</f>
        <v>0</v>
      </c>
      <c r="BO104" s="0" t="n">
        <f aca="false">BK104-BL104-BM104-BN104</f>
        <v>0</v>
      </c>
      <c r="BP104" s="0" t="n">
        <f aca="false">MIN(BO104,P104)</f>
        <v>0</v>
      </c>
      <c r="BQ104" s="0" t="n">
        <f aca="false">BO104-BP104</f>
        <v>0</v>
      </c>
      <c r="BR104" s="0" t="n">
        <f aca="false">BC104*MIN((AT104-BL104),BQ104)</f>
        <v>0</v>
      </c>
      <c r="BS104" s="0" t="n">
        <f aca="false">BC104*MIN((AU104-BM104),BQ104-BR104)</f>
        <v>0</v>
      </c>
      <c r="BT104" s="0" t="n">
        <f aca="false">BC104*MIN((AV104-BN104),BQ104-BR104-BS104)</f>
        <v>0</v>
      </c>
      <c r="BU104" s="0" t="n">
        <f aca="false">BQ104-BR104-BS104-BT104</f>
        <v>0</v>
      </c>
      <c r="BV104" s="0" t="n">
        <f aca="false">MIN(BU104,Q104)</f>
        <v>0</v>
      </c>
      <c r="BW104" s="0" t="n">
        <f aca="false">BU104-BV104</f>
        <v>0</v>
      </c>
      <c r="BX104" s="0" t="n">
        <f aca="false">BF104*MIN((AT104-BL104-BR104),BW104)</f>
        <v>0</v>
      </c>
      <c r="BY104" s="0" t="n">
        <f aca="false">BF104*MIN((AU104-BM104-BS104),BW104-BX104)</f>
        <v>0</v>
      </c>
      <c r="BZ104" s="0" t="n">
        <f aca="false">BF104*MIN((AV104-BN104-BT104),BW104-BX104-BY104)</f>
        <v>0</v>
      </c>
      <c r="CA104" s="0" t="n">
        <f aca="false">BW104-BX104-BY104-BZ104</f>
        <v>0</v>
      </c>
      <c r="CB104" s="0" t="n">
        <f aca="false">MAX(0,AT104+AU104+AV104-BL104-BM104-BN104-BR104-BS104-BT104-BX104-BY104-BZ104-AW104)</f>
        <v>1.06979314296041E-010</v>
      </c>
      <c r="CC104" s="0" t="n">
        <f aca="false">1*MIN((AT104-BL104-BR104-BX104),MIN(CA104,CB104))</f>
        <v>0</v>
      </c>
      <c r="CD104" s="0" t="n">
        <f aca="false">1*MIN((AU104-BM104-BS104-BY104),MIN(CA104,CB104)-CC104)</f>
        <v>0</v>
      </c>
      <c r="CE104" s="0" t="n">
        <f aca="false">1*MIN((AV104-BN104-BT104-BZ104),MIN(CA104,CB104)-CC104-CD104)</f>
        <v>0</v>
      </c>
      <c r="CF104" s="0" t="n">
        <f aca="false">CA104-CC104-CD104-CE104</f>
        <v>0</v>
      </c>
      <c r="CG104" s="0" t="n">
        <f aca="false">IF(C104+D104+E104&gt;Inputs!$B$19,MIN(CF104,MAX(0,Inputs!$B$15-DO103)),0)</f>
        <v>0</v>
      </c>
      <c r="CH104" s="0" t="n">
        <f aca="false">CF104-CG104</f>
        <v>0</v>
      </c>
      <c r="CI104" s="0" t="n">
        <f aca="false">DO103+CG104</f>
        <v>0</v>
      </c>
      <c r="CJ104" s="0" t="n">
        <f aca="false">MIN(MAX(N104-BH104,0),CI104)</f>
        <v>0</v>
      </c>
      <c r="CK104" s="0" t="n">
        <f aca="false">MIN(MAX(O104-BJ104,0),CI104-CJ104)</f>
        <v>0</v>
      </c>
      <c r="CL104" s="0" t="n">
        <f aca="false">MIN(MAX(P104-BP104,0),CI104-CJ104-CK104)</f>
        <v>0</v>
      </c>
      <c r="CM104" s="0" t="n">
        <f aca="false">CJ104+CK104+CL104</f>
        <v>0</v>
      </c>
      <c r="CN104" s="0" t="n">
        <f aca="false">CI104-CM104</f>
        <v>0</v>
      </c>
      <c r="CO104" s="0" t="n">
        <f aca="false">BH104+CJ104</f>
        <v>0</v>
      </c>
      <c r="CP104" s="0" t="n">
        <f aca="false">BJ104+CK104</f>
        <v>0</v>
      </c>
      <c r="CQ104" s="0" t="n">
        <f aca="false">BP104+CL104</f>
        <v>0</v>
      </c>
      <c r="CR104" s="0" t="n">
        <f aca="false">BV104</f>
        <v>0</v>
      </c>
      <c r="CS104" s="0" t="n">
        <f aca="false">AT104-BL104-BR104-BX104-CC104</f>
        <v>0</v>
      </c>
      <c r="CT104" s="0" t="n">
        <f aca="false">AU104-BM104-BS104-BY104-CD104</f>
        <v>0</v>
      </c>
      <c r="CU104" s="0" t="n">
        <f aca="false">AV104-BN104-BT104-BZ104-CE104</f>
        <v>0</v>
      </c>
      <c r="CV104" s="0" t="n">
        <f aca="false">MAX(0,CS104+CT104+CU104-AW104)</f>
        <v>1.06979314296041E-010</v>
      </c>
      <c r="CW104" s="0" t="n">
        <f aca="false">MIN(CU104,CV104)</f>
        <v>0</v>
      </c>
      <c r="CX104" s="0" t="n">
        <f aca="false">MIN(CT104,CV104-CW104)</f>
        <v>0</v>
      </c>
      <c r="CY104" s="0" t="n">
        <f aca="false">MIN(CS104,CV104-CW104-CX104)</f>
        <v>0</v>
      </c>
      <c r="CZ104" s="0" t="n">
        <f aca="false">IF(CS104-CY104&lt;Inputs!$B$19,0,CS104-CY104)</f>
        <v>0</v>
      </c>
      <c r="DA104" s="0" t="n">
        <f aca="false">IF(CT104-CX104&lt;Inputs!$B$19,0,CT104-CX104)</f>
        <v>0</v>
      </c>
      <c r="DB104" s="0" t="n">
        <f aca="false">IF(CU104-CW104&lt;Inputs!$B$19,0,CU104-CW104)</f>
        <v>0</v>
      </c>
      <c r="DC104" s="0" t="n">
        <f aca="false">N104-CO104</f>
        <v>0</v>
      </c>
      <c r="DD104" s="0" t="n">
        <f aca="false">O104-CP104</f>
        <v>0</v>
      </c>
      <c r="DE104" s="0" t="n">
        <f aca="false">P104-CQ104</f>
        <v>0</v>
      </c>
      <c r="DF104" s="0" t="n">
        <f aca="false">Q104-CR104</f>
        <v>0</v>
      </c>
      <c r="DG104" s="0" t="n">
        <f aca="false">IF(CZ104+DA104+DB104&lt;=Inputs!$B$19,1,0)</f>
        <v>1</v>
      </c>
      <c r="DH104" s="0" t="n">
        <f aca="false">DG104*CN104</f>
        <v>0</v>
      </c>
      <c r="DI104" s="0" t="n">
        <f aca="false">DG104*(AS104+DH104)</f>
        <v>0</v>
      </c>
      <c r="DJ104" s="0" t="n">
        <f aca="false">DG104*MIN(DC104,DI104)</f>
        <v>0</v>
      </c>
      <c r="DK104" s="0" t="n">
        <f aca="false">DG104*MIN(DD104,DI104-DJ104)</f>
        <v>0</v>
      </c>
      <c r="DL104" s="0" t="n">
        <f aca="false">DG104*MIN(DE104,DI104-DJ104-DK104)</f>
        <v>0</v>
      </c>
      <c r="DM104" s="0" t="n">
        <f aca="false">DG104*MIN(DF104,DI104-DJ104-DK104-DL104)</f>
        <v>0</v>
      </c>
      <c r="DN104" s="0" t="n">
        <f aca="false">DJ104+DK104+DL104+DM104</f>
        <v>0</v>
      </c>
      <c r="DO104" s="0" t="n">
        <f aca="false">CN104-DH104</f>
        <v>0</v>
      </c>
      <c r="DP104" s="0" t="n">
        <f aca="false">DC104-DJ104</f>
        <v>0</v>
      </c>
      <c r="DQ104" s="0" t="n">
        <f aca="false">DD104-DK104</f>
        <v>0</v>
      </c>
      <c r="DR104" s="0" t="n">
        <f aca="false">DE104-DL104</f>
        <v>0</v>
      </c>
      <c r="DS104" s="0" t="n">
        <f aca="false">DF104-DM104</f>
        <v>0</v>
      </c>
      <c r="DT104" s="0" t="n">
        <f aca="false">CO104+DJ104</f>
        <v>0</v>
      </c>
      <c r="DU104" s="0" t="n">
        <f aca="false">CP104+DK104</f>
        <v>0</v>
      </c>
      <c r="DV104" s="0" t="n">
        <f aca="false">AP104+BL104+BR104+BX104+CC104</f>
        <v>0</v>
      </c>
      <c r="DW104" s="0" t="n">
        <f aca="false">CQ104+DL104</f>
        <v>0</v>
      </c>
      <c r="DX104" s="0" t="n">
        <f aca="false">AQ104+BM104+BS104+BY104+CD104</f>
        <v>0</v>
      </c>
      <c r="DY104" s="0" t="n">
        <f aca="false">CR104+DM104</f>
        <v>0</v>
      </c>
      <c r="DZ104" s="0" t="n">
        <f aca="false">AR104+BN104+BT104+BZ104+CE104</f>
        <v>0</v>
      </c>
      <c r="EA104" s="0" t="n">
        <f aca="false">DI104-DN104</f>
        <v>0</v>
      </c>
      <c r="EB104" s="0" t="n">
        <f aca="false">CH104+EA104</f>
        <v>0</v>
      </c>
      <c r="EC104" s="0" t="n">
        <f aca="false">R104-I104-MAX(-M104,0)-J104-K104-L104</f>
        <v>0</v>
      </c>
      <c r="ED104" s="0" t="n">
        <f aca="false">R104+S104+CM104+DH104-CG104-DT104-DU104-DW104-DY104-DV104-DX104-DZ104-EB104</f>
        <v>0</v>
      </c>
      <c r="EE104" s="0" t="n">
        <f aca="false">IF(AND(EB104&gt;0.000001,DP104+DQ104+DR104+DS104&gt;0.000001),1,0)</f>
        <v>0</v>
      </c>
    </row>
    <row r="105" customFormat="false" ht="15" hidden="false" customHeight="false" outlineLevel="0" collapsed="false">
      <c r="A105" s="0" t="n">
        <f aca="false">ROW()-5</f>
        <v>100</v>
      </c>
      <c r="B105" s="0" t="n">
        <f aca="false">Inputs!$B$11+(Inputs!$B$12-Inputs!$B$11)*(1-EXP(-A105/Inputs!$B$13))+Inputs!$B$8</f>
        <v>0.0326627904627896</v>
      </c>
      <c r="C105" s="0" t="n">
        <f aca="false">CZ104</f>
        <v>0</v>
      </c>
      <c r="D105" s="0" t="n">
        <f aca="false">DA104</f>
        <v>0</v>
      </c>
      <c r="E105" s="0" t="n">
        <f aca="false">DB104</f>
        <v>0</v>
      </c>
      <c r="F105" s="0" t="n">
        <f aca="false">IF(Inputs!$B$22=1,B105+Inputs!$B$23,Inputs!$B$23)/12</f>
        <v>0.00363856587189913</v>
      </c>
      <c r="G105" s="0" t="n">
        <f aca="false">IF(Inputs!$B$27=1,B105+Inputs!$B$28,Inputs!$B$28)/12</f>
        <v>0.00459689920523247</v>
      </c>
      <c r="H105" s="0" t="n">
        <f aca="false">IF(Inputs!$B$32=1,B105+Inputs!$B$33,Inputs!$B$33)/12</f>
        <v>0.00625</v>
      </c>
      <c r="I105" s="0" t="n">
        <f aca="false">Pool!BT105*Inputs!$B$14/12</f>
        <v>0</v>
      </c>
      <c r="J105" s="0" t="n">
        <f aca="false">C105*F105</f>
        <v>0</v>
      </c>
      <c r="K105" s="0" t="n">
        <f aca="false">D105*G105</f>
        <v>0</v>
      </c>
      <c r="L105" s="0" t="n">
        <f aca="false">E105*H105</f>
        <v>0</v>
      </c>
      <c r="M105" s="0" t="n">
        <f aca="false">Inputs!$B$17*(C105*Inputs!$B$22+D105*Inputs!$B$27+E105*Inputs!$B$32)*(B105-Inputs!$B$18)/12</f>
        <v>-0</v>
      </c>
      <c r="N105" s="0" t="n">
        <f aca="false">DP104+I105+MAX(-M105,0)</f>
        <v>0</v>
      </c>
      <c r="O105" s="0" t="n">
        <f aca="false">DQ104+J105</f>
        <v>0</v>
      </c>
      <c r="P105" s="0" t="n">
        <f aca="false">DR104+K105</f>
        <v>0</v>
      </c>
      <c r="Q105" s="0" t="n">
        <f aca="false">DS104+L105</f>
        <v>0</v>
      </c>
      <c r="R105" s="0" t="n">
        <f aca="false">Pool!BV105+MAX(M105,0)</f>
        <v>0</v>
      </c>
      <c r="S105" s="0" t="n">
        <f aca="false">Pool!BW105+Pool!BX105+Pool!BZ105</f>
        <v>0</v>
      </c>
      <c r="T105" s="0" t="n">
        <f aca="false">MAX(T104,BG104)</f>
        <v>1</v>
      </c>
      <c r="U105" s="0" t="n">
        <f aca="false">MIN(C105,S105)</f>
        <v>0</v>
      </c>
      <c r="V105" s="0" t="n">
        <f aca="false">MIN(D105,S105-U105)</f>
        <v>0</v>
      </c>
      <c r="W105" s="0" t="n">
        <f aca="false">MIN(E105,S105-U105-V105)</f>
        <v>0</v>
      </c>
      <c r="X105" s="0" t="n">
        <f aca="false">IF(C105-(0)&gt;Inputs!$B$19,1,0)</f>
        <v>0</v>
      </c>
      <c r="Y105" s="0" t="n">
        <f aca="false">IF(D105-(0)&gt;Inputs!$B$19,1,0)</f>
        <v>0</v>
      </c>
      <c r="Z105" s="0" t="n">
        <f aca="false">IF(E105-(0)&gt;Inputs!$B$19,1,0)</f>
        <v>0</v>
      </c>
      <c r="AA105" s="0" t="n">
        <f aca="false">IF((X105*C105+Y105*D105+Z105*E105)&gt;0,MIN(C105-(0),S105*X105*C105/(X105*C105+Y105*D105+Z105*E105)),0)</f>
        <v>0</v>
      </c>
      <c r="AB105" s="0" t="n">
        <f aca="false">IF((X105*C105+Y105*D105+Z105*E105)&gt;0,MIN(D105-(0),S105*Y105*D105/(X105*C105+Y105*D105+Z105*E105)),0)</f>
        <v>0</v>
      </c>
      <c r="AC105" s="0" t="n">
        <f aca="false">IF((X105*C105+Y105*D105+Z105*E105)&gt;0,MIN(E105-(0),S105*Z105*E105/(X105*C105+Y105*D105+Z105*E105)),0)</f>
        <v>0</v>
      </c>
      <c r="AD105" s="0" t="n">
        <f aca="false">IF(C105-(AA105)&gt;Inputs!$B$19,1,0)</f>
        <v>0</v>
      </c>
      <c r="AE105" s="0" t="n">
        <f aca="false">IF(D105-(AB105)&gt;Inputs!$B$19,1,0)</f>
        <v>0</v>
      </c>
      <c r="AF105" s="0" t="n">
        <f aca="false">IF(E105-(AC105)&gt;Inputs!$B$19,1,0)</f>
        <v>0</v>
      </c>
      <c r="AG105" s="0" t="n">
        <f aca="false">IF((AD105*C105+AE105*D105+AF105*E105)&gt;0,MIN(C105-(AA105),(S105-(AA105+AB105+AC105))*AD105*C105/(AD105*C105+AE105*D105+AF105*E105)),0)</f>
        <v>0</v>
      </c>
      <c r="AH105" s="0" t="n">
        <f aca="false">IF((AD105*C105+AE105*D105+AF105*E105)&gt;0,MIN(D105-(AB105),(S105-(AA105+AB105+AC105))*AE105*D105/(AD105*C105+AE105*D105+AF105*E105)),0)</f>
        <v>0</v>
      </c>
      <c r="AI105" s="0" t="n">
        <f aca="false">IF((AD105*C105+AE105*D105+AF105*E105)&gt;0,MIN(E105-(AC105),(S105-(AA105+AB105+AC105))*AF105*E105/(AD105*C105+AE105*D105+AF105*E105)),0)</f>
        <v>0</v>
      </c>
      <c r="AJ105" s="0" t="n">
        <f aca="false">IF(C105-(AA105+AG105)&gt;Inputs!$B$19,1,0)</f>
        <v>0</v>
      </c>
      <c r="AK105" s="0" t="n">
        <f aca="false">IF(D105-(AB105+AH105)&gt;Inputs!$B$19,1,0)</f>
        <v>0</v>
      </c>
      <c r="AL105" s="0" t="n">
        <f aca="false">IF(E105-(AC105+AI105)&gt;Inputs!$B$19,1,0)</f>
        <v>0</v>
      </c>
      <c r="AM105" s="0" t="n">
        <f aca="false">IF((AJ105*C105+AK105*D105+AL105*E105)&gt;0,MIN(C105-(AA105+AG105),(S105-(AA105+AB105+AC105+AG105+AH105+AI105))*AJ105*C105/(AJ105*C105+AK105*D105+AL105*E105)),0)</f>
        <v>0</v>
      </c>
      <c r="AN105" s="0" t="n">
        <f aca="false">IF((AJ105*C105+AK105*D105+AL105*E105)&gt;0,MIN(D105-(AB105+AH105),(S105-(AA105+AB105+AC105+AG105+AH105+AI105))*AK105*D105/(AJ105*C105+AK105*D105+AL105*E105)),0)</f>
        <v>0</v>
      </c>
      <c r="AO105" s="0" t="n">
        <f aca="false">IF((AJ105*C105+AK105*D105+AL105*E105)&gt;0,MIN(E105-(AC105+AI105),(S105-(AA105+AB105+AC105+AG105+AH105+AI105))*AL105*E105/(AJ105*C105+AK105*D105+AL105*E105)),0)</f>
        <v>0</v>
      </c>
      <c r="AP105" s="0" t="n">
        <f aca="false">IF(T105=1,U105,AA105+AG105+AM105)</f>
        <v>0</v>
      </c>
      <c r="AQ105" s="0" t="n">
        <f aca="false">IF(T105=1,V105,AB105+AH105+AN105)</f>
        <v>0</v>
      </c>
      <c r="AR105" s="0" t="n">
        <f aca="false">IF(T105=1,W105,AC105+AI105+AO105)</f>
        <v>0</v>
      </c>
      <c r="AS105" s="0" t="n">
        <f aca="false">S105-AP105-AQ105-AR105</f>
        <v>0</v>
      </c>
      <c r="AT105" s="0" t="n">
        <f aca="false">C105-AP105</f>
        <v>0</v>
      </c>
      <c r="AU105" s="0" t="n">
        <f aca="false">D105-AQ105</f>
        <v>0</v>
      </c>
      <c r="AV105" s="0" t="n">
        <f aca="false">E105-AR105</f>
        <v>0</v>
      </c>
      <c r="AW105" s="0" t="n">
        <f aca="false">Pool!CB105</f>
        <v>-1.06979314296041E-010</v>
      </c>
      <c r="AX105" s="0" t="n">
        <f aca="false">IF((AT105)&gt;Inputs!$B$19,AW105/(AT105),1000000000)</f>
        <v>1000000000</v>
      </c>
      <c r="AY105" s="0" t="n">
        <f aca="false">IF((J105)&gt;0.000000001,(R105-I105-MAX(-M105,0))/(J105),1000000000)</f>
        <v>1000000000</v>
      </c>
      <c r="AZ105" s="0" t="n">
        <f aca="false">IF(OR(AX105&lt;Inputs!$B$24,AY105&lt;Inputs!$B$25),1,0)</f>
        <v>0</v>
      </c>
      <c r="BA105" s="0" t="n">
        <f aca="false">IF((AT105+AU105)&gt;Inputs!$B$19,AW105/(AT105+AU105),1000000000)</f>
        <v>1000000000</v>
      </c>
      <c r="BB105" s="0" t="n">
        <f aca="false">IF((J105+K105)&gt;0.000000001,(R105-I105-MAX(-M105,0))/(J105+K105),1000000000)</f>
        <v>1000000000</v>
      </c>
      <c r="BC105" s="0" t="n">
        <f aca="false">IF(OR(BA105&lt;Inputs!$B$29,BB105&lt;Inputs!$B$30),1,0)</f>
        <v>0</v>
      </c>
      <c r="BD105" s="0" t="n">
        <f aca="false">IF((AT105+AU105+AV105)&gt;Inputs!$B$19,AW105/(AT105+AU105+AV105),1000000000)</f>
        <v>1000000000</v>
      </c>
      <c r="BE105" s="0" t="n">
        <f aca="false">IF((J105+K105+L105)&gt;0.000000001,(R105-I105-MAX(-M105,0))/(J105+K105+L105),1000000000)</f>
        <v>1000000000</v>
      </c>
      <c r="BF105" s="0" t="n">
        <f aca="false">IF(OR(BD105&lt;Inputs!$B$34,BE105&lt;Inputs!$B$35),1,0)</f>
        <v>0</v>
      </c>
      <c r="BG105" s="0" t="n">
        <f aca="false">MAX(AZ105,BC105,BF105)</f>
        <v>0</v>
      </c>
      <c r="BH105" s="0" t="n">
        <f aca="false">MIN(R105,N105)</f>
        <v>0</v>
      </c>
      <c r="BI105" s="0" t="n">
        <f aca="false">R105-BH105</f>
        <v>0</v>
      </c>
      <c r="BJ105" s="0" t="n">
        <f aca="false">MIN(BI105,O105)</f>
        <v>0</v>
      </c>
      <c r="BK105" s="0" t="n">
        <f aca="false">BI105-BJ105</f>
        <v>0</v>
      </c>
      <c r="BL105" s="0" t="n">
        <f aca="false">AZ105*MIN(AT105,BK105)</f>
        <v>0</v>
      </c>
      <c r="BM105" s="0" t="n">
        <f aca="false">AZ105*MIN(AU105,BK105-BL105)</f>
        <v>0</v>
      </c>
      <c r="BN105" s="0" t="n">
        <f aca="false">AZ105*MIN(AV105,BK105-BL105-BM105)</f>
        <v>0</v>
      </c>
      <c r="BO105" s="0" t="n">
        <f aca="false">BK105-BL105-BM105-BN105</f>
        <v>0</v>
      </c>
      <c r="BP105" s="0" t="n">
        <f aca="false">MIN(BO105,P105)</f>
        <v>0</v>
      </c>
      <c r="BQ105" s="0" t="n">
        <f aca="false">BO105-BP105</f>
        <v>0</v>
      </c>
      <c r="BR105" s="0" t="n">
        <f aca="false">BC105*MIN((AT105-BL105),BQ105)</f>
        <v>0</v>
      </c>
      <c r="BS105" s="0" t="n">
        <f aca="false">BC105*MIN((AU105-BM105),BQ105-BR105)</f>
        <v>0</v>
      </c>
      <c r="BT105" s="0" t="n">
        <f aca="false">BC105*MIN((AV105-BN105),BQ105-BR105-BS105)</f>
        <v>0</v>
      </c>
      <c r="BU105" s="0" t="n">
        <f aca="false">BQ105-BR105-BS105-BT105</f>
        <v>0</v>
      </c>
      <c r="BV105" s="0" t="n">
        <f aca="false">MIN(BU105,Q105)</f>
        <v>0</v>
      </c>
      <c r="BW105" s="0" t="n">
        <f aca="false">BU105-BV105</f>
        <v>0</v>
      </c>
      <c r="BX105" s="0" t="n">
        <f aca="false">BF105*MIN((AT105-BL105-BR105),BW105)</f>
        <v>0</v>
      </c>
      <c r="BY105" s="0" t="n">
        <f aca="false">BF105*MIN((AU105-BM105-BS105),BW105-BX105)</f>
        <v>0</v>
      </c>
      <c r="BZ105" s="0" t="n">
        <f aca="false">BF105*MIN((AV105-BN105-BT105),BW105-BX105-BY105)</f>
        <v>0</v>
      </c>
      <c r="CA105" s="0" t="n">
        <f aca="false">BW105-BX105-BY105-BZ105</f>
        <v>0</v>
      </c>
      <c r="CB105" s="0" t="n">
        <f aca="false">MAX(0,AT105+AU105+AV105-BL105-BM105-BN105-BR105-BS105-BT105-BX105-BY105-BZ105-AW105)</f>
        <v>1.06979314296041E-010</v>
      </c>
      <c r="CC105" s="0" t="n">
        <f aca="false">1*MIN((AT105-BL105-BR105-BX105),MIN(CA105,CB105))</f>
        <v>0</v>
      </c>
      <c r="CD105" s="0" t="n">
        <f aca="false">1*MIN((AU105-BM105-BS105-BY105),MIN(CA105,CB105)-CC105)</f>
        <v>0</v>
      </c>
      <c r="CE105" s="0" t="n">
        <f aca="false">1*MIN((AV105-BN105-BT105-BZ105),MIN(CA105,CB105)-CC105-CD105)</f>
        <v>0</v>
      </c>
      <c r="CF105" s="0" t="n">
        <f aca="false">CA105-CC105-CD105-CE105</f>
        <v>0</v>
      </c>
      <c r="CG105" s="0" t="n">
        <f aca="false">IF(C105+D105+E105&gt;Inputs!$B$19,MIN(CF105,MAX(0,Inputs!$B$15-DO104)),0)</f>
        <v>0</v>
      </c>
      <c r="CH105" s="0" t="n">
        <f aca="false">CF105-CG105</f>
        <v>0</v>
      </c>
      <c r="CI105" s="0" t="n">
        <f aca="false">DO104+CG105</f>
        <v>0</v>
      </c>
      <c r="CJ105" s="0" t="n">
        <f aca="false">MIN(MAX(N105-BH105,0),CI105)</f>
        <v>0</v>
      </c>
      <c r="CK105" s="0" t="n">
        <f aca="false">MIN(MAX(O105-BJ105,0),CI105-CJ105)</f>
        <v>0</v>
      </c>
      <c r="CL105" s="0" t="n">
        <f aca="false">MIN(MAX(P105-BP105,0),CI105-CJ105-CK105)</f>
        <v>0</v>
      </c>
      <c r="CM105" s="0" t="n">
        <f aca="false">CJ105+CK105+CL105</f>
        <v>0</v>
      </c>
      <c r="CN105" s="0" t="n">
        <f aca="false">CI105-CM105</f>
        <v>0</v>
      </c>
      <c r="CO105" s="0" t="n">
        <f aca="false">BH105+CJ105</f>
        <v>0</v>
      </c>
      <c r="CP105" s="0" t="n">
        <f aca="false">BJ105+CK105</f>
        <v>0</v>
      </c>
      <c r="CQ105" s="0" t="n">
        <f aca="false">BP105+CL105</f>
        <v>0</v>
      </c>
      <c r="CR105" s="0" t="n">
        <f aca="false">BV105</f>
        <v>0</v>
      </c>
      <c r="CS105" s="0" t="n">
        <f aca="false">AT105-BL105-BR105-BX105-CC105</f>
        <v>0</v>
      </c>
      <c r="CT105" s="0" t="n">
        <f aca="false">AU105-BM105-BS105-BY105-CD105</f>
        <v>0</v>
      </c>
      <c r="CU105" s="0" t="n">
        <f aca="false">AV105-BN105-BT105-BZ105-CE105</f>
        <v>0</v>
      </c>
      <c r="CV105" s="0" t="n">
        <f aca="false">MAX(0,CS105+CT105+CU105-AW105)</f>
        <v>1.06979314296041E-010</v>
      </c>
      <c r="CW105" s="0" t="n">
        <f aca="false">MIN(CU105,CV105)</f>
        <v>0</v>
      </c>
      <c r="CX105" s="0" t="n">
        <f aca="false">MIN(CT105,CV105-CW105)</f>
        <v>0</v>
      </c>
      <c r="CY105" s="0" t="n">
        <f aca="false">MIN(CS105,CV105-CW105-CX105)</f>
        <v>0</v>
      </c>
      <c r="CZ105" s="0" t="n">
        <f aca="false">IF(CS105-CY105&lt;Inputs!$B$19,0,CS105-CY105)</f>
        <v>0</v>
      </c>
      <c r="DA105" s="0" t="n">
        <f aca="false">IF(CT105-CX105&lt;Inputs!$B$19,0,CT105-CX105)</f>
        <v>0</v>
      </c>
      <c r="DB105" s="0" t="n">
        <f aca="false">IF(CU105-CW105&lt;Inputs!$B$19,0,CU105-CW105)</f>
        <v>0</v>
      </c>
      <c r="DC105" s="0" t="n">
        <f aca="false">N105-CO105</f>
        <v>0</v>
      </c>
      <c r="DD105" s="0" t="n">
        <f aca="false">O105-CP105</f>
        <v>0</v>
      </c>
      <c r="DE105" s="0" t="n">
        <f aca="false">P105-CQ105</f>
        <v>0</v>
      </c>
      <c r="DF105" s="0" t="n">
        <f aca="false">Q105-CR105</f>
        <v>0</v>
      </c>
      <c r="DG105" s="0" t="n">
        <f aca="false">IF(CZ105+DA105+DB105&lt;=Inputs!$B$19,1,0)</f>
        <v>1</v>
      </c>
      <c r="DH105" s="0" t="n">
        <f aca="false">DG105*CN105</f>
        <v>0</v>
      </c>
      <c r="DI105" s="0" t="n">
        <f aca="false">DG105*(AS105+DH105)</f>
        <v>0</v>
      </c>
      <c r="DJ105" s="0" t="n">
        <f aca="false">DG105*MIN(DC105,DI105)</f>
        <v>0</v>
      </c>
      <c r="DK105" s="0" t="n">
        <f aca="false">DG105*MIN(DD105,DI105-DJ105)</f>
        <v>0</v>
      </c>
      <c r="DL105" s="0" t="n">
        <f aca="false">DG105*MIN(DE105,DI105-DJ105-DK105)</f>
        <v>0</v>
      </c>
      <c r="DM105" s="0" t="n">
        <f aca="false">DG105*MIN(DF105,DI105-DJ105-DK105-DL105)</f>
        <v>0</v>
      </c>
      <c r="DN105" s="0" t="n">
        <f aca="false">DJ105+DK105+DL105+DM105</f>
        <v>0</v>
      </c>
      <c r="DO105" s="0" t="n">
        <f aca="false">CN105-DH105</f>
        <v>0</v>
      </c>
      <c r="DP105" s="0" t="n">
        <f aca="false">DC105-DJ105</f>
        <v>0</v>
      </c>
      <c r="DQ105" s="0" t="n">
        <f aca="false">DD105-DK105</f>
        <v>0</v>
      </c>
      <c r="DR105" s="0" t="n">
        <f aca="false">DE105-DL105</f>
        <v>0</v>
      </c>
      <c r="DS105" s="0" t="n">
        <f aca="false">DF105-DM105</f>
        <v>0</v>
      </c>
      <c r="DT105" s="0" t="n">
        <f aca="false">CO105+DJ105</f>
        <v>0</v>
      </c>
      <c r="DU105" s="0" t="n">
        <f aca="false">CP105+DK105</f>
        <v>0</v>
      </c>
      <c r="DV105" s="0" t="n">
        <f aca="false">AP105+BL105+BR105+BX105+CC105</f>
        <v>0</v>
      </c>
      <c r="DW105" s="0" t="n">
        <f aca="false">CQ105+DL105</f>
        <v>0</v>
      </c>
      <c r="DX105" s="0" t="n">
        <f aca="false">AQ105+BM105+BS105+BY105+CD105</f>
        <v>0</v>
      </c>
      <c r="DY105" s="0" t="n">
        <f aca="false">CR105+DM105</f>
        <v>0</v>
      </c>
      <c r="DZ105" s="0" t="n">
        <f aca="false">AR105+BN105+BT105+BZ105+CE105</f>
        <v>0</v>
      </c>
      <c r="EA105" s="0" t="n">
        <f aca="false">DI105-DN105</f>
        <v>0</v>
      </c>
      <c r="EB105" s="0" t="n">
        <f aca="false">CH105+EA105</f>
        <v>0</v>
      </c>
      <c r="EC105" s="0" t="n">
        <f aca="false">R105-I105-MAX(-M105,0)-J105-K105-L105</f>
        <v>0</v>
      </c>
      <c r="ED105" s="0" t="n">
        <f aca="false">R105+S105+CM105+DH105-CG105-DT105-DU105-DW105-DY105-DV105-DX105-DZ105-EB105</f>
        <v>0</v>
      </c>
      <c r="EE105" s="0" t="n">
        <f aca="false">IF(AND(EB105&gt;0.000001,DP105+DQ105+DR105+DS105&gt;0.000001),1,0)</f>
        <v>0</v>
      </c>
    </row>
    <row r="106" customFormat="false" ht="15" hidden="false" customHeight="false" outlineLevel="0" collapsed="false">
      <c r="A106" s="0" t="n">
        <f aca="false">ROW()-5</f>
        <v>101</v>
      </c>
      <c r="B106" s="0" t="n">
        <f aca="false">Inputs!$B$11+(Inputs!$B$12-Inputs!$B$11)*(1-EXP(-A106/Inputs!$B$13))+Inputs!$B$8</f>
        <v>0.0326561468956257</v>
      </c>
      <c r="C106" s="0" t="n">
        <f aca="false">CZ105</f>
        <v>0</v>
      </c>
      <c r="D106" s="0" t="n">
        <f aca="false">DA105</f>
        <v>0</v>
      </c>
      <c r="E106" s="0" t="n">
        <f aca="false">DB105</f>
        <v>0</v>
      </c>
      <c r="F106" s="0" t="n">
        <f aca="false">IF(Inputs!$B$22=1,B106+Inputs!$B$23,Inputs!$B$23)/12</f>
        <v>0.00363801224130214</v>
      </c>
      <c r="G106" s="0" t="n">
        <f aca="false">IF(Inputs!$B$27=1,B106+Inputs!$B$28,Inputs!$B$28)/12</f>
        <v>0.00459634557463548</v>
      </c>
      <c r="H106" s="0" t="n">
        <f aca="false">IF(Inputs!$B$32=1,B106+Inputs!$B$33,Inputs!$B$33)/12</f>
        <v>0.00625</v>
      </c>
      <c r="I106" s="0" t="n">
        <f aca="false">Pool!BT106*Inputs!$B$14/12</f>
        <v>0</v>
      </c>
      <c r="J106" s="0" t="n">
        <f aca="false">C106*F106</f>
        <v>0</v>
      </c>
      <c r="K106" s="0" t="n">
        <f aca="false">D106*G106</f>
        <v>0</v>
      </c>
      <c r="L106" s="0" t="n">
        <f aca="false">E106*H106</f>
        <v>0</v>
      </c>
      <c r="M106" s="0" t="n">
        <f aca="false">Inputs!$B$17*(C106*Inputs!$B$22+D106*Inputs!$B$27+E106*Inputs!$B$32)*(B106-Inputs!$B$18)/12</f>
        <v>-0</v>
      </c>
      <c r="N106" s="0" t="n">
        <f aca="false">DP105+I106+MAX(-M106,0)</f>
        <v>0</v>
      </c>
      <c r="O106" s="0" t="n">
        <f aca="false">DQ105+J106</f>
        <v>0</v>
      </c>
      <c r="P106" s="0" t="n">
        <f aca="false">DR105+K106</f>
        <v>0</v>
      </c>
      <c r="Q106" s="0" t="n">
        <f aca="false">DS105+L106</f>
        <v>0</v>
      </c>
      <c r="R106" s="0" t="n">
        <f aca="false">Pool!BV106+MAX(M106,0)</f>
        <v>0</v>
      </c>
      <c r="S106" s="0" t="n">
        <f aca="false">Pool!BW106+Pool!BX106+Pool!BZ106</f>
        <v>0</v>
      </c>
      <c r="T106" s="0" t="n">
        <f aca="false">MAX(T105,BG105)</f>
        <v>1</v>
      </c>
      <c r="U106" s="0" t="n">
        <f aca="false">MIN(C106,S106)</f>
        <v>0</v>
      </c>
      <c r="V106" s="0" t="n">
        <f aca="false">MIN(D106,S106-U106)</f>
        <v>0</v>
      </c>
      <c r="W106" s="0" t="n">
        <f aca="false">MIN(E106,S106-U106-V106)</f>
        <v>0</v>
      </c>
      <c r="X106" s="0" t="n">
        <f aca="false">IF(C106-(0)&gt;Inputs!$B$19,1,0)</f>
        <v>0</v>
      </c>
      <c r="Y106" s="0" t="n">
        <f aca="false">IF(D106-(0)&gt;Inputs!$B$19,1,0)</f>
        <v>0</v>
      </c>
      <c r="Z106" s="0" t="n">
        <f aca="false">IF(E106-(0)&gt;Inputs!$B$19,1,0)</f>
        <v>0</v>
      </c>
      <c r="AA106" s="0" t="n">
        <f aca="false">IF((X106*C106+Y106*D106+Z106*E106)&gt;0,MIN(C106-(0),S106*X106*C106/(X106*C106+Y106*D106+Z106*E106)),0)</f>
        <v>0</v>
      </c>
      <c r="AB106" s="0" t="n">
        <f aca="false">IF((X106*C106+Y106*D106+Z106*E106)&gt;0,MIN(D106-(0),S106*Y106*D106/(X106*C106+Y106*D106+Z106*E106)),0)</f>
        <v>0</v>
      </c>
      <c r="AC106" s="0" t="n">
        <f aca="false">IF((X106*C106+Y106*D106+Z106*E106)&gt;0,MIN(E106-(0),S106*Z106*E106/(X106*C106+Y106*D106+Z106*E106)),0)</f>
        <v>0</v>
      </c>
      <c r="AD106" s="0" t="n">
        <f aca="false">IF(C106-(AA106)&gt;Inputs!$B$19,1,0)</f>
        <v>0</v>
      </c>
      <c r="AE106" s="0" t="n">
        <f aca="false">IF(D106-(AB106)&gt;Inputs!$B$19,1,0)</f>
        <v>0</v>
      </c>
      <c r="AF106" s="0" t="n">
        <f aca="false">IF(E106-(AC106)&gt;Inputs!$B$19,1,0)</f>
        <v>0</v>
      </c>
      <c r="AG106" s="0" t="n">
        <f aca="false">IF((AD106*C106+AE106*D106+AF106*E106)&gt;0,MIN(C106-(AA106),(S106-(AA106+AB106+AC106))*AD106*C106/(AD106*C106+AE106*D106+AF106*E106)),0)</f>
        <v>0</v>
      </c>
      <c r="AH106" s="0" t="n">
        <f aca="false">IF((AD106*C106+AE106*D106+AF106*E106)&gt;0,MIN(D106-(AB106),(S106-(AA106+AB106+AC106))*AE106*D106/(AD106*C106+AE106*D106+AF106*E106)),0)</f>
        <v>0</v>
      </c>
      <c r="AI106" s="0" t="n">
        <f aca="false">IF((AD106*C106+AE106*D106+AF106*E106)&gt;0,MIN(E106-(AC106),(S106-(AA106+AB106+AC106))*AF106*E106/(AD106*C106+AE106*D106+AF106*E106)),0)</f>
        <v>0</v>
      </c>
      <c r="AJ106" s="0" t="n">
        <f aca="false">IF(C106-(AA106+AG106)&gt;Inputs!$B$19,1,0)</f>
        <v>0</v>
      </c>
      <c r="AK106" s="0" t="n">
        <f aca="false">IF(D106-(AB106+AH106)&gt;Inputs!$B$19,1,0)</f>
        <v>0</v>
      </c>
      <c r="AL106" s="0" t="n">
        <f aca="false">IF(E106-(AC106+AI106)&gt;Inputs!$B$19,1,0)</f>
        <v>0</v>
      </c>
      <c r="AM106" s="0" t="n">
        <f aca="false">IF((AJ106*C106+AK106*D106+AL106*E106)&gt;0,MIN(C106-(AA106+AG106),(S106-(AA106+AB106+AC106+AG106+AH106+AI106))*AJ106*C106/(AJ106*C106+AK106*D106+AL106*E106)),0)</f>
        <v>0</v>
      </c>
      <c r="AN106" s="0" t="n">
        <f aca="false">IF((AJ106*C106+AK106*D106+AL106*E106)&gt;0,MIN(D106-(AB106+AH106),(S106-(AA106+AB106+AC106+AG106+AH106+AI106))*AK106*D106/(AJ106*C106+AK106*D106+AL106*E106)),0)</f>
        <v>0</v>
      </c>
      <c r="AO106" s="0" t="n">
        <f aca="false">IF((AJ106*C106+AK106*D106+AL106*E106)&gt;0,MIN(E106-(AC106+AI106),(S106-(AA106+AB106+AC106+AG106+AH106+AI106))*AL106*E106/(AJ106*C106+AK106*D106+AL106*E106)),0)</f>
        <v>0</v>
      </c>
      <c r="AP106" s="0" t="n">
        <f aca="false">IF(T106=1,U106,AA106+AG106+AM106)</f>
        <v>0</v>
      </c>
      <c r="AQ106" s="0" t="n">
        <f aca="false">IF(T106=1,V106,AB106+AH106+AN106)</f>
        <v>0</v>
      </c>
      <c r="AR106" s="0" t="n">
        <f aca="false">IF(T106=1,W106,AC106+AI106+AO106)</f>
        <v>0</v>
      </c>
      <c r="AS106" s="0" t="n">
        <f aca="false">S106-AP106-AQ106-AR106</f>
        <v>0</v>
      </c>
      <c r="AT106" s="0" t="n">
        <f aca="false">C106-AP106</f>
        <v>0</v>
      </c>
      <c r="AU106" s="0" t="n">
        <f aca="false">D106-AQ106</f>
        <v>0</v>
      </c>
      <c r="AV106" s="0" t="n">
        <f aca="false">E106-AR106</f>
        <v>0</v>
      </c>
      <c r="AW106" s="0" t="n">
        <f aca="false">Pool!CB106</f>
        <v>-1.06979314296041E-010</v>
      </c>
      <c r="AX106" s="0" t="n">
        <f aca="false">IF((AT106)&gt;Inputs!$B$19,AW106/(AT106),1000000000)</f>
        <v>1000000000</v>
      </c>
      <c r="AY106" s="0" t="n">
        <f aca="false">IF((J106)&gt;0.000000001,(R106-I106-MAX(-M106,0))/(J106),1000000000)</f>
        <v>1000000000</v>
      </c>
      <c r="AZ106" s="0" t="n">
        <f aca="false">IF(OR(AX106&lt;Inputs!$B$24,AY106&lt;Inputs!$B$25),1,0)</f>
        <v>0</v>
      </c>
      <c r="BA106" s="0" t="n">
        <f aca="false">IF((AT106+AU106)&gt;Inputs!$B$19,AW106/(AT106+AU106),1000000000)</f>
        <v>1000000000</v>
      </c>
      <c r="BB106" s="0" t="n">
        <f aca="false">IF((J106+K106)&gt;0.000000001,(R106-I106-MAX(-M106,0))/(J106+K106),1000000000)</f>
        <v>1000000000</v>
      </c>
      <c r="BC106" s="0" t="n">
        <f aca="false">IF(OR(BA106&lt;Inputs!$B$29,BB106&lt;Inputs!$B$30),1,0)</f>
        <v>0</v>
      </c>
      <c r="BD106" s="0" t="n">
        <f aca="false">IF((AT106+AU106+AV106)&gt;Inputs!$B$19,AW106/(AT106+AU106+AV106),1000000000)</f>
        <v>1000000000</v>
      </c>
      <c r="BE106" s="0" t="n">
        <f aca="false">IF((J106+K106+L106)&gt;0.000000001,(R106-I106-MAX(-M106,0))/(J106+K106+L106),1000000000)</f>
        <v>1000000000</v>
      </c>
      <c r="BF106" s="0" t="n">
        <f aca="false">IF(OR(BD106&lt;Inputs!$B$34,BE106&lt;Inputs!$B$35),1,0)</f>
        <v>0</v>
      </c>
      <c r="BG106" s="0" t="n">
        <f aca="false">MAX(AZ106,BC106,BF106)</f>
        <v>0</v>
      </c>
      <c r="BH106" s="0" t="n">
        <f aca="false">MIN(R106,N106)</f>
        <v>0</v>
      </c>
      <c r="BI106" s="0" t="n">
        <f aca="false">R106-BH106</f>
        <v>0</v>
      </c>
      <c r="BJ106" s="0" t="n">
        <f aca="false">MIN(BI106,O106)</f>
        <v>0</v>
      </c>
      <c r="BK106" s="0" t="n">
        <f aca="false">BI106-BJ106</f>
        <v>0</v>
      </c>
      <c r="BL106" s="0" t="n">
        <f aca="false">AZ106*MIN(AT106,BK106)</f>
        <v>0</v>
      </c>
      <c r="BM106" s="0" t="n">
        <f aca="false">AZ106*MIN(AU106,BK106-BL106)</f>
        <v>0</v>
      </c>
      <c r="BN106" s="0" t="n">
        <f aca="false">AZ106*MIN(AV106,BK106-BL106-BM106)</f>
        <v>0</v>
      </c>
      <c r="BO106" s="0" t="n">
        <f aca="false">BK106-BL106-BM106-BN106</f>
        <v>0</v>
      </c>
      <c r="BP106" s="0" t="n">
        <f aca="false">MIN(BO106,P106)</f>
        <v>0</v>
      </c>
      <c r="BQ106" s="0" t="n">
        <f aca="false">BO106-BP106</f>
        <v>0</v>
      </c>
      <c r="BR106" s="0" t="n">
        <f aca="false">BC106*MIN((AT106-BL106),BQ106)</f>
        <v>0</v>
      </c>
      <c r="BS106" s="0" t="n">
        <f aca="false">BC106*MIN((AU106-BM106),BQ106-BR106)</f>
        <v>0</v>
      </c>
      <c r="BT106" s="0" t="n">
        <f aca="false">BC106*MIN((AV106-BN106),BQ106-BR106-BS106)</f>
        <v>0</v>
      </c>
      <c r="BU106" s="0" t="n">
        <f aca="false">BQ106-BR106-BS106-BT106</f>
        <v>0</v>
      </c>
      <c r="BV106" s="0" t="n">
        <f aca="false">MIN(BU106,Q106)</f>
        <v>0</v>
      </c>
      <c r="BW106" s="0" t="n">
        <f aca="false">BU106-BV106</f>
        <v>0</v>
      </c>
      <c r="BX106" s="0" t="n">
        <f aca="false">BF106*MIN((AT106-BL106-BR106),BW106)</f>
        <v>0</v>
      </c>
      <c r="BY106" s="0" t="n">
        <f aca="false">BF106*MIN((AU106-BM106-BS106),BW106-BX106)</f>
        <v>0</v>
      </c>
      <c r="BZ106" s="0" t="n">
        <f aca="false">BF106*MIN((AV106-BN106-BT106),BW106-BX106-BY106)</f>
        <v>0</v>
      </c>
      <c r="CA106" s="0" t="n">
        <f aca="false">BW106-BX106-BY106-BZ106</f>
        <v>0</v>
      </c>
      <c r="CB106" s="0" t="n">
        <f aca="false">MAX(0,AT106+AU106+AV106-BL106-BM106-BN106-BR106-BS106-BT106-BX106-BY106-BZ106-AW106)</f>
        <v>1.06979314296041E-010</v>
      </c>
      <c r="CC106" s="0" t="n">
        <f aca="false">1*MIN((AT106-BL106-BR106-BX106),MIN(CA106,CB106))</f>
        <v>0</v>
      </c>
      <c r="CD106" s="0" t="n">
        <f aca="false">1*MIN((AU106-BM106-BS106-BY106),MIN(CA106,CB106)-CC106)</f>
        <v>0</v>
      </c>
      <c r="CE106" s="0" t="n">
        <f aca="false">1*MIN((AV106-BN106-BT106-BZ106),MIN(CA106,CB106)-CC106-CD106)</f>
        <v>0</v>
      </c>
      <c r="CF106" s="0" t="n">
        <f aca="false">CA106-CC106-CD106-CE106</f>
        <v>0</v>
      </c>
      <c r="CG106" s="0" t="n">
        <f aca="false">IF(C106+D106+E106&gt;Inputs!$B$19,MIN(CF106,MAX(0,Inputs!$B$15-DO105)),0)</f>
        <v>0</v>
      </c>
      <c r="CH106" s="0" t="n">
        <f aca="false">CF106-CG106</f>
        <v>0</v>
      </c>
      <c r="CI106" s="0" t="n">
        <f aca="false">DO105+CG106</f>
        <v>0</v>
      </c>
      <c r="CJ106" s="0" t="n">
        <f aca="false">MIN(MAX(N106-BH106,0),CI106)</f>
        <v>0</v>
      </c>
      <c r="CK106" s="0" t="n">
        <f aca="false">MIN(MAX(O106-BJ106,0),CI106-CJ106)</f>
        <v>0</v>
      </c>
      <c r="CL106" s="0" t="n">
        <f aca="false">MIN(MAX(P106-BP106,0),CI106-CJ106-CK106)</f>
        <v>0</v>
      </c>
      <c r="CM106" s="0" t="n">
        <f aca="false">CJ106+CK106+CL106</f>
        <v>0</v>
      </c>
      <c r="CN106" s="0" t="n">
        <f aca="false">CI106-CM106</f>
        <v>0</v>
      </c>
      <c r="CO106" s="0" t="n">
        <f aca="false">BH106+CJ106</f>
        <v>0</v>
      </c>
      <c r="CP106" s="0" t="n">
        <f aca="false">BJ106+CK106</f>
        <v>0</v>
      </c>
      <c r="CQ106" s="0" t="n">
        <f aca="false">BP106+CL106</f>
        <v>0</v>
      </c>
      <c r="CR106" s="0" t="n">
        <f aca="false">BV106</f>
        <v>0</v>
      </c>
      <c r="CS106" s="0" t="n">
        <f aca="false">AT106-BL106-BR106-BX106-CC106</f>
        <v>0</v>
      </c>
      <c r="CT106" s="0" t="n">
        <f aca="false">AU106-BM106-BS106-BY106-CD106</f>
        <v>0</v>
      </c>
      <c r="CU106" s="0" t="n">
        <f aca="false">AV106-BN106-BT106-BZ106-CE106</f>
        <v>0</v>
      </c>
      <c r="CV106" s="0" t="n">
        <f aca="false">MAX(0,CS106+CT106+CU106-AW106)</f>
        <v>1.06979314296041E-010</v>
      </c>
      <c r="CW106" s="0" t="n">
        <f aca="false">MIN(CU106,CV106)</f>
        <v>0</v>
      </c>
      <c r="CX106" s="0" t="n">
        <f aca="false">MIN(CT106,CV106-CW106)</f>
        <v>0</v>
      </c>
      <c r="CY106" s="0" t="n">
        <f aca="false">MIN(CS106,CV106-CW106-CX106)</f>
        <v>0</v>
      </c>
      <c r="CZ106" s="0" t="n">
        <f aca="false">IF(CS106-CY106&lt;Inputs!$B$19,0,CS106-CY106)</f>
        <v>0</v>
      </c>
      <c r="DA106" s="0" t="n">
        <f aca="false">IF(CT106-CX106&lt;Inputs!$B$19,0,CT106-CX106)</f>
        <v>0</v>
      </c>
      <c r="DB106" s="0" t="n">
        <f aca="false">IF(CU106-CW106&lt;Inputs!$B$19,0,CU106-CW106)</f>
        <v>0</v>
      </c>
      <c r="DC106" s="0" t="n">
        <f aca="false">N106-CO106</f>
        <v>0</v>
      </c>
      <c r="DD106" s="0" t="n">
        <f aca="false">O106-CP106</f>
        <v>0</v>
      </c>
      <c r="DE106" s="0" t="n">
        <f aca="false">P106-CQ106</f>
        <v>0</v>
      </c>
      <c r="DF106" s="0" t="n">
        <f aca="false">Q106-CR106</f>
        <v>0</v>
      </c>
      <c r="DG106" s="0" t="n">
        <f aca="false">IF(CZ106+DA106+DB106&lt;=Inputs!$B$19,1,0)</f>
        <v>1</v>
      </c>
      <c r="DH106" s="0" t="n">
        <f aca="false">DG106*CN106</f>
        <v>0</v>
      </c>
      <c r="DI106" s="0" t="n">
        <f aca="false">DG106*(AS106+DH106)</f>
        <v>0</v>
      </c>
      <c r="DJ106" s="0" t="n">
        <f aca="false">DG106*MIN(DC106,DI106)</f>
        <v>0</v>
      </c>
      <c r="DK106" s="0" t="n">
        <f aca="false">DG106*MIN(DD106,DI106-DJ106)</f>
        <v>0</v>
      </c>
      <c r="DL106" s="0" t="n">
        <f aca="false">DG106*MIN(DE106,DI106-DJ106-DK106)</f>
        <v>0</v>
      </c>
      <c r="DM106" s="0" t="n">
        <f aca="false">DG106*MIN(DF106,DI106-DJ106-DK106-DL106)</f>
        <v>0</v>
      </c>
      <c r="DN106" s="0" t="n">
        <f aca="false">DJ106+DK106+DL106+DM106</f>
        <v>0</v>
      </c>
      <c r="DO106" s="0" t="n">
        <f aca="false">CN106-DH106</f>
        <v>0</v>
      </c>
      <c r="DP106" s="0" t="n">
        <f aca="false">DC106-DJ106</f>
        <v>0</v>
      </c>
      <c r="DQ106" s="0" t="n">
        <f aca="false">DD106-DK106</f>
        <v>0</v>
      </c>
      <c r="DR106" s="0" t="n">
        <f aca="false">DE106-DL106</f>
        <v>0</v>
      </c>
      <c r="DS106" s="0" t="n">
        <f aca="false">DF106-DM106</f>
        <v>0</v>
      </c>
      <c r="DT106" s="0" t="n">
        <f aca="false">CO106+DJ106</f>
        <v>0</v>
      </c>
      <c r="DU106" s="0" t="n">
        <f aca="false">CP106+DK106</f>
        <v>0</v>
      </c>
      <c r="DV106" s="0" t="n">
        <f aca="false">AP106+BL106+BR106+BX106+CC106</f>
        <v>0</v>
      </c>
      <c r="DW106" s="0" t="n">
        <f aca="false">CQ106+DL106</f>
        <v>0</v>
      </c>
      <c r="DX106" s="0" t="n">
        <f aca="false">AQ106+BM106+BS106+BY106+CD106</f>
        <v>0</v>
      </c>
      <c r="DY106" s="0" t="n">
        <f aca="false">CR106+DM106</f>
        <v>0</v>
      </c>
      <c r="DZ106" s="0" t="n">
        <f aca="false">AR106+BN106+BT106+BZ106+CE106</f>
        <v>0</v>
      </c>
      <c r="EA106" s="0" t="n">
        <f aca="false">DI106-DN106</f>
        <v>0</v>
      </c>
      <c r="EB106" s="0" t="n">
        <f aca="false">CH106+EA106</f>
        <v>0</v>
      </c>
      <c r="EC106" s="0" t="n">
        <f aca="false">R106-I106-MAX(-M106,0)-J106-K106-L106</f>
        <v>0</v>
      </c>
      <c r="ED106" s="0" t="n">
        <f aca="false">R106+S106+CM106+DH106-CG106-DT106-DU106-DW106-DY106-DV106-DX106-DZ106-EB106</f>
        <v>0</v>
      </c>
      <c r="EE106" s="0" t="n">
        <f aca="false">IF(AND(EB106&gt;0.000001,DP106+DQ106+DR106+DS106&gt;0.000001),1,0)</f>
        <v>0</v>
      </c>
    </row>
    <row r="107" customFormat="false" ht="15" hidden="false" customHeight="false" outlineLevel="0" collapsed="false">
      <c r="A107" s="0" t="n">
        <f aca="false">ROW()-5</f>
        <v>102</v>
      </c>
      <c r="B107" s="0" t="n">
        <f aca="false">Inputs!$B$11+(Inputs!$B$12-Inputs!$B$11)*(1-EXP(-A107/Inputs!$B$13))+Inputs!$B$8</f>
        <v>0.0326497744560445</v>
      </c>
      <c r="C107" s="0" t="n">
        <f aca="false">CZ106</f>
        <v>0</v>
      </c>
      <c r="D107" s="0" t="n">
        <f aca="false">DA106</f>
        <v>0</v>
      </c>
      <c r="E107" s="0" t="n">
        <f aca="false">DB106</f>
        <v>0</v>
      </c>
      <c r="F107" s="0" t="n">
        <f aca="false">IF(Inputs!$B$22=1,B107+Inputs!$B$23,Inputs!$B$23)/12</f>
        <v>0.00363748120467037</v>
      </c>
      <c r="G107" s="0" t="n">
        <f aca="false">IF(Inputs!$B$27=1,B107+Inputs!$B$28,Inputs!$B$28)/12</f>
        <v>0.00459581453800371</v>
      </c>
      <c r="H107" s="0" t="n">
        <f aca="false">IF(Inputs!$B$32=1,B107+Inputs!$B$33,Inputs!$B$33)/12</f>
        <v>0.00625</v>
      </c>
      <c r="I107" s="0" t="n">
        <f aca="false">Pool!BT107*Inputs!$B$14/12</f>
        <v>0</v>
      </c>
      <c r="J107" s="0" t="n">
        <f aca="false">C107*F107</f>
        <v>0</v>
      </c>
      <c r="K107" s="0" t="n">
        <f aca="false">D107*G107</f>
        <v>0</v>
      </c>
      <c r="L107" s="0" t="n">
        <f aca="false">E107*H107</f>
        <v>0</v>
      </c>
      <c r="M107" s="0" t="n">
        <f aca="false">Inputs!$B$17*(C107*Inputs!$B$22+D107*Inputs!$B$27+E107*Inputs!$B$32)*(B107-Inputs!$B$18)/12</f>
        <v>-0</v>
      </c>
      <c r="N107" s="0" t="n">
        <f aca="false">DP106+I107+MAX(-M107,0)</f>
        <v>0</v>
      </c>
      <c r="O107" s="0" t="n">
        <f aca="false">DQ106+J107</f>
        <v>0</v>
      </c>
      <c r="P107" s="0" t="n">
        <f aca="false">DR106+K107</f>
        <v>0</v>
      </c>
      <c r="Q107" s="0" t="n">
        <f aca="false">DS106+L107</f>
        <v>0</v>
      </c>
      <c r="R107" s="0" t="n">
        <f aca="false">Pool!BV107+MAX(M107,0)</f>
        <v>0</v>
      </c>
      <c r="S107" s="0" t="n">
        <f aca="false">Pool!BW107+Pool!BX107+Pool!BZ107</f>
        <v>0</v>
      </c>
      <c r="T107" s="0" t="n">
        <f aca="false">MAX(T106,BG106)</f>
        <v>1</v>
      </c>
      <c r="U107" s="0" t="n">
        <f aca="false">MIN(C107,S107)</f>
        <v>0</v>
      </c>
      <c r="V107" s="0" t="n">
        <f aca="false">MIN(D107,S107-U107)</f>
        <v>0</v>
      </c>
      <c r="W107" s="0" t="n">
        <f aca="false">MIN(E107,S107-U107-V107)</f>
        <v>0</v>
      </c>
      <c r="X107" s="0" t="n">
        <f aca="false">IF(C107-(0)&gt;Inputs!$B$19,1,0)</f>
        <v>0</v>
      </c>
      <c r="Y107" s="0" t="n">
        <f aca="false">IF(D107-(0)&gt;Inputs!$B$19,1,0)</f>
        <v>0</v>
      </c>
      <c r="Z107" s="0" t="n">
        <f aca="false">IF(E107-(0)&gt;Inputs!$B$19,1,0)</f>
        <v>0</v>
      </c>
      <c r="AA107" s="0" t="n">
        <f aca="false">IF((X107*C107+Y107*D107+Z107*E107)&gt;0,MIN(C107-(0),S107*X107*C107/(X107*C107+Y107*D107+Z107*E107)),0)</f>
        <v>0</v>
      </c>
      <c r="AB107" s="0" t="n">
        <f aca="false">IF((X107*C107+Y107*D107+Z107*E107)&gt;0,MIN(D107-(0),S107*Y107*D107/(X107*C107+Y107*D107+Z107*E107)),0)</f>
        <v>0</v>
      </c>
      <c r="AC107" s="0" t="n">
        <f aca="false">IF((X107*C107+Y107*D107+Z107*E107)&gt;0,MIN(E107-(0),S107*Z107*E107/(X107*C107+Y107*D107+Z107*E107)),0)</f>
        <v>0</v>
      </c>
      <c r="AD107" s="0" t="n">
        <f aca="false">IF(C107-(AA107)&gt;Inputs!$B$19,1,0)</f>
        <v>0</v>
      </c>
      <c r="AE107" s="0" t="n">
        <f aca="false">IF(D107-(AB107)&gt;Inputs!$B$19,1,0)</f>
        <v>0</v>
      </c>
      <c r="AF107" s="0" t="n">
        <f aca="false">IF(E107-(AC107)&gt;Inputs!$B$19,1,0)</f>
        <v>0</v>
      </c>
      <c r="AG107" s="0" t="n">
        <f aca="false">IF((AD107*C107+AE107*D107+AF107*E107)&gt;0,MIN(C107-(AA107),(S107-(AA107+AB107+AC107))*AD107*C107/(AD107*C107+AE107*D107+AF107*E107)),0)</f>
        <v>0</v>
      </c>
      <c r="AH107" s="0" t="n">
        <f aca="false">IF((AD107*C107+AE107*D107+AF107*E107)&gt;0,MIN(D107-(AB107),(S107-(AA107+AB107+AC107))*AE107*D107/(AD107*C107+AE107*D107+AF107*E107)),0)</f>
        <v>0</v>
      </c>
      <c r="AI107" s="0" t="n">
        <f aca="false">IF((AD107*C107+AE107*D107+AF107*E107)&gt;0,MIN(E107-(AC107),(S107-(AA107+AB107+AC107))*AF107*E107/(AD107*C107+AE107*D107+AF107*E107)),0)</f>
        <v>0</v>
      </c>
      <c r="AJ107" s="0" t="n">
        <f aca="false">IF(C107-(AA107+AG107)&gt;Inputs!$B$19,1,0)</f>
        <v>0</v>
      </c>
      <c r="AK107" s="0" t="n">
        <f aca="false">IF(D107-(AB107+AH107)&gt;Inputs!$B$19,1,0)</f>
        <v>0</v>
      </c>
      <c r="AL107" s="0" t="n">
        <f aca="false">IF(E107-(AC107+AI107)&gt;Inputs!$B$19,1,0)</f>
        <v>0</v>
      </c>
      <c r="AM107" s="0" t="n">
        <f aca="false">IF((AJ107*C107+AK107*D107+AL107*E107)&gt;0,MIN(C107-(AA107+AG107),(S107-(AA107+AB107+AC107+AG107+AH107+AI107))*AJ107*C107/(AJ107*C107+AK107*D107+AL107*E107)),0)</f>
        <v>0</v>
      </c>
      <c r="AN107" s="0" t="n">
        <f aca="false">IF((AJ107*C107+AK107*D107+AL107*E107)&gt;0,MIN(D107-(AB107+AH107),(S107-(AA107+AB107+AC107+AG107+AH107+AI107))*AK107*D107/(AJ107*C107+AK107*D107+AL107*E107)),0)</f>
        <v>0</v>
      </c>
      <c r="AO107" s="0" t="n">
        <f aca="false">IF((AJ107*C107+AK107*D107+AL107*E107)&gt;0,MIN(E107-(AC107+AI107),(S107-(AA107+AB107+AC107+AG107+AH107+AI107))*AL107*E107/(AJ107*C107+AK107*D107+AL107*E107)),0)</f>
        <v>0</v>
      </c>
      <c r="AP107" s="0" t="n">
        <f aca="false">IF(T107=1,U107,AA107+AG107+AM107)</f>
        <v>0</v>
      </c>
      <c r="AQ107" s="0" t="n">
        <f aca="false">IF(T107=1,V107,AB107+AH107+AN107)</f>
        <v>0</v>
      </c>
      <c r="AR107" s="0" t="n">
        <f aca="false">IF(T107=1,W107,AC107+AI107+AO107)</f>
        <v>0</v>
      </c>
      <c r="AS107" s="0" t="n">
        <f aca="false">S107-AP107-AQ107-AR107</f>
        <v>0</v>
      </c>
      <c r="AT107" s="0" t="n">
        <f aca="false">C107-AP107</f>
        <v>0</v>
      </c>
      <c r="AU107" s="0" t="n">
        <f aca="false">D107-AQ107</f>
        <v>0</v>
      </c>
      <c r="AV107" s="0" t="n">
        <f aca="false">E107-AR107</f>
        <v>0</v>
      </c>
      <c r="AW107" s="0" t="n">
        <f aca="false">Pool!CB107</f>
        <v>-1.06979314296041E-010</v>
      </c>
      <c r="AX107" s="0" t="n">
        <f aca="false">IF((AT107)&gt;Inputs!$B$19,AW107/(AT107),1000000000)</f>
        <v>1000000000</v>
      </c>
      <c r="AY107" s="0" t="n">
        <f aca="false">IF((J107)&gt;0.000000001,(R107-I107-MAX(-M107,0))/(J107),1000000000)</f>
        <v>1000000000</v>
      </c>
      <c r="AZ107" s="0" t="n">
        <f aca="false">IF(OR(AX107&lt;Inputs!$B$24,AY107&lt;Inputs!$B$25),1,0)</f>
        <v>0</v>
      </c>
      <c r="BA107" s="0" t="n">
        <f aca="false">IF((AT107+AU107)&gt;Inputs!$B$19,AW107/(AT107+AU107),1000000000)</f>
        <v>1000000000</v>
      </c>
      <c r="BB107" s="0" t="n">
        <f aca="false">IF((J107+K107)&gt;0.000000001,(R107-I107-MAX(-M107,0))/(J107+K107),1000000000)</f>
        <v>1000000000</v>
      </c>
      <c r="BC107" s="0" t="n">
        <f aca="false">IF(OR(BA107&lt;Inputs!$B$29,BB107&lt;Inputs!$B$30),1,0)</f>
        <v>0</v>
      </c>
      <c r="BD107" s="0" t="n">
        <f aca="false">IF((AT107+AU107+AV107)&gt;Inputs!$B$19,AW107/(AT107+AU107+AV107),1000000000)</f>
        <v>1000000000</v>
      </c>
      <c r="BE107" s="0" t="n">
        <f aca="false">IF((J107+K107+L107)&gt;0.000000001,(R107-I107-MAX(-M107,0))/(J107+K107+L107),1000000000)</f>
        <v>1000000000</v>
      </c>
      <c r="BF107" s="0" t="n">
        <f aca="false">IF(OR(BD107&lt;Inputs!$B$34,BE107&lt;Inputs!$B$35),1,0)</f>
        <v>0</v>
      </c>
      <c r="BG107" s="0" t="n">
        <f aca="false">MAX(AZ107,BC107,BF107)</f>
        <v>0</v>
      </c>
      <c r="BH107" s="0" t="n">
        <f aca="false">MIN(R107,N107)</f>
        <v>0</v>
      </c>
      <c r="BI107" s="0" t="n">
        <f aca="false">R107-BH107</f>
        <v>0</v>
      </c>
      <c r="BJ107" s="0" t="n">
        <f aca="false">MIN(BI107,O107)</f>
        <v>0</v>
      </c>
      <c r="BK107" s="0" t="n">
        <f aca="false">BI107-BJ107</f>
        <v>0</v>
      </c>
      <c r="BL107" s="0" t="n">
        <f aca="false">AZ107*MIN(AT107,BK107)</f>
        <v>0</v>
      </c>
      <c r="BM107" s="0" t="n">
        <f aca="false">AZ107*MIN(AU107,BK107-BL107)</f>
        <v>0</v>
      </c>
      <c r="BN107" s="0" t="n">
        <f aca="false">AZ107*MIN(AV107,BK107-BL107-BM107)</f>
        <v>0</v>
      </c>
      <c r="BO107" s="0" t="n">
        <f aca="false">BK107-BL107-BM107-BN107</f>
        <v>0</v>
      </c>
      <c r="BP107" s="0" t="n">
        <f aca="false">MIN(BO107,P107)</f>
        <v>0</v>
      </c>
      <c r="BQ107" s="0" t="n">
        <f aca="false">BO107-BP107</f>
        <v>0</v>
      </c>
      <c r="BR107" s="0" t="n">
        <f aca="false">BC107*MIN((AT107-BL107),BQ107)</f>
        <v>0</v>
      </c>
      <c r="BS107" s="0" t="n">
        <f aca="false">BC107*MIN((AU107-BM107),BQ107-BR107)</f>
        <v>0</v>
      </c>
      <c r="BT107" s="0" t="n">
        <f aca="false">BC107*MIN((AV107-BN107),BQ107-BR107-BS107)</f>
        <v>0</v>
      </c>
      <c r="BU107" s="0" t="n">
        <f aca="false">BQ107-BR107-BS107-BT107</f>
        <v>0</v>
      </c>
      <c r="BV107" s="0" t="n">
        <f aca="false">MIN(BU107,Q107)</f>
        <v>0</v>
      </c>
      <c r="BW107" s="0" t="n">
        <f aca="false">BU107-BV107</f>
        <v>0</v>
      </c>
      <c r="BX107" s="0" t="n">
        <f aca="false">BF107*MIN((AT107-BL107-BR107),BW107)</f>
        <v>0</v>
      </c>
      <c r="BY107" s="0" t="n">
        <f aca="false">BF107*MIN((AU107-BM107-BS107),BW107-BX107)</f>
        <v>0</v>
      </c>
      <c r="BZ107" s="0" t="n">
        <f aca="false">BF107*MIN((AV107-BN107-BT107),BW107-BX107-BY107)</f>
        <v>0</v>
      </c>
      <c r="CA107" s="0" t="n">
        <f aca="false">BW107-BX107-BY107-BZ107</f>
        <v>0</v>
      </c>
      <c r="CB107" s="0" t="n">
        <f aca="false">MAX(0,AT107+AU107+AV107-BL107-BM107-BN107-BR107-BS107-BT107-BX107-BY107-BZ107-AW107)</f>
        <v>1.06979314296041E-010</v>
      </c>
      <c r="CC107" s="0" t="n">
        <f aca="false">1*MIN((AT107-BL107-BR107-BX107),MIN(CA107,CB107))</f>
        <v>0</v>
      </c>
      <c r="CD107" s="0" t="n">
        <f aca="false">1*MIN((AU107-BM107-BS107-BY107),MIN(CA107,CB107)-CC107)</f>
        <v>0</v>
      </c>
      <c r="CE107" s="0" t="n">
        <f aca="false">1*MIN((AV107-BN107-BT107-BZ107),MIN(CA107,CB107)-CC107-CD107)</f>
        <v>0</v>
      </c>
      <c r="CF107" s="0" t="n">
        <f aca="false">CA107-CC107-CD107-CE107</f>
        <v>0</v>
      </c>
      <c r="CG107" s="0" t="n">
        <f aca="false">IF(C107+D107+E107&gt;Inputs!$B$19,MIN(CF107,MAX(0,Inputs!$B$15-DO106)),0)</f>
        <v>0</v>
      </c>
      <c r="CH107" s="0" t="n">
        <f aca="false">CF107-CG107</f>
        <v>0</v>
      </c>
      <c r="CI107" s="0" t="n">
        <f aca="false">DO106+CG107</f>
        <v>0</v>
      </c>
      <c r="CJ107" s="0" t="n">
        <f aca="false">MIN(MAX(N107-BH107,0),CI107)</f>
        <v>0</v>
      </c>
      <c r="CK107" s="0" t="n">
        <f aca="false">MIN(MAX(O107-BJ107,0),CI107-CJ107)</f>
        <v>0</v>
      </c>
      <c r="CL107" s="0" t="n">
        <f aca="false">MIN(MAX(P107-BP107,0),CI107-CJ107-CK107)</f>
        <v>0</v>
      </c>
      <c r="CM107" s="0" t="n">
        <f aca="false">CJ107+CK107+CL107</f>
        <v>0</v>
      </c>
      <c r="CN107" s="0" t="n">
        <f aca="false">CI107-CM107</f>
        <v>0</v>
      </c>
      <c r="CO107" s="0" t="n">
        <f aca="false">BH107+CJ107</f>
        <v>0</v>
      </c>
      <c r="CP107" s="0" t="n">
        <f aca="false">BJ107+CK107</f>
        <v>0</v>
      </c>
      <c r="CQ107" s="0" t="n">
        <f aca="false">BP107+CL107</f>
        <v>0</v>
      </c>
      <c r="CR107" s="0" t="n">
        <f aca="false">BV107</f>
        <v>0</v>
      </c>
      <c r="CS107" s="0" t="n">
        <f aca="false">AT107-BL107-BR107-BX107-CC107</f>
        <v>0</v>
      </c>
      <c r="CT107" s="0" t="n">
        <f aca="false">AU107-BM107-BS107-BY107-CD107</f>
        <v>0</v>
      </c>
      <c r="CU107" s="0" t="n">
        <f aca="false">AV107-BN107-BT107-BZ107-CE107</f>
        <v>0</v>
      </c>
      <c r="CV107" s="0" t="n">
        <f aca="false">MAX(0,CS107+CT107+CU107-AW107)</f>
        <v>1.06979314296041E-010</v>
      </c>
      <c r="CW107" s="0" t="n">
        <f aca="false">MIN(CU107,CV107)</f>
        <v>0</v>
      </c>
      <c r="CX107" s="0" t="n">
        <f aca="false">MIN(CT107,CV107-CW107)</f>
        <v>0</v>
      </c>
      <c r="CY107" s="0" t="n">
        <f aca="false">MIN(CS107,CV107-CW107-CX107)</f>
        <v>0</v>
      </c>
      <c r="CZ107" s="0" t="n">
        <f aca="false">IF(CS107-CY107&lt;Inputs!$B$19,0,CS107-CY107)</f>
        <v>0</v>
      </c>
      <c r="DA107" s="0" t="n">
        <f aca="false">IF(CT107-CX107&lt;Inputs!$B$19,0,CT107-CX107)</f>
        <v>0</v>
      </c>
      <c r="DB107" s="0" t="n">
        <f aca="false">IF(CU107-CW107&lt;Inputs!$B$19,0,CU107-CW107)</f>
        <v>0</v>
      </c>
      <c r="DC107" s="0" t="n">
        <f aca="false">N107-CO107</f>
        <v>0</v>
      </c>
      <c r="DD107" s="0" t="n">
        <f aca="false">O107-CP107</f>
        <v>0</v>
      </c>
      <c r="DE107" s="0" t="n">
        <f aca="false">P107-CQ107</f>
        <v>0</v>
      </c>
      <c r="DF107" s="0" t="n">
        <f aca="false">Q107-CR107</f>
        <v>0</v>
      </c>
      <c r="DG107" s="0" t="n">
        <f aca="false">IF(CZ107+DA107+DB107&lt;=Inputs!$B$19,1,0)</f>
        <v>1</v>
      </c>
      <c r="DH107" s="0" t="n">
        <f aca="false">DG107*CN107</f>
        <v>0</v>
      </c>
      <c r="DI107" s="0" t="n">
        <f aca="false">DG107*(AS107+DH107)</f>
        <v>0</v>
      </c>
      <c r="DJ107" s="0" t="n">
        <f aca="false">DG107*MIN(DC107,DI107)</f>
        <v>0</v>
      </c>
      <c r="DK107" s="0" t="n">
        <f aca="false">DG107*MIN(DD107,DI107-DJ107)</f>
        <v>0</v>
      </c>
      <c r="DL107" s="0" t="n">
        <f aca="false">DG107*MIN(DE107,DI107-DJ107-DK107)</f>
        <v>0</v>
      </c>
      <c r="DM107" s="0" t="n">
        <f aca="false">DG107*MIN(DF107,DI107-DJ107-DK107-DL107)</f>
        <v>0</v>
      </c>
      <c r="DN107" s="0" t="n">
        <f aca="false">DJ107+DK107+DL107+DM107</f>
        <v>0</v>
      </c>
      <c r="DO107" s="0" t="n">
        <f aca="false">CN107-DH107</f>
        <v>0</v>
      </c>
      <c r="DP107" s="0" t="n">
        <f aca="false">DC107-DJ107</f>
        <v>0</v>
      </c>
      <c r="DQ107" s="0" t="n">
        <f aca="false">DD107-DK107</f>
        <v>0</v>
      </c>
      <c r="DR107" s="0" t="n">
        <f aca="false">DE107-DL107</f>
        <v>0</v>
      </c>
      <c r="DS107" s="0" t="n">
        <f aca="false">DF107-DM107</f>
        <v>0</v>
      </c>
      <c r="DT107" s="0" t="n">
        <f aca="false">CO107+DJ107</f>
        <v>0</v>
      </c>
      <c r="DU107" s="0" t="n">
        <f aca="false">CP107+DK107</f>
        <v>0</v>
      </c>
      <c r="DV107" s="0" t="n">
        <f aca="false">AP107+BL107+BR107+BX107+CC107</f>
        <v>0</v>
      </c>
      <c r="DW107" s="0" t="n">
        <f aca="false">CQ107+DL107</f>
        <v>0</v>
      </c>
      <c r="DX107" s="0" t="n">
        <f aca="false">AQ107+BM107+BS107+BY107+CD107</f>
        <v>0</v>
      </c>
      <c r="DY107" s="0" t="n">
        <f aca="false">CR107+DM107</f>
        <v>0</v>
      </c>
      <c r="DZ107" s="0" t="n">
        <f aca="false">AR107+BN107+BT107+BZ107+CE107</f>
        <v>0</v>
      </c>
      <c r="EA107" s="0" t="n">
        <f aca="false">DI107-DN107</f>
        <v>0</v>
      </c>
      <c r="EB107" s="0" t="n">
        <f aca="false">CH107+EA107</f>
        <v>0</v>
      </c>
      <c r="EC107" s="0" t="n">
        <f aca="false">R107-I107-MAX(-M107,0)-J107-K107-L107</f>
        <v>0</v>
      </c>
      <c r="ED107" s="0" t="n">
        <f aca="false">R107+S107+CM107+DH107-CG107-DT107-DU107-DW107-DY107-DV107-DX107-DZ107-EB107</f>
        <v>0</v>
      </c>
      <c r="EE107" s="0" t="n">
        <f aca="false">IF(AND(EB107&gt;0.000001,DP107+DQ107+DR107+DS107&gt;0.000001),1,0)</f>
        <v>0</v>
      </c>
    </row>
    <row r="108" customFormat="false" ht="15" hidden="false" customHeight="false" outlineLevel="0" collapsed="false">
      <c r="A108" s="0" t="n">
        <f aca="false">ROW()-5</f>
        <v>103</v>
      </c>
      <c r="B108" s="0" t="n">
        <f aca="false">Inputs!$B$11+(Inputs!$B$12-Inputs!$B$11)*(1-EXP(-A108/Inputs!$B$13))+Inputs!$B$8</f>
        <v>0.0326436620791821</v>
      </c>
      <c r="C108" s="0" t="n">
        <f aca="false">CZ107</f>
        <v>0</v>
      </c>
      <c r="D108" s="0" t="n">
        <f aca="false">DA107</f>
        <v>0</v>
      </c>
      <c r="E108" s="0" t="n">
        <f aca="false">DB107</f>
        <v>0</v>
      </c>
      <c r="F108" s="0" t="n">
        <f aca="false">IF(Inputs!$B$22=1,B108+Inputs!$B$23,Inputs!$B$23)/12</f>
        <v>0.00363697183993184</v>
      </c>
      <c r="G108" s="0" t="n">
        <f aca="false">IF(Inputs!$B$27=1,B108+Inputs!$B$28,Inputs!$B$28)/12</f>
        <v>0.00459530517326518</v>
      </c>
      <c r="H108" s="0" t="n">
        <f aca="false">IF(Inputs!$B$32=1,B108+Inputs!$B$33,Inputs!$B$33)/12</f>
        <v>0.00625</v>
      </c>
      <c r="I108" s="0" t="n">
        <f aca="false">Pool!BT108*Inputs!$B$14/12</f>
        <v>0</v>
      </c>
      <c r="J108" s="0" t="n">
        <f aca="false">C108*F108</f>
        <v>0</v>
      </c>
      <c r="K108" s="0" t="n">
        <f aca="false">D108*G108</f>
        <v>0</v>
      </c>
      <c r="L108" s="0" t="n">
        <f aca="false">E108*H108</f>
        <v>0</v>
      </c>
      <c r="M108" s="0" t="n">
        <f aca="false">Inputs!$B$17*(C108*Inputs!$B$22+D108*Inputs!$B$27+E108*Inputs!$B$32)*(B108-Inputs!$B$18)/12</f>
        <v>-0</v>
      </c>
      <c r="N108" s="0" t="n">
        <f aca="false">DP107+I108+MAX(-M108,0)</f>
        <v>0</v>
      </c>
      <c r="O108" s="0" t="n">
        <f aca="false">DQ107+J108</f>
        <v>0</v>
      </c>
      <c r="P108" s="0" t="n">
        <f aca="false">DR107+K108</f>
        <v>0</v>
      </c>
      <c r="Q108" s="0" t="n">
        <f aca="false">DS107+L108</f>
        <v>0</v>
      </c>
      <c r="R108" s="0" t="n">
        <f aca="false">Pool!BV108+MAX(M108,0)</f>
        <v>0</v>
      </c>
      <c r="S108" s="0" t="n">
        <f aca="false">Pool!BW108+Pool!BX108+Pool!BZ108</f>
        <v>0</v>
      </c>
      <c r="T108" s="0" t="n">
        <f aca="false">MAX(T107,BG107)</f>
        <v>1</v>
      </c>
      <c r="U108" s="0" t="n">
        <f aca="false">MIN(C108,S108)</f>
        <v>0</v>
      </c>
      <c r="V108" s="0" t="n">
        <f aca="false">MIN(D108,S108-U108)</f>
        <v>0</v>
      </c>
      <c r="W108" s="0" t="n">
        <f aca="false">MIN(E108,S108-U108-V108)</f>
        <v>0</v>
      </c>
      <c r="X108" s="0" t="n">
        <f aca="false">IF(C108-(0)&gt;Inputs!$B$19,1,0)</f>
        <v>0</v>
      </c>
      <c r="Y108" s="0" t="n">
        <f aca="false">IF(D108-(0)&gt;Inputs!$B$19,1,0)</f>
        <v>0</v>
      </c>
      <c r="Z108" s="0" t="n">
        <f aca="false">IF(E108-(0)&gt;Inputs!$B$19,1,0)</f>
        <v>0</v>
      </c>
      <c r="AA108" s="0" t="n">
        <f aca="false">IF((X108*C108+Y108*D108+Z108*E108)&gt;0,MIN(C108-(0),S108*X108*C108/(X108*C108+Y108*D108+Z108*E108)),0)</f>
        <v>0</v>
      </c>
      <c r="AB108" s="0" t="n">
        <f aca="false">IF((X108*C108+Y108*D108+Z108*E108)&gt;0,MIN(D108-(0),S108*Y108*D108/(X108*C108+Y108*D108+Z108*E108)),0)</f>
        <v>0</v>
      </c>
      <c r="AC108" s="0" t="n">
        <f aca="false">IF((X108*C108+Y108*D108+Z108*E108)&gt;0,MIN(E108-(0),S108*Z108*E108/(X108*C108+Y108*D108+Z108*E108)),0)</f>
        <v>0</v>
      </c>
      <c r="AD108" s="0" t="n">
        <f aca="false">IF(C108-(AA108)&gt;Inputs!$B$19,1,0)</f>
        <v>0</v>
      </c>
      <c r="AE108" s="0" t="n">
        <f aca="false">IF(D108-(AB108)&gt;Inputs!$B$19,1,0)</f>
        <v>0</v>
      </c>
      <c r="AF108" s="0" t="n">
        <f aca="false">IF(E108-(AC108)&gt;Inputs!$B$19,1,0)</f>
        <v>0</v>
      </c>
      <c r="AG108" s="0" t="n">
        <f aca="false">IF((AD108*C108+AE108*D108+AF108*E108)&gt;0,MIN(C108-(AA108),(S108-(AA108+AB108+AC108))*AD108*C108/(AD108*C108+AE108*D108+AF108*E108)),0)</f>
        <v>0</v>
      </c>
      <c r="AH108" s="0" t="n">
        <f aca="false">IF((AD108*C108+AE108*D108+AF108*E108)&gt;0,MIN(D108-(AB108),(S108-(AA108+AB108+AC108))*AE108*D108/(AD108*C108+AE108*D108+AF108*E108)),0)</f>
        <v>0</v>
      </c>
      <c r="AI108" s="0" t="n">
        <f aca="false">IF((AD108*C108+AE108*D108+AF108*E108)&gt;0,MIN(E108-(AC108),(S108-(AA108+AB108+AC108))*AF108*E108/(AD108*C108+AE108*D108+AF108*E108)),0)</f>
        <v>0</v>
      </c>
      <c r="AJ108" s="0" t="n">
        <f aca="false">IF(C108-(AA108+AG108)&gt;Inputs!$B$19,1,0)</f>
        <v>0</v>
      </c>
      <c r="AK108" s="0" t="n">
        <f aca="false">IF(D108-(AB108+AH108)&gt;Inputs!$B$19,1,0)</f>
        <v>0</v>
      </c>
      <c r="AL108" s="0" t="n">
        <f aca="false">IF(E108-(AC108+AI108)&gt;Inputs!$B$19,1,0)</f>
        <v>0</v>
      </c>
      <c r="AM108" s="0" t="n">
        <f aca="false">IF((AJ108*C108+AK108*D108+AL108*E108)&gt;0,MIN(C108-(AA108+AG108),(S108-(AA108+AB108+AC108+AG108+AH108+AI108))*AJ108*C108/(AJ108*C108+AK108*D108+AL108*E108)),0)</f>
        <v>0</v>
      </c>
      <c r="AN108" s="0" t="n">
        <f aca="false">IF((AJ108*C108+AK108*D108+AL108*E108)&gt;0,MIN(D108-(AB108+AH108),(S108-(AA108+AB108+AC108+AG108+AH108+AI108))*AK108*D108/(AJ108*C108+AK108*D108+AL108*E108)),0)</f>
        <v>0</v>
      </c>
      <c r="AO108" s="0" t="n">
        <f aca="false">IF((AJ108*C108+AK108*D108+AL108*E108)&gt;0,MIN(E108-(AC108+AI108),(S108-(AA108+AB108+AC108+AG108+AH108+AI108))*AL108*E108/(AJ108*C108+AK108*D108+AL108*E108)),0)</f>
        <v>0</v>
      </c>
      <c r="AP108" s="0" t="n">
        <f aca="false">IF(T108=1,U108,AA108+AG108+AM108)</f>
        <v>0</v>
      </c>
      <c r="AQ108" s="0" t="n">
        <f aca="false">IF(T108=1,V108,AB108+AH108+AN108)</f>
        <v>0</v>
      </c>
      <c r="AR108" s="0" t="n">
        <f aca="false">IF(T108=1,W108,AC108+AI108+AO108)</f>
        <v>0</v>
      </c>
      <c r="AS108" s="0" t="n">
        <f aca="false">S108-AP108-AQ108-AR108</f>
        <v>0</v>
      </c>
      <c r="AT108" s="0" t="n">
        <f aca="false">C108-AP108</f>
        <v>0</v>
      </c>
      <c r="AU108" s="0" t="n">
        <f aca="false">D108-AQ108</f>
        <v>0</v>
      </c>
      <c r="AV108" s="0" t="n">
        <f aca="false">E108-AR108</f>
        <v>0</v>
      </c>
      <c r="AW108" s="0" t="n">
        <f aca="false">Pool!CB108</f>
        <v>-1.06979314296041E-010</v>
      </c>
      <c r="AX108" s="0" t="n">
        <f aca="false">IF((AT108)&gt;Inputs!$B$19,AW108/(AT108),1000000000)</f>
        <v>1000000000</v>
      </c>
      <c r="AY108" s="0" t="n">
        <f aca="false">IF((J108)&gt;0.000000001,(R108-I108-MAX(-M108,0))/(J108),1000000000)</f>
        <v>1000000000</v>
      </c>
      <c r="AZ108" s="0" t="n">
        <f aca="false">IF(OR(AX108&lt;Inputs!$B$24,AY108&lt;Inputs!$B$25),1,0)</f>
        <v>0</v>
      </c>
      <c r="BA108" s="0" t="n">
        <f aca="false">IF((AT108+AU108)&gt;Inputs!$B$19,AW108/(AT108+AU108),1000000000)</f>
        <v>1000000000</v>
      </c>
      <c r="BB108" s="0" t="n">
        <f aca="false">IF((J108+K108)&gt;0.000000001,(R108-I108-MAX(-M108,0))/(J108+K108),1000000000)</f>
        <v>1000000000</v>
      </c>
      <c r="BC108" s="0" t="n">
        <f aca="false">IF(OR(BA108&lt;Inputs!$B$29,BB108&lt;Inputs!$B$30),1,0)</f>
        <v>0</v>
      </c>
      <c r="BD108" s="0" t="n">
        <f aca="false">IF((AT108+AU108+AV108)&gt;Inputs!$B$19,AW108/(AT108+AU108+AV108),1000000000)</f>
        <v>1000000000</v>
      </c>
      <c r="BE108" s="0" t="n">
        <f aca="false">IF((J108+K108+L108)&gt;0.000000001,(R108-I108-MAX(-M108,0))/(J108+K108+L108),1000000000)</f>
        <v>1000000000</v>
      </c>
      <c r="BF108" s="0" t="n">
        <f aca="false">IF(OR(BD108&lt;Inputs!$B$34,BE108&lt;Inputs!$B$35),1,0)</f>
        <v>0</v>
      </c>
      <c r="BG108" s="0" t="n">
        <f aca="false">MAX(AZ108,BC108,BF108)</f>
        <v>0</v>
      </c>
      <c r="BH108" s="0" t="n">
        <f aca="false">MIN(R108,N108)</f>
        <v>0</v>
      </c>
      <c r="BI108" s="0" t="n">
        <f aca="false">R108-BH108</f>
        <v>0</v>
      </c>
      <c r="BJ108" s="0" t="n">
        <f aca="false">MIN(BI108,O108)</f>
        <v>0</v>
      </c>
      <c r="BK108" s="0" t="n">
        <f aca="false">BI108-BJ108</f>
        <v>0</v>
      </c>
      <c r="BL108" s="0" t="n">
        <f aca="false">AZ108*MIN(AT108,BK108)</f>
        <v>0</v>
      </c>
      <c r="BM108" s="0" t="n">
        <f aca="false">AZ108*MIN(AU108,BK108-BL108)</f>
        <v>0</v>
      </c>
      <c r="BN108" s="0" t="n">
        <f aca="false">AZ108*MIN(AV108,BK108-BL108-BM108)</f>
        <v>0</v>
      </c>
      <c r="BO108" s="0" t="n">
        <f aca="false">BK108-BL108-BM108-BN108</f>
        <v>0</v>
      </c>
      <c r="BP108" s="0" t="n">
        <f aca="false">MIN(BO108,P108)</f>
        <v>0</v>
      </c>
      <c r="BQ108" s="0" t="n">
        <f aca="false">BO108-BP108</f>
        <v>0</v>
      </c>
      <c r="BR108" s="0" t="n">
        <f aca="false">BC108*MIN((AT108-BL108),BQ108)</f>
        <v>0</v>
      </c>
      <c r="BS108" s="0" t="n">
        <f aca="false">BC108*MIN((AU108-BM108),BQ108-BR108)</f>
        <v>0</v>
      </c>
      <c r="BT108" s="0" t="n">
        <f aca="false">BC108*MIN((AV108-BN108),BQ108-BR108-BS108)</f>
        <v>0</v>
      </c>
      <c r="BU108" s="0" t="n">
        <f aca="false">BQ108-BR108-BS108-BT108</f>
        <v>0</v>
      </c>
      <c r="BV108" s="0" t="n">
        <f aca="false">MIN(BU108,Q108)</f>
        <v>0</v>
      </c>
      <c r="BW108" s="0" t="n">
        <f aca="false">BU108-BV108</f>
        <v>0</v>
      </c>
      <c r="BX108" s="0" t="n">
        <f aca="false">BF108*MIN((AT108-BL108-BR108),BW108)</f>
        <v>0</v>
      </c>
      <c r="BY108" s="0" t="n">
        <f aca="false">BF108*MIN((AU108-BM108-BS108),BW108-BX108)</f>
        <v>0</v>
      </c>
      <c r="BZ108" s="0" t="n">
        <f aca="false">BF108*MIN((AV108-BN108-BT108),BW108-BX108-BY108)</f>
        <v>0</v>
      </c>
      <c r="CA108" s="0" t="n">
        <f aca="false">BW108-BX108-BY108-BZ108</f>
        <v>0</v>
      </c>
      <c r="CB108" s="0" t="n">
        <f aca="false">MAX(0,AT108+AU108+AV108-BL108-BM108-BN108-BR108-BS108-BT108-BX108-BY108-BZ108-AW108)</f>
        <v>1.06979314296041E-010</v>
      </c>
      <c r="CC108" s="0" t="n">
        <f aca="false">1*MIN((AT108-BL108-BR108-BX108),MIN(CA108,CB108))</f>
        <v>0</v>
      </c>
      <c r="CD108" s="0" t="n">
        <f aca="false">1*MIN((AU108-BM108-BS108-BY108),MIN(CA108,CB108)-CC108)</f>
        <v>0</v>
      </c>
      <c r="CE108" s="0" t="n">
        <f aca="false">1*MIN((AV108-BN108-BT108-BZ108),MIN(CA108,CB108)-CC108-CD108)</f>
        <v>0</v>
      </c>
      <c r="CF108" s="0" t="n">
        <f aca="false">CA108-CC108-CD108-CE108</f>
        <v>0</v>
      </c>
      <c r="CG108" s="0" t="n">
        <f aca="false">IF(C108+D108+E108&gt;Inputs!$B$19,MIN(CF108,MAX(0,Inputs!$B$15-DO107)),0)</f>
        <v>0</v>
      </c>
      <c r="CH108" s="0" t="n">
        <f aca="false">CF108-CG108</f>
        <v>0</v>
      </c>
      <c r="CI108" s="0" t="n">
        <f aca="false">DO107+CG108</f>
        <v>0</v>
      </c>
      <c r="CJ108" s="0" t="n">
        <f aca="false">MIN(MAX(N108-BH108,0),CI108)</f>
        <v>0</v>
      </c>
      <c r="CK108" s="0" t="n">
        <f aca="false">MIN(MAX(O108-BJ108,0),CI108-CJ108)</f>
        <v>0</v>
      </c>
      <c r="CL108" s="0" t="n">
        <f aca="false">MIN(MAX(P108-BP108,0),CI108-CJ108-CK108)</f>
        <v>0</v>
      </c>
      <c r="CM108" s="0" t="n">
        <f aca="false">CJ108+CK108+CL108</f>
        <v>0</v>
      </c>
      <c r="CN108" s="0" t="n">
        <f aca="false">CI108-CM108</f>
        <v>0</v>
      </c>
      <c r="CO108" s="0" t="n">
        <f aca="false">BH108+CJ108</f>
        <v>0</v>
      </c>
      <c r="CP108" s="0" t="n">
        <f aca="false">BJ108+CK108</f>
        <v>0</v>
      </c>
      <c r="CQ108" s="0" t="n">
        <f aca="false">BP108+CL108</f>
        <v>0</v>
      </c>
      <c r="CR108" s="0" t="n">
        <f aca="false">BV108</f>
        <v>0</v>
      </c>
      <c r="CS108" s="0" t="n">
        <f aca="false">AT108-BL108-BR108-BX108-CC108</f>
        <v>0</v>
      </c>
      <c r="CT108" s="0" t="n">
        <f aca="false">AU108-BM108-BS108-BY108-CD108</f>
        <v>0</v>
      </c>
      <c r="CU108" s="0" t="n">
        <f aca="false">AV108-BN108-BT108-BZ108-CE108</f>
        <v>0</v>
      </c>
      <c r="CV108" s="0" t="n">
        <f aca="false">MAX(0,CS108+CT108+CU108-AW108)</f>
        <v>1.06979314296041E-010</v>
      </c>
      <c r="CW108" s="0" t="n">
        <f aca="false">MIN(CU108,CV108)</f>
        <v>0</v>
      </c>
      <c r="CX108" s="0" t="n">
        <f aca="false">MIN(CT108,CV108-CW108)</f>
        <v>0</v>
      </c>
      <c r="CY108" s="0" t="n">
        <f aca="false">MIN(CS108,CV108-CW108-CX108)</f>
        <v>0</v>
      </c>
      <c r="CZ108" s="0" t="n">
        <f aca="false">IF(CS108-CY108&lt;Inputs!$B$19,0,CS108-CY108)</f>
        <v>0</v>
      </c>
      <c r="DA108" s="0" t="n">
        <f aca="false">IF(CT108-CX108&lt;Inputs!$B$19,0,CT108-CX108)</f>
        <v>0</v>
      </c>
      <c r="DB108" s="0" t="n">
        <f aca="false">IF(CU108-CW108&lt;Inputs!$B$19,0,CU108-CW108)</f>
        <v>0</v>
      </c>
      <c r="DC108" s="0" t="n">
        <f aca="false">N108-CO108</f>
        <v>0</v>
      </c>
      <c r="DD108" s="0" t="n">
        <f aca="false">O108-CP108</f>
        <v>0</v>
      </c>
      <c r="DE108" s="0" t="n">
        <f aca="false">P108-CQ108</f>
        <v>0</v>
      </c>
      <c r="DF108" s="0" t="n">
        <f aca="false">Q108-CR108</f>
        <v>0</v>
      </c>
      <c r="DG108" s="0" t="n">
        <f aca="false">IF(CZ108+DA108+DB108&lt;=Inputs!$B$19,1,0)</f>
        <v>1</v>
      </c>
      <c r="DH108" s="0" t="n">
        <f aca="false">DG108*CN108</f>
        <v>0</v>
      </c>
      <c r="DI108" s="0" t="n">
        <f aca="false">DG108*(AS108+DH108)</f>
        <v>0</v>
      </c>
      <c r="DJ108" s="0" t="n">
        <f aca="false">DG108*MIN(DC108,DI108)</f>
        <v>0</v>
      </c>
      <c r="DK108" s="0" t="n">
        <f aca="false">DG108*MIN(DD108,DI108-DJ108)</f>
        <v>0</v>
      </c>
      <c r="DL108" s="0" t="n">
        <f aca="false">DG108*MIN(DE108,DI108-DJ108-DK108)</f>
        <v>0</v>
      </c>
      <c r="DM108" s="0" t="n">
        <f aca="false">DG108*MIN(DF108,DI108-DJ108-DK108-DL108)</f>
        <v>0</v>
      </c>
      <c r="DN108" s="0" t="n">
        <f aca="false">DJ108+DK108+DL108+DM108</f>
        <v>0</v>
      </c>
      <c r="DO108" s="0" t="n">
        <f aca="false">CN108-DH108</f>
        <v>0</v>
      </c>
      <c r="DP108" s="0" t="n">
        <f aca="false">DC108-DJ108</f>
        <v>0</v>
      </c>
      <c r="DQ108" s="0" t="n">
        <f aca="false">DD108-DK108</f>
        <v>0</v>
      </c>
      <c r="DR108" s="0" t="n">
        <f aca="false">DE108-DL108</f>
        <v>0</v>
      </c>
      <c r="DS108" s="0" t="n">
        <f aca="false">DF108-DM108</f>
        <v>0</v>
      </c>
      <c r="DT108" s="0" t="n">
        <f aca="false">CO108+DJ108</f>
        <v>0</v>
      </c>
      <c r="DU108" s="0" t="n">
        <f aca="false">CP108+DK108</f>
        <v>0</v>
      </c>
      <c r="DV108" s="0" t="n">
        <f aca="false">AP108+BL108+BR108+BX108+CC108</f>
        <v>0</v>
      </c>
      <c r="DW108" s="0" t="n">
        <f aca="false">CQ108+DL108</f>
        <v>0</v>
      </c>
      <c r="DX108" s="0" t="n">
        <f aca="false">AQ108+BM108+BS108+BY108+CD108</f>
        <v>0</v>
      </c>
      <c r="DY108" s="0" t="n">
        <f aca="false">CR108+DM108</f>
        <v>0</v>
      </c>
      <c r="DZ108" s="0" t="n">
        <f aca="false">AR108+BN108+BT108+BZ108+CE108</f>
        <v>0</v>
      </c>
      <c r="EA108" s="0" t="n">
        <f aca="false">DI108-DN108</f>
        <v>0</v>
      </c>
      <c r="EB108" s="0" t="n">
        <f aca="false">CH108+EA108</f>
        <v>0</v>
      </c>
      <c r="EC108" s="0" t="n">
        <f aca="false">R108-I108-MAX(-M108,0)-J108-K108-L108</f>
        <v>0</v>
      </c>
      <c r="ED108" s="0" t="n">
        <f aca="false">R108+S108+CM108+DH108-CG108-DT108-DU108-DW108-DY108-DV108-DX108-DZ108-EB108</f>
        <v>0</v>
      </c>
      <c r="EE108" s="0" t="n">
        <f aca="false">IF(AND(EB108&gt;0.000001,DP108+DQ108+DR108+DS108&gt;0.000001),1,0)</f>
        <v>0</v>
      </c>
    </row>
    <row r="109" customFormat="false" ht="15" hidden="false" customHeight="false" outlineLevel="0" collapsed="false">
      <c r="A109" s="0" t="n">
        <f aca="false">ROW()-5</f>
        <v>104</v>
      </c>
      <c r="B109" s="0" t="n">
        <f aca="false">Inputs!$B$11+(Inputs!$B$12-Inputs!$B$11)*(1-EXP(-A109/Inputs!$B$13))+Inputs!$B$8</f>
        <v>0.0326377991517379</v>
      </c>
      <c r="C109" s="0" t="n">
        <f aca="false">CZ108</f>
        <v>0</v>
      </c>
      <c r="D109" s="0" t="n">
        <f aca="false">DA108</f>
        <v>0</v>
      </c>
      <c r="E109" s="0" t="n">
        <f aca="false">DB108</f>
        <v>0</v>
      </c>
      <c r="F109" s="0" t="n">
        <f aca="false">IF(Inputs!$B$22=1,B109+Inputs!$B$23,Inputs!$B$23)/12</f>
        <v>0.00363648326264482</v>
      </c>
      <c r="G109" s="0" t="n">
        <f aca="false">IF(Inputs!$B$27=1,B109+Inputs!$B$28,Inputs!$B$28)/12</f>
        <v>0.00459481659597816</v>
      </c>
      <c r="H109" s="0" t="n">
        <f aca="false">IF(Inputs!$B$32=1,B109+Inputs!$B$33,Inputs!$B$33)/12</f>
        <v>0.00625</v>
      </c>
      <c r="I109" s="0" t="n">
        <f aca="false">Pool!BT109*Inputs!$B$14/12</f>
        <v>0</v>
      </c>
      <c r="J109" s="0" t="n">
        <f aca="false">C109*F109</f>
        <v>0</v>
      </c>
      <c r="K109" s="0" t="n">
        <f aca="false">D109*G109</f>
        <v>0</v>
      </c>
      <c r="L109" s="0" t="n">
        <f aca="false">E109*H109</f>
        <v>0</v>
      </c>
      <c r="M109" s="0" t="n">
        <f aca="false">Inputs!$B$17*(C109*Inputs!$B$22+D109*Inputs!$B$27+E109*Inputs!$B$32)*(B109-Inputs!$B$18)/12</f>
        <v>-0</v>
      </c>
      <c r="N109" s="0" t="n">
        <f aca="false">DP108+I109+MAX(-M109,0)</f>
        <v>0</v>
      </c>
      <c r="O109" s="0" t="n">
        <f aca="false">DQ108+J109</f>
        <v>0</v>
      </c>
      <c r="P109" s="0" t="n">
        <f aca="false">DR108+K109</f>
        <v>0</v>
      </c>
      <c r="Q109" s="0" t="n">
        <f aca="false">DS108+L109</f>
        <v>0</v>
      </c>
      <c r="R109" s="0" t="n">
        <f aca="false">Pool!BV109+MAX(M109,0)</f>
        <v>0</v>
      </c>
      <c r="S109" s="0" t="n">
        <f aca="false">Pool!BW109+Pool!BX109+Pool!BZ109</f>
        <v>0</v>
      </c>
      <c r="T109" s="0" t="n">
        <f aca="false">MAX(T108,BG108)</f>
        <v>1</v>
      </c>
      <c r="U109" s="0" t="n">
        <f aca="false">MIN(C109,S109)</f>
        <v>0</v>
      </c>
      <c r="V109" s="0" t="n">
        <f aca="false">MIN(D109,S109-U109)</f>
        <v>0</v>
      </c>
      <c r="W109" s="0" t="n">
        <f aca="false">MIN(E109,S109-U109-V109)</f>
        <v>0</v>
      </c>
      <c r="X109" s="0" t="n">
        <f aca="false">IF(C109-(0)&gt;Inputs!$B$19,1,0)</f>
        <v>0</v>
      </c>
      <c r="Y109" s="0" t="n">
        <f aca="false">IF(D109-(0)&gt;Inputs!$B$19,1,0)</f>
        <v>0</v>
      </c>
      <c r="Z109" s="0" t="n">
        <f aca="false">IF(E109-(0)&gt;Inputs!$B$19,1,0)</f>
        <v>0</v>
      </c>
      <c r="AA109" s="0" t="n">
        <f aca="false">IF((X109*C109+Y109*D109+Z109*E109)&gt;0,MIN(C109-(0),S109*X109*C109/(X109*C109+Y109*D109+Z109*E109)),0)</f>
        <v>0</v>
      </c>
      <c r="AB109" s="0" t="n">
        <f aca="false">IF((X109*C109+Y109*D109+Z109*E109)&gt;0,MIN(D109-(0),S109*Y109*D109/(X109*C109+Y109*D109+Z109*E109)),0)</f>
        <v>0</v>
      </c>
      <c r="AC109" s="0" t="n">
        <f aca="false">IF((X109*C109+Y109*D109+Z109*E109)&gt;0,MIN(E109-(0),S109*Z109*E109/(X109*C109+Y109*D109+Z109*E109)),0)</f>
        <v>0</v>
      </c>
      <c r="AD109" s="0" t="n">
        <f aca="false">IF(C109-(AA109)&gt;Inputs!$B$19,1,0)</f>
        <v>0</v>
      </c>
      <c r="AE109" s="0" t="n">
        <f aca="false">IF(D109-(AB109)&gt;Inputs!$B$19,1,0)</f>
        <v>0</v>
      </c>
      <c r="AF109" s="0" t="n">
        <f aca="false">IF(E109-(AC109)&gt;Inputs!$B$19,1,0)</f>
        <v>0</v>
      </c>
      <c r="AG109" s="0" t="n">
        <f aca="false">IF((AD109*C109+AE109*D109+AF109*E109)&gt;0,MIN(C109-(AA109),(S109-(AA109+AB109+AC109))*AD109*C109/(AD109*C109+AE109*D109+AF109*E109)),0)</f>
        <v>0</v>
      </c>
      <c r="AH109" s="0" t="n">
        <f aca="false">IF((AD109*C109+AE109*D109+AF109*E109)&gt;0,MIN(D109-(AB109),(S109-(AA109+AB109+AC109))*AE109*D109/(AD109*C109+AE109*D109+AF109*E109)),0)</f>
        <v>0</v>
      </c>
      <c r="AI109" s="0" t="n">
        <f aca="false">IF((AD109*C109+AE109*D109+AF109*E109)&gt;0,MIN(E109-(AC109),(S109-(AA109+AB109+AC109))*AF109*E109/(AD109*C109+AE109*D109+AF109*E109)),0)</f>
        <v>0</v>
      </c>
      <c r="AJ109" s="0" t="n">
        <f aca="false">IF(C109-(AA109+AG109)&gt;Inputs!$B$19,1,0)</f>
        <v>0</v>
      </c>
      <c r="AK109" s="0" t="n">
        <f aca="false">IF(D109-(AB109+AH109)&gt;Inputs!$B$19,1,0)</f>
        <v>0</v>
      </c>
      <c r="AL109" s="0" t="n">
        <f aca="false">IF(E109-(AC109+AI109)&gt;Inputs!$B$19,1,0)</f>
        <v>0</v>
      </c>
      <c r="AM109" s="0" t="n">
        <f aca="false">IF((AJ109*C109+AK109*D109+AL109*E109)&gt;0,MIN(C109-(AA109+AG109),(S109-(AA109+AB109+AC109+AG109+AH109+AI109))*AJ109*C109/(AJ109*C109+AK109*D109+AL109*E109)),0)</f>
        <v>0</v>
      </c>
      <c r="AN109" s="0" t="n">
        <f aca="false">IF((AJ109*C109+AK109*D109+AL109*E109)&gt;0,MIN(D109-(AB109+AH109),(S109-(AA109+AB109+AC109+AG109+AH109+AI109))*AK109*D109/(AJ109*C109+AK109*D109+AL109*E109)),0)</f>
        <v>0</v>
      </c>
      <c r="AO109" s="0" t="n">
        <f aca="false">IF((AJ109*C109+AK109*D109+AL109*E109)&gt;0,MIN(E109-(AC109+AI109),(S109-(AA109+AB109+AC109+AG109+AH109+AI109))*AL109*E109/(AJ109*C109+AK109*D109+AL109*E109)),0)</f>
        <v>0</v>
      </c>
      <c r="AP109" s="0" t="n">
        <f aca="false">IF(T109=1,U109,AA109+AG109+AM109)</f>
        <v>0</v>
      </c>
      <c r="AQ109" s="0" t="n">
        <f aca="false">IF(T109=1,V109,AB109+AH109+AN109)</f>
        <v>0</v>
      </c>
      <c r="AR109" s="0" t="n">
        <f aca="false">IF(T109=1,W109,AC109+AI109+AO109)</f>
        <v>0</v>
      </c>
      <c r="AS109" s="0" t="n">
        <f aca="false">S109-AP109-AQ109-AR109</f>
        <v>0</v>
      </c>
      <c r="AT109" s="0" t="n">
        <f aca="false">C109-AP109</f>
        <v>0</v>
      </c>
      <c r="AU109" s="0" t="n">
        <f aca="false">D109-AQ109</f>
        <v>0</v>
      </c>
      <c r="AV109" s="0" t="n">
        <f aca="false">E109-AR109</f>
        <v>0</v>
      </c>
      <c r="AW109" s="0" t="n">
        <f aca="false">Pool!CB109</f>
        <v>-1.06979314296041E-010</v>
      </c>
      <c r="AX109" s="0" t="n">
        <f aca="false">IF((AT109)&gt;Inputs!$B$19,AW109/(AT109),1000000000)</f>
        <v>1000000000</v>
      </c>
      <c r="AY109" s="0" t="n">
        <f aca="false">IF((J109)&gt;0.000000001,(R109-I109-MAX(-M109,0))/(J109),1000000000)</f>
        <v>1000000000</v>
      </c>
      <c r="AZ109" s="0" t="n">
        <f aca="false">IF(OR(AX109&lt;Inputs!$B$24,AY109&lt;Inputs!$B$25),1,0)</f>
        <v>0</v>
      </c>
      <c r="BA109" s="0" t="n">
        <f aca="false">IF((AT109+AU109)&gt;Inputs!$B$19,AW109/(AT109+AU109),1000000000)</f>
        <v>1000000000</v>
      </c>
      <c r="BB109" s="0" t="n">
        <f aca="false">IF((J109+K109)&gt;0.000000001,(R109-I109-MAX(-M109,0))/(J109+K109),1000000000)</f>
        <v>1000000000</v>
      </c>
      <c r="BC109" s="0" t="n">
        <f aca="false">IF(OR(BA109&lt;Inputs!$B$29,BB109&lt;Inputs!$B$30),1,0)</f>
        <v>0</v>
      </c>
      <c r="BD109" s="0" t="n">
        <f aca="false">IF((AT109+AU109+AV109)&gt;Inputs!$B$19,AW109/(AT109+AU109+AV109),1000000000)</f>
        <v>1000000000</v>
      </c>
      <c r="BE109" s="0" t="n">
        <f aca="false">IF((J109+K109+L109)&gt;0.000000001,(R109-I109-MAX(-M109,0))/(J109+K109+L109),1000000000)</f>
        <v>1000000000</v>
      </c>
      <c r="BF109" s="0" t="n">
        <f aca="false">IF(OR(BD109&lt;Inputs!$B$34,BE109&lt;Inputs!$B$35),1,0)</f>
        <v>0</v>
      </c>
      <c r="BG109" s="0" t="n">
        <f aca="false">MAX(AZ109,BC109,BF109)</f>
        <v>0</v>
      </c>
      <c r="BH109" s="0" t="n">
        <f aca="false">MIN(R109,N109)</f>
        <v>0</v>
      </c>
      <c r="BI109" s="0" t="n">
        <f aca="false">R109-BH109</f>
        <v>0</v>
      </c>
      <c r="BJ109" s="0" t="n">
        <f aca="false">MIN(BI109,O109)</f>
        <v>0</v>
      </c>
      <c r="BK109" s="0" t="n">
        <f aca="false">BI109-BJ109</f>
        <v>0</v>
      </c>
      <c r="BL109" s="0" t="n">
        <f aca="false">AZ109*MIN(AT109,BK109)</f>
        <v>0</v>
      </c>
      <c r="BM109" s="0" t="n">
        <f aca="false">AZ109*MIN(AU109,BK109-BL109)</f>
        <v>0</v>
      </c>
      <c r="BN109" s="0" t="n">
        <f aca="false">AZ109*MIN(AV109,BK109-BL109-BM109)</f>
        <v>0</v>
      </c>
      <c r="BO109" s="0" t="n">
        <f aca="false">BK109-BL109-BM109-BN109</f>
        <v>0</v>
      </c>
      <c r="BP109" s="0" t="n">
        <f aca="false">MIN(BO109,P109)</f>
        <v>0</v>
      </c>
      <c r="BQ109" s="0" t="n">
        <f aca="false">BO109-BP109</f>
        <v>0</v>
      </c>
      <c r="BR109" s="0" t="n">
        <f aca="false">BC109*MIN((AT109-BL109),BQ109)</f>
        <v>0</v>
      </c>
      <c r="BS109" s="0" t="n">
        <f aca="false">BC109*MIN((AU109-BM109),BQ109-BR109)</f>
        <v>0</v>
      </c>
      <c r="BT109" s="0" t="n">
        <f aca="false">BC109*MIN((AV109-BN109),BQ109-BR109-BS109)</f>
        <v>0</v>
      </c>
      <c r="BU109" s="0" t="n">
        <f aca="false">BQ109-BR109-BS109-BT109</f>
        <v>0</v>
      </c>
      <c r="BV109" s="0" t="n">
        <f aca="false">MIN(BU109,Q109)</f>
        <v>0</v>
      </c>
      <c r="BW109" s="0" t="n">
        <f aca="false">BU109-BV109</f>
        <v>0</v>
      </c>
      <c r="BX109" s="0" t="n">
        <f aca="false">BF109*MIN((AT109-BL109-BR109),BW109)</f>
        <v>0</v>
      </c>
      <c r="BY109" s="0" t="n">
        <f aca="false">BF109*MIN((AU109-BM109-BS109),BW109-BX109)</f>
        <v>0</v>
      </c>
      <c r="BZ109" s="0" t="n">
        <f aca="false">BF109*MIN((AV109-BN109-BT109),BW109-BX109-BY109)</f>
        <v>0</v>
      </c>
      <c r="CA109" s="0" t="n">
        <f aca="false">BW109-BX109-BY109-BZ109</f>
        <v>0</v>
      </c>
      <c r="CB109" s="0" t="n">
        <f aca="false">MAX(0,AT109+AU109+AV109-BL109-BM109-BN109-BR109-BS109-BT109-BX109-BY109-BZ109-AW109)</f>
        <v>1.06979314296041E-010</v>
      </c>
      <c r="CC109" s="0" t="n">
        <f aca="false">1*MIN((AT109-BL109-BR109-BX109),MIN(CA109,CB109))</f>
        <v>0</v>
      </c>
      <c r="CD109" s="0" t="n">
        <f aca="false">1*MIN((AU109-BM109-BS109-BY109),MIN(CA109,CB109)-CC109)</f>
        <v>0</v>
      </c>
      <c r="CE109" s="0" t="n">
        <f aca="false">1*MIN((AV109-BN109-BT109-BZ109),MIN(CA109,CB109)-CC109-CD109)</f>
        <v>0</v>
      </c>
      <c r="CF109" s="0" t="n">
        <f aca="false">CA109-CC109-CD109-CE109</f>
        <v>0</v>
      </c>
      <c r="CG109" s="0" t="n">
        <f aca="false">IF(C109+D109+E109&gt;Inputs!$B$19,MIN(CF109,MAX(0,Inputs!$B$15-DO108)),0)</f>
        <v>0</v>
      </c>
      <c r="CH109" s="0" t="n">
        <f aca="false">CF109-CG109</f>
        <v>0</v>
      </c>
      <c r="CI109" s="0" t="n">
        <f aca="false">DO108+CG109</f>
        <v>0</v>
      </c>
      <c r="CJ109" s="0" t="n">
        <f aca="false">MIN(MAX(N109-BH109,0),CI109)</f>
        <v>0</v>
      </c>
      <c r="CK109" s="0" t="n">
        <f aca="false">MIN(MAX(O109-BJ109,0),CI109-CJ109)</f>
        <v>0</v>
      </c>
      <c r="CL109" s="0" t="n">
        <f aca="false">MIN(MAX(P109-BP109,0),CI109-CJ109-CK109)</f>
        <v>0</v>
      </c>
      <c r="CM109" s="0" t="n">
        <f aca="false">CJ109+CK109+CL109</f>
        <v>0</v>
      </c>
      <c r="CN109" s="0" t="n">
        <f aca="false">CI109-CM109</f>
        <v>0</v>
      </c>
      <c r="CO109" s="0" t="n">
        <f aca="false">BH109+CJ109</f>
        <v>0</v>
      </c>
      <c r="CP109" s="0" t="n">
        <f aca="false">BJ109+CK109</f>
        <v>0</v>
      </c>
      <c r="CQ109" s="0" t="n">
        <f aca="false">BP109+CL109</f>
        <v>0</v>
      </c>
      <c r="CR109" s="0" t="n">
        <f aca="false">BV109</f>
        <v>0</v>
      </c>
      <c r="CS109" s="0" t="n">
        <f aca="false">AT109-BL109-BR109-BX109-CC109</f>
        <v>0</v>
      </c>
      <c r="CT109" s="0" t="n">
        <f aca="false">AU109-BM109-BS109-BY109-CD109</f>
        <v>0</v>
      </c>
      <c r="CU109" s="0" t="n">
        <f aca="false">AV109-BN109-BT109-BZ109-CE109</f>
        <v>0</v>
      </c>
      <c r="CV109" s="0" t="n">
        <f aca="false">MAX(0,CS109+CT109+CU109-AW109)</f>
        <v>1.06979314296041E-010</v>
      </c>
      <c r="CW109" s="0" t="n">
        <f aca="false">MIN(CU109,CV109)</f>
        <v>0</v>
      </c>
      <c r="CX109" s="0" t="n">
        <f aca="false">MIN(CT109,CV109-CW109)</f>
        <v>0</v>
      </c>
      <c r="CY109" s="0" t="n">
        <f aca="false">MIN(CS109,CV109-CW109-CX109)</f>
        <v>0</v>
      </c>
      <c r="CZ109" s="0" t="n">
        <f aca="false">IF(CS109-CY109&lt;Inputs!$B$19,0,CS109-CY109)</f>
        <v>0</v>
      </c>
      <c r="DA109" s="0" t="n">
        <f aca="false">IF(CT109-CX109&lt;Inputs!$B$19,0,CT109-CX109)</f>
        <v>0</v>
      </c>
      <c r="DB109" s="0" t="n">
        <f aca="false">IF(CU109-CW109&lt;Inputs!$B$19,0,CU109-CW109)</f>
        <v>0</v>
      </c>
      <c r="DC109" s="0" t="n">
        <f aca="false">N109-CO109</f>
        <v>0</v>
      </c>
      <c r="DD109" s="0" t="n">
        <f aca="false">O109-CP109</f>
        <v>0</v>
      </c>
      <c r="DE109" s="0" t="n">
        <f aca="false">P109-CQ109</f>
        <v>0</v>
      </c>
      <c r="DF109" s="0" t="n">
        <f aca="false">Q109-CR109</f>
        <v>0</v>
      </c>
      <c r="DG109" s="0" t="n">
        <f aca="false">IF(CZ109+DA109+DB109&lt;=Inputs!$B$19,1,0)</f>
        <v>1</v>
      </c>
      <c r="DH109" s="0" t="n">
        <f aca="false">DG109*CN109</f>
        <v>0</v>
      </c>
      <c r="DI109" s="0" t="n">
        <f aca="false">DG109*(AS109+DH109)</f>
        <v>0</v>
      </c>
      <c r="DJ109" s="0" t="n">
        <f aca="false">DG109*MIN(DC109,DI109)</f>
        <v>0</v>
      </c>
      <c r="DK109" s="0" t="n">
        <f aca="false">DG109*MIN(DD109,DI109-DJ109)</f>
        <v>0</v>
      </c>
      <c r="DL109" s="0" t="n">
        <f aca="false">DG109*MIN(DE109,DI109-DJ109-DK109)</f>
        <v>0</v>
      </c>
      <c r="DM109" s="0" t="n">
        <f aca="false">DG109*MIN(DF109,DI109-DJ109-DK109-DL109)</f>
        <v>0</v>
      </c>
      <c r="DN109" s="0" t="n">
        <f aca="false">DJ109+DK109+DL109+DM109</f>
        <v>0</v>
      </c>
      <c r="DO109" s="0" t="n">
        <f aca="false">CN109-DH109</f>
        <v>0</v>
      </c>
      <c r="DP109" s="0" t="n">
        <f aca="false">DC109-DJ109</f>
        <v>0</v>
      </c>
      <c r="DQ109" s="0" t="n">
        <f aca="false">DD109-DK109</f>
        <v>0</v>
      </c>
      <c r="DR109" s="0" t="n">
        <f aca="false">DE109-DL109</f>
        <v>0</v>
      </c>
      <c r="DS109" s="0" t="n">
        <f aca="false">DF109-DM109</f>
        <v>0</v>
      </c>
      <c r="DT109" s="0" t="n">
        <f aca="false">CO109+DJ109</f>
        <v>0</v>
      </c>
      <c r="DU109" s="0" t="n">
        <f aca="false">CP109+DK109</f>
        <v>0</v>
      </c>
      <c r="DV109" s="0" t="n">
        <f aca="false">AP109+BL109+BR109+BX109+CC109</f>
        <v>0</v>
      </c>
      <c r="DW109" s="0" t="n">
        <f aca="false">CQ109+DL109</f>
        <v>0</v>
      </c>
      <c r="DX109" s="0" t="n">
        <f aca="false">AQ109+BM109+BS109+BY109+CD109</f>
        <v>0</v>
      </c>
      <c r="DY109" s="0" t="n">
        <f aca="false">CR109+DM109</f>
        <v>0</v>
      </c>
      <c r="DZ109" s="0" t="n">
        <f aca="false">AR109+BN109+BT109+BZ109+CE109</f>
        <v>0</v>
      </c>
      <c r="EA109" s="0" t="n">
        <f aca="false">DI109-DN109</f>
        <v>0</v>
      </c>
      <c r="EB109" s="0" t="n">
        <f aca="false">CH109+EA109</f>
        <v>0</v>
      </c>
      <c r="EC109" s="0" t="n">
        <f aca="false">R109-I109-MAX(-M109,0)-J109-K109-L109</f>
        <v>0</v>
      </c>
      <c r="ED109" s="0" t="n">
        <f aca="false">R109+S109+CM109+DH109-CG109-DT109-DU109-DW109-DY109-DV109-DX109-DZ109-EB109</f>
        <v>0</v>
      </c>
      <c r="EE109" s="0" t="n">
        <f aca="false">IF(AND(EB109&gt;0.000001,DP109+DQ109+DR109+DS109&gt;0.000001),1,0)</f>
        <v>0</v>
      </c>
    </row>
    <row r="110" customFormat="false" ht="15" hidden="false" customHeight="false" outlineLevel="0" collapsed="false">
      <c r="A110" s="0" t="n">
        <f aca="false">ROW()-5</f>
        <v>105</v>
      </c>
      <c r="B110" s="0" t="n">
        <f aca="false">Inputs!$B$11+(Inputs!$B$12-Inputs!$B$11)*(1-EXP(-A110/Inputs!$B$13))+Inputs!$B$8</f>
        <v>0.0326321754935456</v>
      </c>
      <c r="C110" s="0" t="n">
        <f aca="false">CZ109</f>
        <v>0</v>
      </c>
      <c r="D110" s="0" t="n">
        <f aca="false">DA109</f>
        <v>0</v>
      </c>
      <c r="E110" s="0" t="n">
        <f aca="false">DB109</f>
        <v>0</v>
      </c>
      <c r="F110" s="0" t="n">
        <f aca="false">IF(Inputs!$B$22=1,B110+Inputs!$B$23,Inputs!$B$23)/12</f>
        <v>0.00363601462446213</v>
      </c>
      <c r="G110" s="0" t="n">
        <f aca="false">IF(Inputs!$B$27=1,B110+Inputs!$B$28,Inputs!$B$28)/12</f>
        <v>0.00459434795779546</v>
      </c>
      <c r="H110" s="0" t="n">
        <f aca="false">IF(Inputs!$B$32=1,B110+Inputs!$B$33,Inputs!$B$33)/12</f>
        <v>0.00625</v>
      </c>
      <c r="I110" s="0" t="n">
        <f aca="false">Pool!BT110*Inputs!$B$14/12</f>
        <v>0</v>
      </c>
      <c r="J110" s="0" t="n">
        <f aca="false">C110*F110</f>
        <v>0</v>
      </c>
      <c r="K110" s="0" t="n">
        <f aca="false">D110*G110</f>
        <v>0</v>
      </c>
      <c r="L110" s="0" t="n">
        <f aca="false">E110*H110</f>
        <v>0</v>
      </c>
      <c r="M110" s="0" t="n">
        <f aca="false">Inputs!$B$17*(C110*Inputs!$B$22+D110*Inputs!$B$27+E110*Inputs!$B$32)*(B110-Inputs!$B$18)/12</f>
        <v>-0</v>
      </c>
      <c r="N110" s="0" t="n">
        <f aca="false">DP109+I110+MAX(-M110,0)</f>
        <v>0</v>
      </c>
      <c r="O110" s="0" t="n">
        <f aca="false">DQ109+J110</f>
        <v>0</v>
      </c>
      <c r="P110" s="0" t="n">
        <f aca="false">DR109+K110</f>
        <v>0</v>
      </c>
      <c r="Q110" s="0" t="n">
        <f aca="false">DS109+L110</f>
        <v>0</v>
      </c>
      <c r="R110" s="0" t="n">
        <f aca="false">Pool!BV110+MAX(M110,0)</f>
        <v>0</v>
      </c>
      <c r="S110" s="0" t="n">
        <f aca="false">Pool!BW110+Pool!BX110+Pool!BZ110</f>
        <v>0</v>
      </c>
      <c r="T110" s="0" t="n">
        <f aca="false">MAX(T109,BG109)</f>
        <v>1</v>
      </c>
      <c r="U110" s="0" t="n">
        <f aca="false">MIN(C110,S110)</f>
        <v>0</v>
      </c>
      <c r="V110" s="0" t="n">
        <f aca="false">MIN(D110,S110-U110)</f>
        <v>0</v>
      </c>
      <c r="W110" s="0" t="n">
        <f aca="false">MIN(E110,S110-U110-V110)</f>
        <v>0</v>
      </c>
      <c r="X110" s="0" t="n">
        <f aca="false">IF(C110-(0)&gt;Inputs!$B$19,1,0)</f>
        <v>0</v>
      </c>
      <c r="Y110" s="0" t="n">
        <f aca="false">IF(D110-(0)&gt;Inputs!$B$19,1,0)</f>
        <v>0</v>
      </c>
      <c r="Z110" s="0" t="n">
        <f aca="false">IF(E110-(0)&gt;Inputs!$B$19,1,0)</f>
        <v>0</v>
      </c>
      <c r="AA110" s="0" t="n">
        <f aca="false">IF((X110*C110+Y110*D110+Z110*E110)&gt;0,MIN(C110-(0),S110*X110*C110/(X110*C110+Y110*D110+Z110*E110)),0)</f>
        <v>0</v>
      </c>
      <c r="AB110" s="0" t="n">
        <f aca="false">IF((X110*C110+Y110*D110+Z110*E110)&gt;0,MIN(D110-(0),S110*Y110*D110/(X110*C110+Y110*D110+Z110*E110)),0)</f>
        <v>0</v>
      </c>
      <c r="AC110" s="0" t="n">
        <f aca="false">IF((X110*C110+Y110*D110+Z110*E110)&gt;0,MIN(E110-(0),S110*Z110*E110/(X110*C110+Y110*D110+Z110*E110)),0)</f>
        <v>0</v>
      </c>
      <c r="AD110" s="0" t="n">
        <f aca="false">IF(C110-(AA110)&gt;Inputs!$B$19,1,0)</f>
        <v>0</v>
      </c>
      <c r="AE110" s="0" t="n">
        <f aca="false">IF(D110-(AB110)&gt;Inputs!$B$19,1,0)</f>
        <v>0</v>
      </c>
      <c r="AF110" s="0" t="n">
        <f aca="false">IF(E110-(AC110)&gt;Inputs!$B$19,1,0)</f>
        <v>0</v>
      </c>
      <c r="AG110" s="0" t="n">
        <f aca="false">IF((AD110*C110+AE110*D110+AF110*E110)&gt;0,MIN(C110-(AA110),(S110-(AA110+AB110+AC110))*AD110*C110/(AD110*C110+AE110*D110+AF110*E110)),0)</f>
        <v>0</v>
      </c>
      <c r="AH110" s="0" t="n">
        <f aca="false">IF((AD110*C110+AE110*D110+AF110*E110)&gt;0,MIN(D110-(AB110),(S110-(AA110+AB110+AC110))*AE110*D110/(AD110*C110+AE110*D110+AF110*E110)),0)</f>
        <v>0</v>
      </c>
      <c r="AI110" s="0" t="n">
        <f aca="false">IF((AD110*C110+AE110*D110+AF110*E110)&gt;0,MIN(E110-(AC110),(S110-(AA110+AB110+AC110))*AF110*E110/(AD110*C110+AE110*D110+AF110*E110)),0)</f>
        <v>0</v>
      </c>
      <c r="AJ110" s="0" t="n">
        <f aca="false">IF(C110-(AA110+AG110)&gt;Inputs!$B$19,1,0)</f>
        <v>0</v>
      </c>
      <c r="AK110" s="0" t="n">
        <f aca="false">IF(D110-(AB110+AH110)&gt;Inputs!$B$19,1,0)</f>
        <v>0</v>
      </c>
      <c r="AL110" s="0" t="n">
        <f aca="false">IF(E110-(AC110+AI110)&gt;Inputs!$B$19,1,0)</f>
        <v>0</v>
      </c>
      <c r="AM110" s="0" t="n">
        <f aca="false">IF((AJ110*C110+AK110*D110+AL110*E110)&gt;0,MIN(C110-(AA110+AG110),(S110-(AA110+AB110+AC110+AG110+AH110+AI110))*AJ110*C110/(AJ110*C110+AK110*D110+AL110*E110)),0)</f>
        <v>0</v>
      </c>
      <c r="AN110" s="0" t="n">
        <f aca="false">IF((AJ110*C110+AK110*D110+AL110*E110)&gt;0,MIN(D110-(AB110+AH110),(S110-(AA110+AB110+AC110+AG110+AH110+AI110))*AK110*D110/(AJ110*C110+AK110*D110+AL110*E110)),0)</f>
        <v>0</v>
      </c>
      <c r="AO110" s="0" t="n">
        <f aca="false">IF((AJ110*C110+AK110*D110+AL110*E110)&gt;0,MIN(E110-(AC110+AI110),(S110-(AA110+AB110+AC110+AG110+AH110+AI110))*AL110*E110/(AJ110*C110+AK110*D110+AL110*E110)),0)</f>
        <v>0</v>
      </c>
      <c r="AP110" s="0" t="n">
        <f aca="false">IF(T110=1,U110,AA110+AG110+AM110)</f>
        <v>0</v>
      </c>
      <c r="AQ110" s="0" t="n">
        <f aca="false">IF(T110=1,V110,AB110+AH110+AN110)</f>
        <v>0</v>
      </c>
      <c r="AR110" s="0" t="n">
        <f aca="false">IF(T110=1,W110,AC110+AI110+AO110)</f>
        <v>0</v>
      </c>
      <c r="AS110" s="0" t="n">
        <f aca="false">S110-AP110-AQ110-AR110</f>
        <v>0</v>
      </c>
      <c r="AT110" s="0" t="n">
        <f aca="false">C110-AP110</f>
        <v>0</v>
      </c>
      <c r="AU110" s="0" t="n">
        <f aca="false">D110-AQ110</f>
        <v>0</v>
      </c>
      <c r="AV110" s="0" t="n">
        <f aca="false">E110-AR110</f>
        <v>0</v>
      </c>
      <c r="AW110" s="0" t="n">
        <f aca="false">Pool!CB110</f>
        <v>-1.06979314296041E-010</v>
      </c>
      <c r="AX110" s="0" t="n">
        <f aca="false">IF((AT110)&gt;Inputs!$B$19,AW110/(AT110),1000000000)</f>
        <v>1000000000</v>
      </c>
      <c r="AY110" s="0" t="n">
        <f aca="false">IF((J110)&gt;0.000000001,(R110-I110-MAX(-M110,0))/(J110),1000000000)</f>
        <v>1000000000</v>
      </c>
      <c r="AZ110" s="0" t="n">
        <f aca="false">IF(OR(AX110&lt;Inputs!$B$24,AY110&lt;Inputs!$B$25),1,0)</f>
        <v>0</v>
      </c>
      <c r="BA110" s="0" t="n">
        <f aca="false">IF((AT110+AU110)&gt;Inputs!$B$19,AW110/(AT110+AU110),1000000000)</f>
        <v>1000000000</v>
      </c>
      <c r="BB110" s="0" t="n">
        <f aca="false">IF((J110+K110)&gt;0.000000001,(R110-I110-MAX(-M110,0))/(J110+K110),1000000000)</f>
        <v>1000000000</v>
      </c>
      <c r="BC110" s="0" t="n">
        <f aca="false">IF(OR(BA110&lt;Inputs!$B$29,BB110&lt;Inputs!$B$30),1,0)</f>
        <v>0</v>
      </c>
      <c r="BD110" s="0" t="n">
        <f aca="false">IF((AT110+AU110+AV110)&gt;Inputs!$B$19,AW110/(AT110+AU110+AV110),1000000000)</f>
        <v>1000000000</v>
      </c>
      <c r="BE110" s="0" t="n">
        <f aca="false">IF((J110+K110+L110)&gt;0.000000001,(R110-I110-MAX(-M110,0))/(J110+K110+L110),1000000000)</f>
        <v>1000000000</v>
      </c>
      <c r="BF110" s="0" t="n">
        <f aca="false">IF(OR(BD110&lt;Inputs!$B$34,BE110&lt;Inputs!$B$35),1,0)</f>
        <v>0</v>
      </c>
      <c r="BG110" s="0" t="n">
        <f aca="false">MAX(AZ110,BC110,BF110)</f>
        <v>0</v>
      </c>
      <c r="BH110" s="0" t="n">
        <f aca="false">MIN(R110,N110)</f>
        <v>0</v>
      </c>
      <c r="BI110" s="0" t="n">
        <f aca="false">R110-BH110</f>
        <v>0</v>
      </c>
      <c r="BJ110" s="0" t="n">
        <f aca="false">MIN(BI110,O110)</f>
        <v>0</v>
      </c>
      <c r="BK110" s="0" t="n">
        <f aca="false">BI110-BJ110</f>
        <v>0</v>
      </c>
      <c r="BL110" s="0" t="n">
        <f aca="false">AZ110*MIN(AT110,BK110)</f>
        <v>0</v>
      </c>
      <c r="BM110" s="0" t="n">
        <f aca="false">AZ110*MIN(AU110,BK110-BL110)</f>
        <v>0</v>
      </c>
      <c r="BN110" s="0" t="n">
        <f aca="false">AZ110*MIN(AV110,BK110-BL110-BM110)</f>
        <v>0</v>
      </c>
      <c r="BO110" s="0" t="n">
        <f aca="false">BK110-BL110-BM110-BN110</f>
        <v>0</v>
      </c>
      <c r="BP110" s="0" t="n">
        <f aca="false">MIN(BO110,P110)</f>
        <v>0</v>
      </c>
      <c r="BQ110" s="0" t="n">
        <f aca="false">BO110-BP110</f>
        <v>0</v>
      </c>
      <c r="BR110" s="0" t="n">
        <f aca="false">BC110*MIN((AT110-BL110),BQ110)</f>
        <v>0</v>
      </c>
      <c r="BS110" s="0" t="n">
        <f aca="false">BC110*MIN((AU110-BM110),BQ110-BR110)</f>
        <v>0</v>
      </c>
      <c r="BT110" s="0" t="n">
        <f aca="false">BC110*MIN((AV110-BN110),BQ110-BR110-BS110)</f>
        <v>0</v>
      </c>
      <c r="BU110" s="0" t="n">
        <f aca="false">BQ110-BR110-BS110-BT110</f>
        <v>0</v>
      </c>
      <c r="BV110" s="0" t="n">
        <f aca="false">MIN(BU110,Q110)</f>
        <v>0</v>
      </c>
      <c r="BW110" s="0" t="n">
        <f aca="false">BU110-BV110</f>
        <v>0</v>
      </c>
      <c r="BX110" s="0" t="n">
        <f aca="false">BF110*MIN((AT110-BL110-BR110),BW110)</f>
        <v>0</v>
      </c>
      <c r="BY110" s="0" t="n">
        <f aca="false">BF110*MIN((AU110-BM110-BS110),BW110-BX110)</f>
        <v>0</v>
      </c>
      <c r="BZ110" s="0" t="n">
        <f aca="false">BF110*MIN((AV110-BN110-BT110),BW110-BX110-BY110)</f>
        <v>0</v>
      </c>
      <c r="CA110" s="0" t="n">
        <f aca="false">BW110-BX110-BY110-BZ110</f>
        <v>0</v>
      </c>
      <c r="CB110" s="0" t="n">
        <f aca="false">MAX(0,AT110+AU110+AV110-BL110-BM110-BN110-BR110-BS110-BT110-BX110-BY110-BZ110-AW110)</f>
        <v>1.06979314296041E-010</v>
      </c>
      <c r="CC110" s="0" t="n">
        <f aca="false">1*MIN((AT110-BL110-BR110-BX110),MIN(CA110,CB110))</f>
        <v>0</v>
      </c>
      <c r="CD110" s="0" t="n">
        <f aca="false">1*MIN((AU110-BM110-BS110-BY110),MIN(CA110,CB110)-CC110)</f>
        <v>0</v>
      </c>
      <c r="CE110" s="0" t="n">
        <f aca="false">1*MIN((AV110-BN110-BT110-BZ110),MIN(CA110,CB110)-CC110-CD110)</f>
        <v>0</v>
      </c>
      <c r="CF110" s="0" t="n">
        <f aca="false">CA110-CC110-CD110-CE110</f>
        <v>0</v>
      </c>
      <c r="CG110" s="0" t="n">
        <f aca="false">IF(C110+D110+E110&gt;Inputs!$B$19,MIN(CF110,MAX(0,Inputs!$B$15-DO109)),0)</f>
        <v>0</v>
      </c>
      <c r="CH110" s="0" t="n">
        <f aca="false">CF110-CG110</f>
        <v>0</v>
      </c>
      <c r="CI110" s="0" t="n">
        <f aca="false">DO109+CG110</f>
        <v>0</v>
      </c>
      <c r="CJ110" s="0" t="n">
        <f aca="false">MIN(MAX(N110-BH110,0),CI110)</f>
        <v>0</v>
      </c>
      <c r="CK110" s="0" t="n">
        <f aca="false">MIN(MAX(O110-BJ110,0),CI110-CJ110)</f>
        <v>0</v>
      </c>
      <c r="CL110" s="0" t="n">
        <f aca="false">MIN(MAX(P110-BP110,0),CI110-CJ110-CK110)</f>
        <v>0</v>
      </c>
      <c r="CM110" s="0" t="n">
        <f aca="false">CJ110+CK110+CL110</f>
        <v>0</v>
      </c>
      <c r="CN110" s="0" t="n">
        <f aca="false">CI110-CM110</f>
        <v>0</v>
      </c>
      <c r="CO110" s="0" t="n">
        <f aca="false">BH110+CJ110</f>
        <v>0</v>
      </c>
      <c r="CP110" s="0" t="n">
        <f aca="false">BJ110+CK110</f>
        <v>0</v>
      </c>
      <c r="CQ110" s="0" t="n">
        <f aca="false">BP110+CL110</f>
        <v>0</v>
      </c>
      <c r="CR110" s="0" t="n">
        <f aca="false">BV110</f>
        <v>0</v>
      </c>
      <c r="CS110" s="0" t="n">
        <f aca="false">AT110-BL110-BR110-BX110-CC110</f>
        <v>0</v>
      </c>
      <c r="CT110" s="0" t="n">
        <f aca="false">AU110-BM110-BS110-BY110-CD110</f>
        <v>0</v>
      </c>
      <c r="CU110" s="0" t="n">
        <f aca="false">AV110-BN110-BT110-BZ110-CE110</f>
        <v>0</v>
      </c>
      <c r="CV110" s="0" t="n">
        <f aca="false">MAX(0,CS110+CT110+CU110-AW110)</f>
        <v>1.06979314296041E-010</v>
      </c>
      <c r="CW110" s="0" t="n">
        <f aca="false">MIN(CU110,CV110)</f>
        <v>0</v>
      </c>
      <c r="CX110" s="0" t="n">
        <f aca="false">MIN(CT110,CV110-CW110)</f>
        <v>0</v>
      </c>
      <c r="CY110" s="0" t="n">
        <f aca="false">MIN(CS110,CV110-CW110-CX110)</f>
        <v>0</v>
      </c>
      <c r="CZ110" s="0" t="n">
        <f aca="false">IF(CS110-CY110&lt;Inputs!$B$19,0,CS110-CY110)</f>
        <v>0</v>
      </c>
      <c r="DA110" s="0" t="n">
        <f aca="false">IF(CT110-CX110&lt;Inputs!$B$19,0,CT110-CX110)</f>
        <v>0</v>
      </c>
      <c r="DB110" s="0" t="n">
        <f aca="false">IF(CU110-CW110&lt;Inputs!$B$19,0,CU110-CW110)</f>
        <v>0</v>
      </c>
      <c r="DC110" s="0" t="n">
        <f aca="false">N110-CO110</f>
        <v>0</v>
      </c>
      <c r="DD110" s="0" t="n">
        <f aca="false">O110-CP110</f>
        <v>0</v>
      </c>
      <c r="DE110" s="0" t="n">
        <f aca="false">P110-CQ110</f>
        <v>0</v>
      </c>
      <c r="DF110" s="0" t="n">
        <f aca="false">Q110-CR110</f>
        <v>0</v>
      </c>
      <c r="DG110" s="0" t="n">
        <f aca="false">IF(CZ110+DA110+DB110&lt;=Inputs!$B$19,1,0)</f>
        <v>1</v>
      </c>
      <c r="DH110" s="0" t="n">
        <f aca="false">DG110*CN110</f>
        <v>0</v>
      </c>
      <c r="DI110" s="0" t="n">
        <f aca="false">DG110*(AS110+DH110)</f>
        <v>0</v>
      </c>
      <c r="DJ110" s="0" t="n">
        <f aca="false">DG110*MIN(DC110,DI110)</f>
        <v>0</v>
      </c>
      <c r="DK110" s="0" t="n">
        <f aca="false">DG110*MIN(DD110,DI110-DJ110)</f>
        <v>0</v>
      </c>
      <c r="DL110" s="0" t="n">
        <f aca="false">DG110*MIN(DE110,DI110-DJ110-DK110)</f>
        <v>0</v>
      </c>
      <c r="DM110" s="0" t="n">
        <f aca="false">DG110*MIN(DF110,DI110-DJ110-DK110-DL110)</f>
        <v>0</v>
      </c>
      <c r="DN110" s="0" t="n">
        <f aca="false">DJ110+DK110+DL110+DM110</f>
        <v>0</v>
      </c>
      <c r="DO110" s="0" t="n">
        <f aca="false">CN110-DH110</f>
        <v>0</v>
      </c>
      <c r="DP110" s="0" t="n">
        <f aca="false">DC110-DJ110</f>
        <v>0</v>
      </c>
      <c r="DQ110" s="0" t="n">
        <f aca="false">DD110-DK110</f>
        <v>0</v>
      </c>
      <c r="DR110" s="0" t="n">
        <f aca="false">DE110-DL110</f>
        <v>0</v>
      </c>
      <c r="DS110" s="0" t="n">
        <f aca="false">DF110-DM110</f>
        <v>0</v>
      </c>
      <c r="DT110" s="0" t="n">
        <f aca="false">CO110+DJ110</f>
        <v>0</v>
      </c>
      <c r="DU110" s="0" t="n">
        <f aca="false">CP110+DK110</f>
        <v>0</v>
      </c>
      <c r="DV110" s="0" t="n">
        <f aca="false">AP110+BL110+BR110+BX110+CC110</f>
        <v>0</v>
      </c>
      <c r="DW110" s="0" t="n">
        <f aca="false">CQ110+DL110</f>
        <v>0</v>
      </c>
      <c r="DX110" s="0" t="n">
        <f aca="false">AQ110+BM110+BS110+BY110+CD110</f>
        <v>0</v>
      </c>
      <c r="DY110" s="0" t="n">
        <f aca="false">CR110+DM110</f>
        <v>0</v>
      </c>
      <c r="DZ110" s="0" t="n">
        <f aca="false">AR110+BN110+BT110+BZ110+CE110</f>
        <v>0</v>
      </c>
      <c r="EA110" s="0" t="n">
        <f aca="false">DI110-DN110</f>
        <v>0</v>
      </c>
      <c r="EB110" s="0" t="n">
        <f aca="false">CH110+EA110</f>
        <v>0</v>
      </c>
      <c r="EC110" s="0" t="n">
        <f aca="false">R110-I110-MAX(-M110,0)-J110-K110-L110</f>
        <v>0</v>
      </c>
      <c r="ED110" s="0" t="n">
        <f aca="false">R110+S110+CM110+DH110-CG110-DT110-DU110-DW110-DY110-DV110-DX110-DZ110-EB110</f>
        <v>0</v>
      </c>
      <c r="EE110" s="0" t="n">
        <f aca="false">IF(AND(EB110&gt;0.000001,DP110+DQ110+DR110+DS110&gt;0.000001),1,0)</f>
        <v>0</v>
      </c>
    </row>
    <row r="111" customFormat="false" ht="15" hidden="false" customHeight="false" outlineLevel="0" collapsed="false">
      <c r="A111" s="0" t="n">
        <f aca="false">ROW()-5</f>
        <v>106</v>
      </c>
      <c r="B111" s="0" t="n">
        <f aca="false">Inputs!$B$11+(Inputs!$B$12-Inputs!$B$11)*(1-EXP(-A111/Inputs!$B$13))+Inputs!$B$8</f>
        <v>0.0326267813398971</v>
      </c>
      <c r="C111" s="0" t="n">
        <f aca="false">CZ110</f>
        <v>0</v>
      </c>
      <c r="D111" s="0" t="n">
        <f aca="false">DA110</f>
        <v>0</v>
      </c>
      <c r="E111" s="0" t="n">
        <f aca="false">DB110</f>
        <v>0</v>
      </c>
      <c r="F111" s="0" t="n">
        <f aca="false">IF(Inputs!$B$22=1,B111+Inputs!$B$23,Inputs!$B$23)/12</f>
        <v>0.00363556511165809</v>
      </c>
      <c r="G111" s="0" t="n">
        <f aca="false">IF(Inputs!$B$27=1,B111+Inputs!$B$28,Inputs!$B$28)/12</f>
        <v>0.00459389844499143</v>
      </c>
      <c r="H111" s="0" t="n">
        <f aca="false">IF(Inputs!$B$32=1,B111+Inputs!$B$33,Inputs!$B$33)/12</f>
        <v>0.00625</v>
      </c>
      <c r="I111" s="0" t="n">
        <f aca="false">Pool!BT111*Inputs!$B$14/12</f>
        <v>0</v>
      </c>
      <c r="J111" s="0" t="n">
        <f aca="false">C111*F111</f>
        <v>0</v>
      </c>
      <c r="K111" s="0" t="n">
        <f aca="false">D111*G111</f>
        <v>0</v>
      </c>
      <c r="L111" s="0" t="n">
        <f aca="false">E111*H111</f>
        <v>0</v>
      </c>
      <c r="M111" s="0" t="n">
        <f aca="false">Inputs!$B$17*(C111*Inputs!$B$22+D111*Inputs!$B$27+E111*Inputs!$B$32)*(B111-Inputs!$B$18)/12</f>
        <v>-0</v>
      </c>
      <c r="N111" s="0" t="n">
        <f aca="false">DP110+I111+MAX(-M111,0)</f>
        <v>0</v>
      </c>
      <c r="O111" s="0" t="n">
        <f aca="false">DQ110+J111</f>
        <v>0</v>
      </c>
      <c r="P111" s="0" t="n">
        <f aca="false">DR110+K111</f>
        <v>0</v>
      </c>
      <c r="Q111" s="0" t="n">
        <f aca="false">DS110+L111</f>
        <v>0</v>
      </c>
      <c r="R111" s="0" t="n">
        <f aca="false">Pool!BV111+MAX(M111,0)</f>
        <v>0</v>
      </c>
      <c r="S111" s="0" t="n">
        <f aca="false">Pool!BW111+Pool!BX111+Pool!BZ111</f>
        <v>0</v>
      </c>
      <c r="T111" s="0" t="n">
        <f aca="false">MAX(T110,BG110)</f>
        <v>1</v>
      </c>
      <c r="U111" s="0" t="n">
        <f aca="false">MIN(C111,S111)</f>
        <v>0</v>
      </c>
      <c r="V111" s="0" t="n">
        <f aca="false">MIN(D111,S111-U111)</f>
        <v>0</v>
      </c>
      <c r="W111" s="0" t="n">
        <f aca="false">MIN(E111,S111-U111-V111)</f>
        <v>0</v>
      </c>
      <c r="X111" s="0" t="n">
        <f aca="false">IF(C111-(0)&gt;Inputs!$B$19,1,0)</f>
        <v>0</v>
      </c>
      <c r="Y111" s="0" t="n">
        <f aca="false">IF(D111-(0)&gt;Inputs!$B$19,1,0)</f>
        <v>0</v>
      </c>
      <c r="Z111" s="0" t="n">
        <f aca="false">IF(E111-(0)&gt;Inputs!$B$19,1,0)</f>
        <v>0</v>
      </c>
      <c r="AA111" s="0" t="n">
        <f aca="false">IF((X111*C111+Y111*D111+Z111*E111)&gt;0,MIN(C111-(0),S111*X111*C111/(X111*C111+Y111*D111+Z111*E111)),0)</f>
        <v>0</v>
      </c>
      <c r="AB111" s="0" t="n">
        <f aca="false">IF((X111*C111+Y111*D111+Z111*E111)&gt;0,MIN(D111-(0),S111*Y111*D111/(X111*C111+Y111*D111+Z111*E111)),0)</f>
        <v>0</v>
      </c>
      <c r="AC111" s="0" t="n">
        <f aca="false">IF((X111*C111+Y111*D111+Z111*E111)&gt;0,MIN(E111-(0),S111*Z111*E111/(X111*C111+Y111*D111+Z111*E111)),0)</f>
        <v>0</v>
      </c>
      <c r="AD111" s="0" t="n">
        <f aca="false">IF(C111-(AA111)&gt;Inputs!$B$19,1,0)</f>
        <v>0</v>
      </c>
      <c r="AE111" s="0" t="n">
        <f aca="false">IF(D111-(AB111)&gt;Inputs!$B$19,1,0)</f>
        <v>0</v>
      </c>
      <c r="AF111" s="0" t="n">
        <f aca="false">IF(E111-(AC111)&gt;Inputs!$B$19,1,0)</f>
        <v>0</v>
      </c>
      <c r="AG111" s="0" t="n">
        <f aca="false">IF((AD111*C111+AE111*D111+AF111*E111)&gt;0,MIN(C111-(AA111),(S111-(AA111+AB111+AC111))*AD111*C111/(AD111*C111+AE111*D111+AF111*E111)),0)</f>
        <v>0</v>
      </c>
      <c r="AH111" s="0" t="n">
        <f aca="false">IF((AD111*C111+AE111*D111+AF111*E111)&gt;0,MIN(D111-(AB111),(S111-(AA111+AB111+AC111))*AE111*D111/(AD111*C111+AE111*D111+AF111*E111)),0)</f>
        <v>0</v>
      </c>
      <c r="AI111" s="0" t="n">
        <f aca="false">IF((AD111*C111+AE111*D111+AF111*E111)&gt;0,MIN(E111-(AC111),(S111-(AA111+AB111+AC111))*AF111*E111/(AD111*C111+AE111*D111+AF111*E111)),0)</f>
        <v>0</v>
      </c>
      <c r="AJ111" s="0" t="n">
        <f aca="false">IF(C111-(AA111+AG111)&gt;Inputs!$B$19,1,0)</f>
        <v>0</v>
      </c>
      <c r="AK111" s="0" t="n">
        <f aca="false">IF(D111-(AB111+AH111)&gt;Inputs!$B$19,1,0)</f>
        <v>0</v>
      </c>
      <c r="AL111" s="0" t="n">
        <f aca="false">IF(E111-(AC111+AI111)&gt;Inputs!$B$19,1,0)</f>
        <v>0</v>
      </c>
      <c r="AM111" s="0" t="n">
        <f aca="false">IF((AJ111*C111+AK111*D111+AL111*E111)&gt;0,MIN(C111-(AA111+AG111),(S111-(AA111+AB111+AC111+AG111+AH111+AI111))*AJ111*C111/(AJ111*C111+AK111*D111+AL111*E111)),0)</f>
        <v>0</v>
      </c>
      <c r="AN111" s="0" t="n">
        <f aca="false">IF((AJ111*C111+AK111*D111+AL111*E111)&gt;0,MIN(D111-(AB111+AH111),(S111-(AA111+AB111+AC111+AG111+AH111+AI111))*AK111*D111/(AJ111*C111+AK111*D111+AL111*E111)),0)</f>
        <v>0</v>
      </c>
      <c r="AO111" s="0" t="n">
        <f aca="false">IF((AJ111*C111+AK111*D111+AL111*E111)&gt;0,MIN(E111-(AC111+AI111),(S111-(AA111+AB111+AC111+AG111+AH111+AI111))*AL111*E111/(AJ111*C111+AK111*D111+AL111*E111)),0)</f>
        <v>0</v>
      </c>
      <c r="AP111" s="0" t="n">
        <f aca="false">IF(T111=1,U111,AA111+AG111+AM111)</f>
        <v>0</v>
      </c>
      <c r="AQ111" s="0" t="n">
        <f aca="false">IF(T111=1,V111,AB111+AH111+AN111)</f>
        <v>0</v>
      </c>
      <c r="AR111" s="0" t="n">
        <f aca="false">IF(T111=1,W111,AC111+AI111+AO111)</f>
        <v>0</v>
      </c>
      <c r="AS111" s="0" t="n">
        <f aca="false">S111-AP111-AQ111-AR111</f>
        <v>0</v>
      </c>
      <c r="AT111" s="0" t="n">
        <f aca="false">C111-AP111</f>
        <v>0</v>
      </c>
      <c r="AU111" s="0" t="n">
        <f aca="false">D111-AQ111</f>
        <v>0</v>
      </c>
      <c r="AV111" s="0" t="n">
        <f aca="false">E111-AR111</f>
        <v>0</v>
      </c>
      <c r="AW111" s="0" t="n">
        <f aca="false">Pool!CB111</f>
        <v>-1.06979314296041E-010</v>
      </c>
      <c r="AX111" s="0" t="n">
        <f aca="false">IF((AT111)&gt;Inputs!$B$19,AW111/(AT111),1000000000)</f>
        <v>1000000000</v>
      </c>
      <c r="AY111" s="0" t="n">
        <f aca="false">IF((J111)&gt;0.000000001,(R111-I111-MAX(-M111,0))/(J111),1000000000)</f>
        <v>1000000000</v>
      </c>
      <c r="AZ111" s="0" t="n">
        <f aca="false">IF(OR(AX111&lt;Inputs!$B$24,AY111&lt;Inputs!$B$25),1,0)</f>
        <v>0</v>
      </c>
      <c r="BA111" s="0" t="n">
        <f aca="false">IF((AT111+AU111)&gt;Inputs!$B$19,AW111/(AT111+AU111),1000000000)</f>
        <v>1000000000</v>
      </c>
      <c r="BB111" s="0" t="n">
        <f aca="false">IF((J111+K111)&gt;0.000000001,(R111-I111-MAX(-M111,0))/(J111+K111),1000000000)</f>
        <v>1000000000</v>
      </c>
      <c r="BC111" s="0" t="n">
        <f aca="false">IF(OR(BA111&lt;Inputs!$B$29,BB111&lt;Inputs!$B$30),1,0)</f>
        <v>0</v>
      </c>
      <c r="BD111" s="0" t="n">
        <f aca="false">IF((AT111+AU111+AV111)&gt;Inputs!$B$19,AW111/(AT111+AU111+AV111),1000000000)</f>
        <v>1000000000</v>
      </c>
      <c r="BE111" s="0" t="n">
        <f aca="false">IF((J111+K111+L111)&gt;0.000000001,(R111-I111-MAX(-M111,0))/(J111+K111+L111),1000000000)</f>
        <v>1000000000</v>
      </c>
      <c r="BF111" s="0" t="n">
        <f aca="false">IF(OR(BD111&lt;Inputs!$B$34,BE111&lt;Inputs!$B$35),1,0)</f>
        <v>0</v>
      </c>
      <c r="BG111" s="0" t="n">
        <f aca="false">MAX(AZ111,BC111,BF111)</f>
        <v>0</v>
      </c>
      <c r="BH111" s="0" t="n">
        <f aca="false">MIN(R111,N111)</f>
        <v>0</v>
      </c>
      <c r="BI111" s="0" t="n">
        <f aca="false">R111-BH111</f>
        <v>0</v>
      </c>
      <c r="BJ111" s="0" t="n">
        <f aca="false">MIN(BI111,O111)</f>
        <v>0</v>
      </c>
      <c r="BK111" s="0" t="n">
        <f aca="false">BI111-BJ111</f>
        <v>0</v>
      </c>
      <c r="BL111" s="0" t="n">
        <f aca="false">AZ111*MIN(AT111,BK111)</f>
        <v>0</v>
      </c>
      <c r="BM111" s="0" t="n">
        <f aca="false">AZ111*MIN(AU111,BK111-BL111)</f>
        <v>0</v>
      </c>
      <c r="BN111" s="0" t="n">
        <f aca="false">AZ111*MIN(AV111,BK111-BL111-BM111)</f>
        <v>0</v>
      </c>
      <c r="BO111" s="0" t="n">
        <f aca="false">BK111-BL111-BM111-BN111</f>
        <v>0</v>
      </c>
      <c r="BP111" s="0" t="n">
        <f aca="false">MIN(BO111,P111)</f>
        <v>0</v>
      </c>
      <c r="BQ111" s="0" t="n">
        <f aca="false">BO111-BP111</f>
        <v>0</v>
      </c>
      <c r="BR111" s="0" t="n">
        <f aca="false">BC111*MIN((AT111-BL111),BQ111)</f>
        <v>0</v>
      </c>
      <c r="BS111" s="0" t="n">
        <f aca="false">BC111*MIN((AU111-BM111),BQ111-BR111)</f>
        <v>0</v>
      </c>
      <c r="BT111" s="0" t="n">
        <f aca="false">BC111*MIN((AV111-BN111),BQ111-BR111-BS111)</f>
        <v>0</v>
      </c>
      <c r="BU111" s="0" t="n">
        <f aca="false">BQ111-BR111-BS111-BT111</f>
        <v>0</v>
      </c>
      <c r="BV111" s="0" t="n">
        <f aca="false">MIN(BU111,Q111)</f>
        <v>0</v>
      </c>
      <c r="BW111" s="0" t="n">
        <f aca="false">BU111-BV111</f>
        <v>0</v>
      </c>
      <c r="BX111" s="0" t="n">
        <f aca="false">BF111*MIN((AT111-BL111-BR111),BW111)</f>
        <v>0</v>
      </c>
      <c r="BY111" s="0" t="n">
        <f aca="false">BF111*MIN((AU111-BM111-BS111),BW111-BX111)</f>
        <v>0</v>
      </c>
      <c r="BZ111" s="0" t="n">
        <f aca="false">BF111*MIN((AV111-BN111-BT111),BW111-BX111-BY111)</f>
        <v>0</v>
      </c>
      <c r="CA111" s="0" t="n">
        <f aca="false">BW111-BX111-BY111-BZ111</f>
        <v>0</v>
      </c>
      <c r="CB111" s="0" t="n">
        <f aca="false">MAX(0,AT111+AU111+AV111-BL111-BM111-BN111-BR111-BS111-BT111-BX111-BY111-BZ111-AW111)</f>
        <v>1.06979314296041E-010</v>
      </c>
      <c r="CC111" s="0" t="n">
        <f aca="false">1*MIN((AT111-BL111-BR111-BX111),MIN(CA111,CB111))</f>
        <v>0</v>
      </c>
      <c r="CD111" s="0" t="n">
        <f aca="false">1*MIN((AU111-BM111-BS111-BY111),MIN(CA111,CB111)-CC111)</f>
        <v>0</v>
      </c>
      <c r="CE111" s="0" t="n">
        <f aca="false">1*MIN((AV111-BN111-BT111-BZ111),MIN(CA111,CB111)-CC111-CD111)</f>
        <v>0</v>
      </c>
      <c r="CF111" s="0" t="n">
        <f aca="false">CA111-CC111-CD111-CE111</f>
        <v>0</v>
      </c>
      <c r="CG111" s="0" t="n">
        <f aca="false">IF(C111+D111+E111&gt;Inputs!$B$19,MIN(CF111,MAX(0,Inputs!$B$15-DO110)),0)</f>
        <v>0</v>
      </c>
      <c r="CH111" s="0" t="n">
        <f aca="false">CF111-CG111</f>
        <v>0</v>
      </c>
      <c r="CI111" s="0" t="n">
        <f aca="false">DO110+CG111</f>
        <v>0</v>
      </c>
      <c r="CJ111" s="0" t="n">
        <f aca="false">MIN(MAX(N111-BH111,0),CI111)</f>
        <v>0</v>
      </c>
      <c r="CK111" s="0" t="n">
        <f aca="false">MIN(MAX(O111-BJ111,0),CI111-CJ111)</f>
        <v>0</v>
      </c>
      <c r="CL111" s="0" t="n">
        <f aca="false">MIN(MAX(P111-BP111,0),CI111-CJ111-CK111)</f>
        <v>0</v>
      </c>
      <c r="CM111" s="0" t="n">
        <f aca="false">CJ111+CK111+CL111</f>
        <v>0</v>
      </c>
      <c r="CN111" s="0" t="n">
        <f aca="false">CI111-CM111</f>
        <v>0</v>
      </c>
      <c r="CO111" s="0" t="n">
        <f aca="false">BH111+CJ111</f>
        <v>0</v>
      </c>
      <c r="CP111" s="0" t="n">
        <f aca="false">BJ111+CK111</f>
        <v>0</v>
      </c>
      <c r="CQ111" s="0" t="n">
        <f aca="false">BP111+CL111</f>
        <v>0</v>
      </c>
      <c r="CR111" s="0" t="n">
        <f aca="false">BV111</f>
        <v>0</v>
      </c>
      <c r="CS111" s="0" t="n">
        <f aca="false">AT111-BL111-BR111-BX111-CC111</f>
        <v>0</v>
      </c>
      <c r="CT111" s="0" t="n">
        <f aca="false">AU111-BM111-BS111-BY111-CD111</f>
        <v>0</v>
      </c>
      <c r="CU111" s="0" t="n">
        <f aca="false">AV111-BN111-BT111-BZ111-CE111</f>
        <v>0</v>
      </c>
      <c r="CV111" s="0" t="n">
        <f aca="false">MAX(0,CS111+CT111+CU111-AW111)</f>
        <v>1.06979314296041E-010</v>
      </c>
      <c r="CW111" s="0" t="n">
        <f aca="false">MIN(CU111,CV111)</f>
        <v>0</v>
      </c>
      <c r="CX111" s="0" t="n">
        <f aca="false">MIN(CT111,CV111-CW111)</f>
        <v>0</v>
      </c>
      <c r="CY111" s="0" t="n">
        <f aca="false">MIN(CS111,CV111-CW111-CX111)</f>
        <v>0</v>
      </c>
      <c r="CZ111" s="0" t="n">
        <f aca="false">IF(CS111-CY111&lt;Inputs!$B$19,0,CS111-CY111)</f>
        <v>0</v>
      </c>
      <c r="DA111" s="0" t="n">
        <f aca="false">IF(CT111-CX111&lt;Inputs!$B$19,0,CT111-CX111)</f>
        <v>0</v>
      </c>
      <c r="DB111" s="0" t="n">
        <f aca="false">IF(CU111-CW111&lt;Inputs!$B$19,0,CU111-CW111)</f>
        <v>0</v>
      </c>
      <c r="DC111" s="0" t="n">
        <f aca="false">N111-CO111</f>
        <v>0</v>
      </c>
      <c r="DD111" s="0" t="n">
        <f aca="false">O111-CP111</f>
        <v>0</v>
      </c>
      <c r="DE111" s="0" t="n">
        <f aca="false">P111-CQ111</f>
        <v>0</v>
      </c>
      <c r="DF111" s="0" t="n">
        <f aca="false">Q111-CR111</f>
        <v>0</v>
      </c>
      <c r="DG111" s="0" t="n">
        <f aca="false">IF(CZ111+DA111+DB111&lt;=Inputs!$B$19,1,0)</f>
        <v>1</v>
      </c>
      <c r="DH111" s="0" t="n">
        <f aca="false">DG111*CN111</f>
        <v>0</v>
      </c>
      <c r="DI111" s="0" t="n">
        <f aca="false">DG111*(AS111+DH111)</f>
        <v>0</v>
      </c>
      <c r="DJ111" s="0" t="n">
        <f aca="false">DG111*MIN(DC111,DI111)</f>
        <v>0</v>
      </c>
      <c r="DK111" s="0" t="n">
        <f aca="false">DG111*MIN(DD111,DI111-DJ111)</f>
        <v>0</v>
      </c>
      <c r="DL111" s="0" t="n">
        <f aca="false">DG111*MIN(DE111,DI111-DJ111-DK111)</f>
        <v>0</v>
      </c>
      <c r="DM111" s="0" t="n">
        <f aca="false">DG111*MIN(DF111,DI111-DJ111-DK111-DL111)</f>
        <v>0</v>
      </c>
      <c r="DN111" s="0" t="n">
        <f aca="false">DJ111+DK111+DL111+DM111</f>
        <v>0</v>
      </c>
      <c r="DO111" s="0" t="n">
        <f aca="false">CN111-DH111</f>
        <v>0</v>
      </c>
      <c r="DP111" s="0" t="n">
        <f aca="false">DC111-DJ111</f>
        <v>0</v>
      </c>
      <c r="DQ111" s="0" t="n">
        <f aca="false">DD111-DK111</f>
        <v>0</v>
      </c>
      <c r="DR111" s="0" t="n">
        <f aca="false">DE111-DL111</f>
        <v>0</v>
      </c>
      <c r="DS111" s="0" t="n">
        <f aca="false">DF111-DM111</f>
        <v>0</v>
      </c>
      <c r="DT111" s="0" t="n">
        <f aca="false">CO111+DJ111</f>
        <v>0</v>
      </c>
      <c r="DU111" s="0" t="n">
        <f aca="false">CP111+DK111</f>
        <v>0</v>
      </c>
      <c r="DV111" s="0" t="n">
        <f aca="false">AP111+BL111+BR111+BX111+CC111</f>
        <v>0</v>
      </c>
      <c r="DW111" s="0" t="n">
        <f aca="false">CQ111+DL111</f>
        <v>0</v>
      </c>
      <c r="DX111" s="0" t="n">
        <f aca="false">AQ111+BM111+BS111+BY111+CD111</f>
        <v>0</v>
      </c>
      <c r="DY111" s="0" t="n">
        <f aca="false">CR111+DM111</f>
        <v>0</v>
      </c>
      <c r="DZ111" s="0" t="n">
        <f aca="false">AR111+BN111+BT111+BZ111+CE111</f>
        <v>0</v>
      </c>
      <c r="EA111" s="0" t="n">
        <f aca="false">DI111-DN111</f>
        <v>0</v>
      </c>
      <c r="EB111" s="0" t="n">
        <f aca="false">CH111+EA111</f>
        <v>0</v>
      </c>
      <c r="EC111" s="0" t="n">
        <f aca="false">R111-I111-MAX(-M111,0)-J111-K111-L111</f>
        <v>0</v>
      </c>
      <c r="ED111" s="0" t="n">
        <f aca="false">R111+S111+CM111+DH111-CG111-DT111-DU111-DW111-DY111-DV111-DX111-DZ111-EB111</f>
        <v>0</v>
      </c>
      <c r="EE111" s="0" t="n">
        <f aca="false">IF(AND(EB111&gt;0.000001,DP111+DQ111+DR111+DS111&gt;0.000001),1,0)</f>
        <v>0</v>
      </c>
    </row>
    <row r="112" customFormat="false" ht="15" hidden="false" customHeight="false" outlineLevel="0" collapsed="false">
      <c r="A112" s="0" t="n">
        <f aca="false">ROW()-5</f>
        <v>107</v>
      </c>
      <c r="B112" s="0" t="n">
        <f aca="false">Inputs!$B$11+(Inputs!$B$12-Inputs!$B$11)*(1-EXP(-A112/Inputs!$B$13))+Inputs!$B$8</f>
        <v>0.0326216073245875</v>
      </c>
      <c r="C112" s="0" t="n">
        <f aca="false">CZ111</f>
        <v>0</v>
      </c>
      <c r="D112" s="0" t="n">
        <f aca="false">DA111</f>
        <v>0</v>
      </c>
      <c r="E112" s="0" t="n">
        <f aca="false">DB111</f>
        <v>0</v>
      </c>
      <c r="F112" s="0" t="n">
        <f aca="false">IF(Inputs!$B$22=1,B112+Inputs!$B$23,Inputs!$B$23)/12</f>
        <v>0.00363513394371562</v>
      </c>
      <c r="G112" s="0" t="n">
        <f aca="false">IF(Inputs!$B$27=1,B112+Inputs!$B$28,Inputs!$B$28)/12</f>
        <v>0.00459346727704896</v>
      </c>
      <c r="H112" s="0" t="n">
        <f aca="false">IF(Inputs!$B$32=1,B112+Inputs!$B$33,Inputs!$B$33)/12</f>
        <v>0.00625</v>
      </c>
      <c r="I112" s="0" t="n">
        <f aca="false">Pool!BT112*Inputs!$B$14/12</f>
        <v>0</v>
      </c>
      <c r="J112" s="0" t="n">
        <f aca="false">C112*F112</f>
        <v>0</v>
      </c>
      <c r="K112" s="0" t="n">
        <f aca="false">D112*G112</f>
        <v>0</v>
      </c>
      <c r="L112" s="0" t="n">
        <f aca="false">E112*H112</f>
        <v>0</v>
      </c>
      <c r="M112" s="0" t="n">
        <f aca="false">Inputs!$B$17*(C112*Inputs!$B$22+D112*Inputs!$B$27+E112*Inputs!$B$32)*(B112-Inputs!$B$18)/12</f>
        <v>-0</v>
      </c>
      <c r="N112" s="0" t="n">
        <f aca="false">DP111+I112+MAX(-M112,0)</f>
        <v>0</v>
      </c>
      <c r="O112" s="0" t="n">
        <f aca="false">DQ111+J112</f>
        <v>0</v>
      </c>
      <c r="P112" s="0" t="n">
        <f aca="false">DR111+K112</f>
        <v>0</v>
      </c>
      <c r="Q112" s="0" t="n">
        <f aca="false">DS111+L112</f>
        <v>0</v>
      </c>
      <c r="R112" s="0" t="n">
        <f aca="false">Pool!BV112+MAX(M112,0)</f>
        <v>0</v>
      </c>
      <c r="S112" s="0" t="n">
        <f aca="false">Pool!BW112+Pool!BX112+Pool!BZ112</f>
        <v>0</v>
      </c>
      <c r="T112" s="0" t="n">
        <f aca="false">MAX(T111,BG111)</f>
        <v>1</v>
      </c>
      <c r="U112" s="0" t="n">
        <f aca="false">MIN(C112,S112)</f>
        <v>0</v>
      </c>
      <c r="V112" s="0" t="n">
        <f aca="false">MIN(D112,S112-U112)</f>
        <v>0</v>
      </c>
      <c r="W112" s="0" t="n">
        <f aca="false">MIN(E112,S112-U112-V112)</f>
        <v>0</v>
      </c>
      <c r="X112" s="0" t="n">
        <f aca="false">IF(C112-(0)&gt;Inputs!$B$19,1,0)</f>
        <v>0</v>
      </c>
      <c r="Y112" s="0" t="n">
        <f aca="false">IF(D112-(0)&gt;Inputs!$B$19,1,0)</f>
        <v>0</v>
      </c>
      <c r="Z112" s="0" t="n">
        <f aca="false">IF(E112-(0)&gt;Inputs!$B$19,1,0)</f>
        <v>0</v>
      </c>
      <c r="AA112" s="0" t="n">
        <f aca="false">IF((X112*C112+Y112*D112+Z112*E112)&gt;0,MIN(C112-(0),S112*X112*C112/(X112*C112+Y112*D112+Z112*E112)),0)</f>
        <v>0</v>
      </c>
      <c r="AB112" s="0" t="n">
        <f aca="false">IF((X112*C112+Y112*D112+Z112*E112)&gt;0,MIN(D112-(0),S112*Y112*D112/(X112*C112+Y112*D112+Z112*E112)),0)</f>
        <v>0</v>
      </c>
      <c r="AC112" s="0" t="n">
        <f aca="false">IF((X112*C112+Y112*D112+Z112*E112)&gt;0,MIN(E112-(0),S112*Z112*E112/(X112*C112+Y112*D112+Z112*E112)),0)</f>
        <v>0</v>
      </c>
      <c r="AD112" s="0" t="n">
        <f aca="false">IF(C112-(AA112)&gt;Inputs!$B$19,1,0)</f>
        <v>0</v>
      </c>
      <c r="AE112" s="0" t="n">
        <f aca="false">IF(D112-(AB112)&gt;Inputs!$B$19,1,0)</f>
        <v>0</v>
      </c>
      <c r="AF112" s="0" t="n">
        <f aca="false">IF(E112-(AC112)&gt;Inputs!$B$19,1,0)</f>
        <v>0</v>
      </c>
      <c r="AG112" s="0" t="n">
        <f aca="false">IF((AD112*C112+AE112*D112+AF112*E112)&gt;0,MIN(C112-(AA112),(S112-(AA112+AB112+AC112))*AD112*C112/(AD112*C112+AE112*D112+AF112*E112)),0)</f>
        <v>0</v>
      </c>
      <c r="AH112" s="0" t="n">
        <f aca="false">IF((AD112*C112+AE112*D112+AF112*E112)&gt;0,MIN(D112-(AB112),(S112-(AA112+AB112+AC112))*AE112*D112/(AD112*C112+AE112*D112+AF112*E112)),0)</f>
        <v>0</v>
      </c>
      <c r="AI112" s="0" t="n">
        <f aca="false">IF((AD112*C112+AE112*D112+AF112*E112)&gt;0,MIN(E112-(AC112),(S112-(AA112+AB112+AC112))*AF112*E112/(AD112*C112+AE112*D112+AF112*E112)),0)</f>
        <v>0</v>
      </c>
      <c r="AJ112" s="0" t="n">
        <f aca="false">IF(C112-(AA112+AG112)&gt;Inputs!$B$19,1,0)</f>
        <v>0</v>
      </c>
      <c r="AK112" s="0" t="n">
        <f aca="false">IF(D112-(AB112+AH112)&gt;Inputs!$B$19,1,0)</f>
        <v>0</v>
      </c>
      <c r="AL112" s="0" t="n">
        <f aca="false">IF(E112-(AC112+AI112)&gt;Inputs!$B$19,1,0)</f>
        <v>0</v>
      </c>
      <c r="AM112" s="0" t="n">
        <f aca="false">IF((AJ112*C112+AK112*D112+AL112*E112)&gt;0,MIN(C112-(AA112+AG112),(S112-(AA112+AB112+AC112+AG112+AH112+AI112))*AJ112*C112/(AJ112*C112+AK112*D112+AL112*E112)),0)</f>
        <v>0</v>
      </c>
      <c r="AN112" s="0" t="n">
        <f aca="false">IF((AJ112*C112+AK112*D112+AL112*E112)&gt;0,MIN(D112-(AB112+AH112),(S112-(AA112+AB112+AC112+AG112+AH112+AI112))*AK112*D112/(AJ112*C112+AK112*D112+AL112*E112)),0)</f>
        <v>0</v>
      </c>
      <c r="AO112" s="0" t="n">
        <f aca="false">IF((AJ112*C112+AK112*D112+AL112*E112)&gt;0,MIN(E112-(AC112+AI112),(S112-(AA112+AB112+AC112+AG112+AH112+AI112))*AL112*E112/(AJ112*C112+AK112*D112+AL112*E112)),0)</f>
        <v>0</v>
      </c>
      <c r="AP112" s="0" t="n">
        <f aca="false">IF(T112=1,U112,AA112+AG112+AM112)</f>
        <v>0</v>
      </c>
      <c r="AQ112" s="0" t="n">
        <f aca="false">IF(T112=1,V112,AB112+AH112+AN112)</f>
        <v>0</v>
      </c>
      <c r="AR112" s="0" t="n">
        <f aca="false">IF(T112=1,W112,AC112+AI112+AO112)</f>
        <v>0</v>
      </c>
      <c r="AS112" s="0" t="n">
        <f aca="false">S112-AP112-AQ112-AR112</f>
        <v>0</v>
      </c>
      <c r="AT112" s="0" t="n">
        <f aca="false">C112-AP112</f>
        <v>0</v>
      </c>
      <c r="AU112" s="0" t="n">
        <f aca="false">D112-AQ112</f>
        <v>0</v>
      </c>
      <c r="AV112" s="0" t="n">
        <f aca="false">E112-AR112</f>
        <v>0</v>
      </c>
      <c r="AW112" s="0" t="n">
        <f aca="false">Pool!CB112</f>
        <v>-1.06979314296041E-010</v>
      </c>
      <c r="AX112" s="0" t="n">
        <f aca="false">IF((AT112)&gt;Inputs!$B$19,AW112/(AT112),1000000000)</f>
        <v>1000000000</v>
      </c>
      <c r="AY112" s="0" t="n">
        <f aca="false">IF((J112)&gt;0.000000001,(R112-I112-MAX(-M112,0))/(J112),1000000000)</f>
        <v>1000000000</v>
      </c>
      <c r="AZ112" s="0" t="n">
        <f aca="false">IF(OR(AX112&lt;Inputs!$B$24,AY112&lt;Inputs!$B$25),1,0)</f>
        <v>0</v>
      </c>
      <c r="BA112" s="0" t="n">
        <f aca="false">IF((AT112+AU112)&gt;Inputs!$B$19,AW112/(AT112+AU112),1000000000)</f>
        <v>1000000000</v>
      </c>
      <c r="BB112" s="0" t="n">
        <f aca="false">IF((J112+K112)&gt;0.000000001,(R112-I112-MAX(-M112,0))/(J112+K112),1000000000)</f>
        <v>1000000000</v>
      </c>
      <c r="BC112" s="0" t="n">
        <f aca="false">IF(OR(BA112&lt;Inputs!$B$29,BB112&lt;Inputs!$B$30),1,0)</f>
        <v>0</v>
      </c>
      <c r="BD112" s="0" t="n">
        <f aca="false">IF((AT112+AU112+AV112)&gt;Inputs!$B$19,AW112/(AT112+AU112+AV112),1000000000)</f>
        <v>1000000000</v>
      </c>
      <c r="BE112" s="0" t="n">
        <f aca="false">IF((J112+K112+L112)&gt;0.000000001,(R112-I112-MAX(-M112,0))/(J112+K112+L112),1000000000)</f>
        <v>1000000000</v>
      </c>
      <c r="BF112" s="0" t="n">
        <f aca="false">IF(OR(BD112&lt;Inputs!$B$34,BE112&lt;Inputs!$B$35),1,0)</f>
        <v>0</v>
      </c>
      <c r="BG112" s="0" t="n">
        <f aca="false">MAX(AZ112,BC112,BF112)</f>
        <v>0</v>
      </c>
      <c r="BH112" s="0" t="n">
        <f aca="false">MIN(R112,N112)</f>
        <v>0</v>
      </c>
      <c r="BI112" s="0" t="n">
        <f aca="false">R112-BH112</f>
        <v>0</v>
      </c>
      <c r="BJ112" s="0" t="n">
        <f aca="false">MIN(BI112,O112)</f>
        <v>0</v>
      </c>
      <c r="BK112" s="0" t="n">
        <f aca="false">BI112-BJ112</f>
        <v>0</v>
      </c>
      <c r="BL112" s="0" t="n">
        <f aca="false">AZ112*MIN(AT112,BK112)</f>
        <v>0</v>
      </c>
      <c r="BM112" s="0" t="n">
        <f aca="false">AZ112*MIN(AU112,BK112-BL112)</f>
        <v>0</v>
      </c>
      <c r="BN112" s="0" t="n">
        <f aca="false">AZ112*MIN(AV112,BK112-BL112-BM112)</f>
        <v>0</v>
      </c>
      <c r="BO112" s="0" t="n">
        <f aca="false">BK112-BL112-BM112-BN112</f>
        <v>0</v>
      </c>
      <c r="BP112" s="0" t="n">
        <f aca="false">MIN(BO112,P112)</f>
        <v>0</v>
      </c>
      <c r="BQ112" s="0" t="n">
        <f aca="false">BO112-BP112</f>
        <v>0</v>
      </c>
      <c r="BR112" s="0" t="n">
        <f aca="false">BC112*MIN((AT112-BL112),BQ112)</f>
        <v>0</v>
      </c>
      <c r="BS112" s="0" t="n">
        <f aca="false">BC112*MIN((AU112-BM112),BQ112-BR112)</f>
        <v>0</v>
      </c>
      <c r="BT112" s="0" t="n">
        <f aca="false">BC112*MIN((AV112-BN112),BQ112-BR112-BS112)</f>
        <v>0</v>
      </c>
      <c r="BU112" s="0" t="n">
        <f aca="false">BQ112-BR112-BS112-BT112</f>
        <v>0</v>
      </c>
      <c r="BV112" s="0" t="n">
        <f aca="false">MIN(BU112,Q112)</f>
        <v>0</v>
      </c>
      <c r="BW112" s="0" t="n">
        <f aca="false">BU112-BV112</f>
        <v>0</v>
      </c>
      <c r="BX112" s="0" t="n">
        <f aca="false">BF112*MIN((AT112-BL112-BR112),BW112)</f>
        <v>0</v>
      </c>
      <c r="BY112" s="0" t="n">
        <f aca="false">BF112*MIN((AU112-BM112-BS112),BW112-BX112)</f>
        <v>0</v>
      </c>
      <c r="BZ112" s="0" t="n">
        <f aca="false">BF112*MIN((AV112-BN112-BT112),BW112-BX112-BY112)</f>
        <v>0</v>
      </c>
      <c r="CA112" s="0" t="n">
        <f aca="false">BW112-BX112-BY112-BZ112</f>
        <v>0</v>
      </c>
      <c r="CB112" s="0" t="n">
        <f aca="false">MAX(0,AT112+AU112+AV112-BL112-BM112-BN112-BR112-BS112-BT112-BX112-BY112-BZ112-AW112)</f>
        <v>1.06979314296041E-010</v>
      </c>
      <c r="CC112" s="0" t="n">
        <f aca="false">1*MIN((AT112-BL112-BR112-BX112),MIN(CA112,CB112))</f>
        <v>0</v>
      </c>
      <c r="CD112" s="0" t="n">
        <f aca="false">1*MIN((AU112-BM112-BS112-BY112),MIN(CA112,CB112)-CC112)</f>
        <v>0</v>
      </c>
      <c r="CE112" s="0" t="n">
        <f aca="false">1*MIN((AV112-BN112-BT112-BZ112),MIN(CA112,CB112)-CC112-CD112)</f>
        <v>0</v>
      </c>
      <c r="CF112" s="0" t="n">
        <f aca="false">CA112-CC112-CD112-CE112</f>
        <v>0</v>
      </c>
      <c r="CG112" s="0" t="n">
        <f aca="false">IF(C112+D112+E112&gt;Inputs!$B$19,MIN(CF112,MAX(0,Inputs!$B$15-DO111)),0)</f>
        <v>0</v>
      </c>
      <c r="CH112" s="0" t="n">
        <f aca="false">CF112-CG112</f>
        <v>0</v>
      </c>
      <c r="CI112" s="0" t="n">
        <f aca="false">DO111+CG112</f>
        <v>0</v>
      </c>
      <c r="CJ112" s="0" t="n">
        <f aca="false">MIN(MAX(N112-BH112,0),CI112)</f>
        <v>0</v>
      </c>
      <c r="CK112" s="0" t="n">
        <f aca="false">MIN(MAX(O112-BJ112,0),CI112-CJ112)</f>
        <v>0</v>
      </c>
      <c r="CL112" s="0" t="n">
        <f aca="false">MIN(MAX(P112-BP112,0),CI112-CJ112-CK112)</f>
        <v>0</v>
      </c>
      <c r="CM112" s="0" t="n">
        <f aca="false">CJ112+CK112+CL112</f>
        <v>0</v>
      </c>
      <c r="CN112" s="0" t="n">
        <f aca="false">CI112-CM112</f>
        <v>0</v>
      </c>
      <c r="CO112" s="0" t="n">
        <f aca="false">BH112+CJ112</f>
        <v>0</v>
      </c>
      <c r="CP112" s="0" t="n">
        <f aca="false">BJ112+CK112</f>
        <v>0</v>
      </c>
      <c r="CQ112" s="0" t="n">
        <f aca="false">BP112+CL112</f>
        <v>0</v>
      </c>
      <c r="CR112" s="0" t="n">
        <f aca="false">BV112</f>
        <v>0</v>
      </c>
      <c r="CS112" s="0" t="n">
        <f aca="false">AT112-BL112-BR112-BX112-CC112</f>
        <v>0</v>
      </c>
      <c r="CT112" s="0" t="n">
        <f aca="false">AU112-BM112-BS112-BY112-CD112</f>
        <v>0</v>
      </c>
      <c r="CU112" s="0" t="n">
        <f aca="false">AV112-BN112-BT112-BZ112-CE112</f>
        <v>0</v>
      </c>
      <c r="CV112" s="0" t="n">
        <f aca="false">MAX(0,CS112+CT112+CU112-AW112)</f>
        <v>1.06979314296041E-010</v>
      </c>
      <c r="CW112" s="0" t="n">
        <f aca="false">MIN(CU112,CV112)</f>
        <v>0</v>
      </c>
      <c r="CX112" s="0" t="n">
        <f aca="false">MIN(CT112,CV112-CW112)</f>
        <v>0</v>
      </c>
      <c r="CY112" s="0" t="n">
        <f aca="false">MIN(CS112,CV112-CW112-CX112)</f>
        <v>0</v>
      </c>
      <c r="CZ112" s="0" t="n">
        <f aca="false">IF(CS112-CY112&lt;Inputs!$B$19,0,CS112-CY112)</f>
        <v>0</v>
      </c>
      <c r="DA112" s="0" t="n">
        <f aca="false">IF(CT112-CX112&lt;Inputs!$B$19,0,CT112-CX112)</f>
        <v>0</v>
      </c>
      <c r="DB112" s="0" t="n">
        <f aca="false">IF(CU112-CW112&lt;Inputs!$B$19,0,CU112-CW112)</f>
        <v>0</v>
      </c>
      <c r="DC112" s="0" t="n">
        <f aca="false">N112-CO112</f>
        <v>0</v>
      </c>
      <c r="DD112" s="0" t="n">
        <f aca="false">O112-CP112</f>
        <v>0</v>
      </c>
      <c r="DE112" s="0" t="n">
        <f aca="false">P112-CQ112</f>
        <v>0</v>
      </c>
      <c r="DF112" s="0" t="n">
        <f aca="false">Q112-CR112</f>
        <v>0</v>
      </c>
      <c r="DG112" s="0" t="n">
        <f aca="false">IF(CZ112+DA112+DB112&lt;=Inputs!$B$19,1,0)</f>
        <v>1</v>
      </c>
      <c r="DH112" s="0" t="n">
        <f aca="false">DG112*CN112</f>
        <v>0</v>
      </c>
      <c r="DI112" s="0" t="n">
        <f aca="false">DG112*(AS112+DH112)</f>
        <v>0</v>
      </c>
      <c r="DJ112" s="0" t="n">
        <f aca="false">DG112*MIN(DC112,DI112)</f>
        <v>0</v>
      </c>
      <c r="DK112" s="0" t="n">
        <f aca="false">DG112*MIN(DD112,DI112-DJ112)</f>
        <v>0</v>
      </c>
      <c r="DL112" s="0" t="n">
        <f aca="false">DG112*MIN(DE112,DI112-DJ112-DK112)</f>
        <v>0</v>
      </c>
      <c r="DM112" s="0" t="n">
        <f aca="false">DG112*MIN(DF112,DI112-DJ112-DK112-DL112)</f>
        <v>0</v>
      </c>
      <c r="DN112" s="0" t="n">
        <f aca="false">DJ112+DK112+DL112+DM112</f>
        <v>0</v>
      </c>
      <c r="DO112" s="0" t="n">
        <f aca="false">CN112-DH112</f>
        <v>0</v>
      </c>
      <c r="DP112" s="0" t="n">
        <f aca="false">DC112-DJ112</f>
        <v>0</v>
      </c>
      <c r="DQ112" s="0" t="n">
        <f aca="false">DD112-DK112</f>
        <v>0</v>
      </c>
      <c r="DR112" s="0" t="n">
        <f aca="false">DE112-DL112</f>
        <v>0</v>
      </c>
      <c r="DS112" s="0" t="n">
        <f aca="false">DF112-DM112</f>
        <v>0</v>
      </c>
      <c r="DT112" s="0" t="n">
        <f aca="false">CO112+DJ112</f>
        <v>0</v>
      </c>
      <c r="DU112" s="0" t="n">
        <f aca="false">CP112+DK112</f>
        <v>0</v>
      </c>
      <c r="DV112" s="0" t="n">
        <f aca="false">AP112+BL112+BR112+BX112+CC112</f>
        <v>0</v>
      </c>
      <c r="DW112" s="0" t="n">
        <f aca="false">CQ112+DL112</f>
        <v>0</v>
      </c>
      <c r="DX112" s="0" t="n">
        <f aca="false">AQ112+BM112+BS112+BY112+CD112</f>
        <v>0</v>
      </c>
      <c r="DY112" s="0" t="n">
        <f aca="false">CR112+DM112</f>
        <v>0</v>
      </c>
      <c r="DZ112" s="0" t="n">
        <f aca="false">AR112+BN112+BT112+BZ112+CE112</f>
        <v>0</v>
      </c>
      <c r="EA112" s="0" t="n">
        <f aca="false">DI112-DN112</f>
        <v>0</v>
      </c>
      <c r="EB112" s="0" t="n">
        <f aca="false">CH112+EA112</f>
        <v>0</v>
      </c>
      <c r="EC112" s="0" t="n">
        <f aca="false">R112-I112-MAX(-M112,0)-J112-K112-L112</f>
        <v>0</v>
      </c>
      <c r="ED112" s="0" t="n">
        <f aca="false">R112+S112+CM112+DH112-CG112-DT112-DU112-DW112-DY112-DV112-DX112-DZ112-EB112</f>
        <v>0</v>
      </c>
      <c r="EE112" s="0" t="n">
        <f aca="false">IF(AND(EB112&gt;0.000001,DP112+DQ112+DR112+DS112&gt;0.000001),1,0)</f>
        <v>0</v>
      </c>
    </row>
    <row r="113" customFormat="false" ht="15" hidden="false" customHeight="false" outlineLevel="0" collapsed="false">
      <c r="A113" s="0" t="n">
        <f aca="false">ROW()-5</f>
        <v>108</v>
      </c>
      <c r="B113" s="0" t="n">
        <f aca="false">Inputs!$B$11+(Inputs!$B$12-Inputs!$B$11)*(1-EXP(-A113/Inputs!$B$13))+Inputs!$B$8</f>
        <v>0.0326166444636516</v>
      </c>
      <c r="C113" s="0" t="n">
        <f aca="false">CZ112</f>
        <v>0</v>
      </c>
      <c r="D113" s="0" t="n">
        <f aca="false">DA112</f>
        <v>0</v>
      </c>
      <c r="E113" s="0" t="n">
        <f aca="false">DB112</f>
        <v>0</v>
      </c>
      <c r="F113" s="0" t="n">
        <f aca="false">IF(Inputs!$B$22=1,B113+Inputs!$B$23,Inputs!$B$23)/12</f>
        <v>0.00363472037197096</v>
      </c>
      <c r="G113" s="0" t="n">
        <f aca="false">IF(Inputs!$B$27=1,B113+Inputs!$B$28,Inputs!$B$28)/12</f>
        <v>0.0045930537053043</v>
      </c>
      <c r="H113" s="0" t="n">
        <f aca="false">IF(Inputs!$B$32=1,B113+Inputs!$B$33,Inputs!$B$33)/12</f>
        <v>0.00625</v>
      </c>
      <c r="I113" s="0" t="n">
        <f aca="false">Pool!BT113*Inputs!$B$14/12</f>
        <v>0</v>
      </c>
      <c r="J113" s="0" t="n">
        <f aca="false">C113*F113</f>
        <v>0</v>
      </c>
      <c r="K113" s="0" t="n">
        <f aca="false">D113*G113</f>
        <v>0</v>
      </c>
      <c r="L113" s="0" t="n">
        <f aca="false">E113*H113</f>
        <v>0</v>
      </c>
      <c r="M113" s="0" t="n">
        <f aca="false">Inputs!$B$17*(C113*Inputs!$B$22+D113*Inputs!$B$27+E113*Inputs!$B$32)*(B113-Inputs!$B$18)/12</f>
        <v>-0</v>
      </c>
      <c r="N113" s="0" t="n">
        <f aca="false">DP112+I113+MAX(-M113,0)</f>
        <v>0</v>
      </c>
      <c r="O113" s="0" t="n">
        <f aca="false">DQ112+J113</f>
        <v>0</v>
      </c>
      <c r="P113" s="0" t="n">
        <f aca="false">DR112+K113</f>
        <v>0</v>
      </c>
      <c r="Q113" s="0" t="n">
        <f aca="false">DS112+L113</f>
        <v>0</v>
      </c>
      <c r="R113" s="0" t="n">
        <f aca="false">Pool!BV113+MAX(M113,0)</f>
        <v>0</v>
      </c>
      <c r="S113" s="0" t="n">
        <f aca="false">Pool!BW113+Pool!BX113+Pool!BZ113</f>
        <v>0</v>
      </c>
      <c r="T113" s="0" t="n">
        <f aca="false">MAX(T112,BG112)</f>
        <v>1</v>
      </c>
      <c r="U113" s="0" t="n">
        <f aca="false">MIN(C113,S113)</f>
        <v>0</v>
      </c>
      <c r="V113" s="0" t="n">
        <f aca="false">MIN(D113,S113-U113)</f>
        <v>0</v>
      </c>
      <c r="W113" s="0" t="n">
        <f aca="false">MIN(E113,S113-U113-V113)</f>
        <v>0</v>
      </c>
      <c r="X113" s="0" t="n">
        <f aca="false">IF(C113-(0)&gt;Inputs!$B$19,1,0)</f>
        <v>0</v>
      </c>
      <c r="Y113" s="0" t="n">
        <f aca="false">IF(D113-(0)&gt;Inputs!$B$19,1,0)</f>
        <v>0</v>
      </c>
      <c r="Z113" s="0" t="n">
        <f aca="false">IF(E113-(0)&gt;Inputs!$B$19,1,0)</f>
        <v>0</v>
      </c>
      <c r="AA113" s="0" t="n">
        <f aca="false">IF((X113*C113+Y113*D113+Z113*E113)&gt;0,MIN(C113-(0),S113*X113*C113/(X113*C113+Y113*D113+Z113*E113)),0)</f>
        <v>0</v>
      </c>
      <c r="AB113" s="0" t="n">
        <f aca="false">IF((X113*C113+Y113*D113+Z113*E113)&gt;0,MIN(D113-(0),S113*Y113*D113/(X113*C113+Y113*D113+Z113*E113)),0)</f>
        <v>0</v>
      </c>
      <c r="AC113" s="0" t="n">
        <f aca="false">IF((X113*C113+Y113*D113+Z113*E113)&gt;0,MIN(E113-(0),S113*Z113*E113/(X113*C113+Y113*D113+Z113*E113)),0)</f>
        <v>0</v>
      </c>
      <c r="AD113" s="0" t="n">
        <f aca="false">IF(C113-(AA113)&gt;Inputs!$B$19,1,0)</f>
        <v>0</v>
      </c>
      <c r="AE113" s="0" t="n">
        <f aca="false">IF(D113-(AB113)&gt;Inputs!$B$19,1,0)</f>
        <v>0</v>
      </c>
      <c r="AF113" s="0" t="n">
        <f aca="false">IF(E113-(AC113)&gt;Inputs!$B$19,1,0)</f>
        <v>0</v>
      </c>
      <c r="AG113" s="0" t="n">
        <f aca="false">IF((AD113*C113+AE113*D113+AF113*E113)&gt;0,MIN(C113-(AA113),(S113-(AA113+AB113+AC113))*AD113*C113/(AD113*C113+AE113*D113+AF113*E113)),0)</f>
        <v>0</v>
      </c>
      <c r="AH113" s="0" t="n">
        <f aca="false">IF((AD113*C113+AE113*D113+AF113*E113)&gt;0,MIN(D113-(AB113),(S113-(AA113+AB113+AC113))*AE113*D113/(AD113*C113+AE113*D113+AF113*E113)),0)</f>
        <v>0</v>
      </c>
      <c r="AI113" s="0" t="n">
        <f aca="false">IF((AD113*C113+AE113*D113+AF113*E113)&gt;0,MIN(E113-(AC113),(S113-(AA113+AB113+AC113))*AF113*E113/(AD113*C113+AE113*D113+AF113*E113)),0)</f>
        <v>0</v>
      </c>
      <c r="AJ113" s="0" t="n">
        <f aca="false">IF(C113-(AA113+AG113)&gt;Inputs!$B$19,1,0)</f>
        <v>0</v>
      </c>
      <c r="AK113" s="0" t="n">
        <f aca="false">IF(D113-(AB113+AH113)&gt;Inputs!$B$19,1,0)</f>
        <v>0</v>
      </c>
      <c r="AL113" s="0" t="n">
        <f aca="false">IF(E113-(AC113+AI113)&gt;Inputs!$B$19,1,0)</f>
        <v>0</v>
      </c>
      <c r="AM113" s="0" t="n">
        <f aca="false">IF((AJ113*C113+AK113*D113+AL113*E113)&gt;0,MIN(C113-(AA113+AG113),(S113-(AA113+AB113+AC113+AG113+AH113+AI113))*AJ113*C113/(AJ113*C113+AK113*D113+AL113*E113)),0)</f>
        <v>0</v>
      </c>
      <c r="AN113" s="0" t="n">
        <f aca="false">IF((AJ113*C113+AK113*D113+AL113*E113)&gt;0,MIN(D113-(AB113+AH113),(S113-(AA113+AB113+AC113+AG113+AH113+AI113))*AK113*D113/(AJ113*C113+AK113*D113+AL113*E113)),0)</f>
        <v>0</v>
      </c>
      <c r="AO113" s="0" t="n">
        <f aca="false">IF((AJ113*C113+AK113*D113+AL113*E113)&gt;0,MIN(E113-(AC113+AI113),(S113-(AA113+AB113+AC113+AG113+AH113+AI113))*AL113*E113/(AJ113*C113+AK113*D113+AL113*E113)),0)</f>
        <v>0</v>
      </c>
      <c r="AP113" s="0" t="n">
        <f aca="false">IF(T113=1,U113,AA113+AG113+AM113)</f>
        <v>0</v>
      </c>
      <c r="AQ113" s="0" t="n">
        <f aca="false">IF(T113=1,V113,AB113+AH113+AN113)</f>
        <v>0</v>
      </c>
      <c r="AR113" s="0" t="n">
        <f aca="false">IF(T113=1,W113,AC113+AI113+AO113)</f>
        <v>0</v>
      </c>
      <c r="AS113" s="0" t="n">
        <f aca="false">S113-AP113-AQ113-AR113</f>
        <v>0</v>
      </c>
      <c r="AT113" s="0" t="n">
        <f aca="false">C113-AP113</f>
        <v>0</v>
      </c>
      <c r="AU113" s="0" t="n">
        <f aca="false">D113-AQ113</f>
        <v>0</v>
      </c>
      <c r="AV113" s="0" t="n">
        <f aca="false">E113-AR113</f>
        <v>0</v>
      </c>
      <c r="AW113" s="0" t="n">
        <f aca="false">Pool!CB113</f>
        <v>-1.06979314296041E-010</v>
      </c>
      <c r="AX113" s="0" t="n">
        <f aca="false">IF((AT113)&gt;Inputs!$B$19,AW113/(AT113),1000000000)</f>
        <v>1000000000</v>
      </c>
      <c r="AY113" s="0" t="n">
        <f aca="false">IF((J113)&gt;0.000000001,(R113-I113-MAX(-M113,0))/(J113),1000000000)</f>
        <v>1000000000</v>
      </c>
      <c r="AZ113" s="0" t="n">
        <f aca="false">IF(OR(AX113&lt;Inputs!$B$24,AY113&lt;Inputs!$B$25),1,0)</f>
        <v>0</v>
      </c>
      <c r="BA113" s="0" t="n">
        <f aca="false">IF((AT113+AU113)&gt;Inputs!$B$19,AW113/(AT113+AU113),1000000000)</f>
        <v>1000000000</v>
      </c>
      <c r="BB113" s="0" t="n">
        <f aca="false">IF((J113+K113)&gt;0.000000001,(R113-I113-MAX(-M113,0))/(J113+K113),1000000000)</f>
        <v>1000000000</v>
      </c>
      <c r="BC113" s="0" t="n">
        <f aca="false">IF(OR(BA113&lt;Inputs!$B$29,BB113&lt;Inputs!$B$30),1,0)</f>
        <v>0</v>
      </c>
      <c r="BD113" s="0" t="n">
        <f aca="false">IF((AT113+AU113+AV113)&gt;Inputs!$B$19,AW113/(AT113+AU113+AV113),1000000000)</f>
        <v>1000000000</v>
      </c>
      <c r="BE113" s="0" t="n">
        <f aca="false">IF((J113+K113+L113)&gt;0.000000001,(R113-I113-MAX(-M113,0))/(J113+K113+L113),1000000000)</f>
        <v>1000000000</v>
      </c>
      <c r="BF113" s="0" t="n">
        <f aca="false">IF(OR(BD113&lt;Inputs!$B$34,BE113&lt;Inputs!$B$35),1,0)</f>
        <v>0</v>
      </c>
      <c r="BG113" s="0" t="n">
        <f aca="false">MAX(AZ113,BC113,BF113)</f>
        <v>0</v>
      </c>
      <c r="BH113" s="0" t="n">
        <f aca="false">MIN(R113,N113)</f>
        <v>0</v>
      </c>
      <c r="BI113" s="0" t="n">
        <f aca="false">R113-BH113</f>
        <v>0</v>
      </c>
      <c r="BJ113" s="0" t="n">
        <f aca="false">MIN(BI113,O113)</f>
        <v>0</v>
      </c>
      <c r="BK113" s="0" t="n">
        <f aca="false">BI113-BJ113</f>
        <v>0</v>
      </c>
      <c r="BL113" s="0" t="n">
        <f aca="false">AZ113*MIN(AT113,BK113)</f>
        <v>0</v>
      </c>
      <c r="BM113" s="0" t="n">
        <f aca="false">AZ113*MIN(AU113,BK113-BL113)</f>
        <v>0</v>
      </c>
      <c r="BN113" s="0" t="n">
        <f aca="false">AZ113*MIN(AV113,BK113-BL113-BM113)</f>
        <v>0</v>
      </c>
      <c r="BO113" s="0" t="n">
        <f aca="false">BK113-BL113-BM113-BN113</f>
        <v>0</v>
      </c>
      <c r="BP113" s="0" t="n">
        <f aca="false">MIN(BO113,P113)</f>
        <v>0</v>
      </c>
      <c r="BQ113" s="0" t="n">
        <f aca="false">BO113-BP113</f>
        <v>0</v>
      </c>
      <c r="BR113" s="0" t="n">
        <f aca="false">BC113*MIN((AT113-BL113),BQ113)</f>
        <v>0</v>
      </c>
      <c r="BS113" s="0" t="n">
        <f aca="false">BC113*MIN((AU113-BM113),BQ113-BR113)</f>
        <v>0</v>
      </c>
      <c r="BT113" s="0" t="n">
        <f aca="false">BC113*MIN((AV113-BN113),BQ113-BR113-BS113)</f>
        <v>0</v>
      </c>
      <c r="BU113" s="0" t="n">
        <f aca="false">BQ113-BR113-BS113-BT113</f>
        <v>0</v>
      </c>
      <c r="BV113" s="0" t="n">
        <f aca="false">MIN(BU113,Q113)</f>
        <v>0</v>
      </c>
      <c r="BW113" s="0" t="n">
        <f aca="false">BU113-BV113</f>
        <v>0</v>
      </c>
      <c r="BX113" s="0" t="n">
        <f aca="false">BF113*MIN((AT113-BL113-BR113),BW113)</f>
        <v>0</v>
      </c>
      <c r="BY113" s="0" t="n">
        <f aca="false">BF113*MIN((AU113-BM113-BS113),BW113-BX113)</f>
        <v>0</v>
      </c>
      <c r="BZ113" s="0" t="n">
        <f aca="false">BF113*MIN((AV113-BN113-BT113),BW113-BX113-BY113)</f>
        <v>0</v>
      </c>
      <c r="CA113" s="0" t="n">
        <f aca="false">BW113-BX113-BY113-BZ113</f>
        <v>0</v>
      </c>
      <c r="CB113" s="0" t="n">
        <f aca="false">MAX(0,AT113+AU113+AV113-BL113-BM113-BN113-BR113-BS113-BT113-BX113-BY113-BZ113-AW113)</f>
        <v>1.06979314296041E-010</v>
      </c>
      <c r="CC113" s="0" t="n">
        <f aca="false">1*MIN((AT113-BL113-BR113-BX113),MIN(CA113,CB113))</f>
        <v>0</v>
      </c>
      <c r="CD113" s="0" t="n">
        <f aca="false">1*MIN((AU113-BM113-BS113-BY113),MIN(CA113,CB113)-CC113)</f>
        <v>0</v>
      </c>
      <c r="CE113" s="0" t="n">
        <f aca="false">1*MIN((AV113-BN113-BT113-BZ113),MIN(CA113,CB113)-CC113-CD113)</f>
        <v>0</v>
      </c>
      <c r="CF113" s="0" t="n">
        <f aca="false">CA113-CC113-CD113-CE113</f>
        <v>0</v>
      </c>
      <c r="CG113" s="0" t="n">
        <f aca="false">IF(C113+D113+E113&gt;Inputs!$B$19,MIN(CF113,MAX(0,Inputs!$B$15-DO112)),0)</f>
        <v>0</v>
      </c>
      <c r="CH113" s="0" t="n">
        <f aca="false">CF113-CG113</f>
        <v>0</v>
      </c>
      <c r="CI113" s="0" t="n">
        <f aca="false">DO112+CG113</f>
        <v>0</v>
      </c>
      <c r="CJ113" s="0" t="n">
        <f aca="false">MIN(MAX(N113-BH113,0),CI113)</f>
        <v>0</v>
      </c>
      <c r="CK113" s="0" t="n">
        <f aca="false">MIN(MAX(O113-BJ113,0),CI113-CJ113)</f>
        <v>0</v>
      </c>
      <c r="CL113" s="0" t="n">
        <f aca="false">MIN(MAX(P113-BP113,0),CI113-CJ113-CK113)</f>
        <v>0</v>
      </c>
      <c r="CM113" s="0" t="n">
        <f aca="false">CJ113+CK113+CL113</f>
        <v>0</v>
      </c>
      <c r="CN113" s="0" t="n">
        <f aca="false">CI113-CM113</f>
        <v>0</v>
      </c>
      <c r="CO113" s="0" t="n">
        <f aca="false">BH113+CJ113</f>
        <v>0</v>
      </c>
      <c r="CP113" s="0" t="n">
        <f aca="false">BJ113+CK113</f>
        <v>0</v>
      </c>
      <c r="CQ113" s="0" t="n">
        <f aca="false">BP113+CL113</f>
        <v>0</v>
      </c>
      <c r="CR113" s="0" t="n">
        <f aca="false">BV113</f>
        <v>0</v>
      </c>
      <c r="CS113" s="0" t="n">
        <f aca="false">AT113-BL113-BR113-BX113-CC113</f>
        <v>0</v>
      </c>
      <c r="CT113" s="0" t="n">
        <f aca="false">AU113-BM113-BS113-BY113-CD113</f>
        <v>0</v>
      </c>
      <c r="CU113" s="0" t="n">
        <f aca="false">AV113-BN113-BT113-BZ113-CE113</f>
        <v>0</v>
      </c>
      <c r="CV113" s="0" t="n">
        <f aca="false">MAX(0,CS113+CT113+CU113-AW113)</f>
        <v>1.06979314296041E-010</v>
      </c>
      <c r="CW113" s="0" t="n">
        <f aca="false">MIN(CU113,CV113)</f>
        <v>0</v>
      </c>
      <c r="CX113" s="0" t="n">
        <f aca="false">MIN(CT113,CV113-CW113)</f>
        <v>0</v>
      </c>
      <c r="CY113" s="0" t="n">
        <f aca="false">MIN(CS113,CV113-CW113-CX113)</f>
        <v>0</v>
      </c>
      <c r="CZ113" s="0" t="n">
        <f aca="false">IF(CS113-CY113&lt;Inputs!$B$19,0,CS113-CY113)</f>
        <v>0</v>
      </c>
      <c r="DA113" s="0" t="n">
        <f aca="false">IF(CT113-CX113&lt;Inputs!$B$19,0,CT113-CX113)</f>
        <v>0</v>
      </c>
      <c r="DB113" s="0" t="n">
        <f aca="false">IF(CU113-CW113&lt;Inputs!$B$19,0,CU113-CW113)</f>
        <v>0</v>
      </c>
      <c r="DC113" s="0" t="n">
        <f aca="false">N113-CO113</f>
        <v>0</v>
      </c>
      <c r="DD113" s="0" t="n">
        <f aca="false">O113-CP113</f>
        <v>0</v>
      </c>
      <c r="DE113" s="0" t="n">
        <f aca="false">P113-CQ113</f>
        <v>0</v>
      </c>
      <c r="DF113" s="0" t="n">
        <f aca="false">Q113-CR113</f>
        <v>0</v>
      </c>
      <c r="DG113" s="0" t="n">
        <f aca="false">IF(CZ113+DA113+DB113&lt;=Inputs!$B$19,1,0)</f>
        <v>1</v>
      </c>
      <c r="DH113" s="0" t="n">
        <f aca="false">DG113*CN113</f>
        <v>0</v>
      </c>
      <c r="DI113" s="0" t="n">
        <f aca="false">DG113*(AS113+DH113)</f>
        <v>0</v>
      </c>
      <c r="DJ113" s="0" t="n">
        <f aca="false">DG113*MIN(DC113,DI113)</f>
        <v>0</v>
      </c>
      <c r="DK113" s="0" t="n">
        <f aca="false">DG113*MIN(DD113,DI113-DJ113)</f>
        <v>0</v>
      </c>
      <c r="DL113" s="0" t="n">
        <f aca="false">DG113*MIN(DE113,DI113-DJ113-DK113)</f>
        <v>0</v>
      </c>
      <c r="DM113" s="0" t="n">
        <f aca="false">DG113*MIN(DF113,DI113-DJ113-DK113-DL113)</f>
        <v>0</v>
      </c>
      <c r="DN113" s="0" t="n">
        <f aca="false">DJ113+DK113+DL113+DM113</f>
        <v>0</v>
      </c>
      <c r="DO113" s="0" t="n">
        <f aca="false">CN113-DH113</f>
        <v>0</v>
      </c>
      <c r="DP113" s="0" t="n">
        <f aca="false">DC113-DJ113</f>
        <v>0</v>
      </c>
      <c r="DQ113" s="0" t="n">
        <f aca="false">DD113-DK113</f>
        <v>0</v>
      </c>
      <c r="DR113" s="0" t="n">
        <f aca="false">DE113-DL113</f>
        <v>0</v>
      </c>
      <c r="DS113" s="0" t="n">
        <f aca="false">DF113-DM113</f>
        <v>0</v>
      </c>
      <c r="DT113" s="0" t="n">
        <f aca="false">CO113+DJ113</f>
        <v>0</v>
      </c>
      <c r="DU113" s="0" t="n">
        <f aca="false">CP113+DK113</f>
        <v>0</v>
      </c>
      <c r="DV113" s="0" t="n">
        <f aca="false">AP113+BL113+BR113+BX113+CC113</f>
        <v>0</v>
      </c>
      <c r="DW113" s="0" t="n">
        <f aca="false">CQ113+DL113</f>
        <v>0</v>
      </c>
      <c r="DX113" s="0" t="n">
        <f aca="false">AQ113+BM113+BS113+BY113+CD113</f>
        <v>0</v>
      </c>
      <c r="DY113" s="0" t="n">
        <f aca="false">CR113+DM113</f>
        <v>0</v>
      </c>
      <c r="DZ113" s="0" t="n">
        <f aca="false">AR113+BN113+BT113+BZ113+CE113</f>
        <v>0</v>
      </c>
      <c r="EA113" s="0" t="n">
        <f aca="false">DI113-DN113</f>
        <v>0</v>
      </c>
      <c r="EB113" s="0" t="n">
        <f aca="false">CH113+EA113</f>
        <v>0</v>
      </c>
      <c r="EC113" s="0" t="n">
        <f aca="false">R113-I113-MAX(-M113,0)-J113-K113-L113</f>
        <v>0</v>
      </c>
      <c r="ED113" s="0" t="n">
        <f aca="false">R113+S113+CM113+DH113-CG113-DT113-DU113-DW113-DY113-DV113-DX113-DZ113-EB113</f>
        <v>0</v>
      </c>
      <c r="EE113" s="0" t="n">
        <f aca="false">IF(AND(EB113&gt;0.000001,DP113+DQ113+DR113+DS113&gt;0.000001),1,0)</f>
        <v>0</v>
      </c>
    </row>
    <row r="114" customFormat="false" ht="15" hidden="false" customHeight="false" outlineLevel="0" collapsed="false">
      <c r="A114" s="0" t="n">
        <f aca="false">ROW()-5</f>
        <v>109</v>
      </c>
      <c r="B114" s="0" t="n">
        <f aca="false">Inputs!$B$11+(Inputs!$B$12-Inputs!$B$11)*(1-EXP(-A114/Inputs!$B$13))+Inputs!$B$8</f>
        <v>0.0326118841397647</v>
      </c>
      <c r="C114" s="0" t="n">
        <f aca="false">CZ113</f>
        <v>0</v>
      </c>
      <c r="D114" s="0" t="n">
        <f aca="false">DA113</f>
        <v>0</v>
      </c>
      <c r="E114" s="0" t="n">
        <f aca="false">DB113</f>
        <v>0</v>
      </c>
      <c r="F114" s="0" t="n">
        <f aca="false">IF(Inputs!$B$22=1,B114+Inputs!$B$23,Inputs!$B$23)/12</f>
        <v>0.00363432367831373</v>
      </c>
      <c r="G114" s="0" t="n">
        <f aca="false">IF(Inputs!$B$27=1,B114+Inputs!$B$28,Inputs!$B$28)/12</f>
        <v>0.00459265701164706</v>
      </c>
      <c r="H114" s="0" t="n">
        <f aca="false">IF(Inputs!$B$32=1,B114+Inputs!$B$33,Inputs!$B$33)/12</f>
        <v>0.00625</v>
      </c>
      <c r="I114" s="0" t="n">
        <f aca="false">Pool!BT114*Inputs!$B$14/12</f>
        <v>0</v>
      </c>
      <c r="J114" s="0" t="n">
        <f aca="false">C114*F114</f>
        <v>0</v>
      </c>
      <c r="K114" s="0" t="n">
        <f aca="false">D114*G114</f>
        <v>0</v>
      </c>
      <c r="L114" s="0" t="n">
        <f aca="false">E114*H114</f>
        <v>0</v>
      </c>
      <c r="M114" s="0" t="n">
        <f aca="false">Inputs!$B$17*(C114*Inputs!$B$22+D114*Inputs!$B$27+E114*Inputs!$B$32)*(B114-Inputs!$B$18)/12</f>
        <v>-0</v>
      </c>
      <c r="N114" s="0" t="n">
        <f aca="false">DP113+I114+MAX(-M114,0)</f>
        <v>0</v>
      </c>
      <c r="O114" s="0" t="n">
        <f aca="false">DQ113+J114</f>
        <v>0</v>
      </c>
      <c r="P114" s="0" t="n">
        <f aca="false">DR113+K114</f>
        <v>0</v>
      </c>
      <c r="Q114" s="0" t="n">
        <f aca="false">DS113+L114</f>
        <v>0</v>
      </c>
      <c r="R114" s="0" t="n">
        <f aca="false">Pool!BV114+MAX(M114,0)</f>
        <v>0</v>
      </c>
      <c r="S114" s="0" t="n">
        <f aca="false">Pool!BW114+Pool!BX114+Pool!BZ114</f>
        <v>0</v>
      </c>
      <c r="T114" s="0" t="n">
        <f aca="false">MAX(T113,BG113)</f>
        <v>1</v>
      </c>
      <c r="U114" s="0" t="n">
        <f aca="false">MIN(C114,S114)</f>
        <v>0</v>
      </c>
      <c r="V114" s="0" t="n">
        <f aca="false">MIN(D114,S114-U114)</f>
        <v>0</v>
      </c>
      <c r="W114" s="0" t="n">
        <f aca="false">MIN(E114,S114-U114-V114)</f>
        <v>0</v>
      </c>
      <c r="X114" s="0" t="n">
        <f aca="false">IF(C114-(0)&gt;Inputs!$B$19,1,0)</f>
        <v>0</v>
      </c>
      <c r="Y114" s="0" t="n">
        <f aca="false">IF(D114-(0)&gt;Inputs!$B$19,1,0)</f>
        <v>0</v>
      </c>
      <c r="Z114" s="0" t="n">
        <f aca="false">IF(E114-(0)&gt;Inputs!$B$19,1,0)</f>
        <v>0</v>
      </c>
      <c r="AA114" s="0" t="n">
        <f aca="false">IF((X114*C114+Y114*D114+Z114*E114)&gt;0,MIN(C114-(0),S114*X114*C114/(X114*C114+Y114*D114+Z114*E114)),0)</f>
        <v>0</v>
      </c>
      <c r="AB114" s="0" t="n">
        <f aca="false">IF((X114*C114+Y114*D114+Z114*E114)&gt;0,MIN(D114-(0),S114*Y114*D114/(X114*C114+Y114*D114+Z114*E114)),0)</f>
        <v>0</v>
      </c>
      <c r="AC114" s="0" t="n">
        <f aca="false">IF((X114*C114+Y114*D114+Z114*E114)&gt;0,MIN(E114-(0),S114*Z114*E114/(X114*C114+Y114*D114+Z114*E114)),0)</f>
        <v>0</v>
      </c>
      <c r="AD114" s="0" t="n">
        <f aca="false">IF(C114-(AA114)&gt;Inputs!$B$19,1,0)</f>
        <v>0</v>
      </c>
      <c r="AE114" s="0" t="n">
        <f aca="false">IF(D114-(AB114)&gt;Inputs!$B$19,1,0)</f>
        <v>0</v>
      </c>
      <c r="AF114" s="0" t="n">
        <f aca="false">IF(E114-(AC114)&gt;Inputs!$B$19,1,0)</f>
        <v>0</v>
      </c>
      <c r="AG114" s="0" t="n">
        <f aca="false">IF((AD114*C114+AE114*D114+AF114*E114)&gt;0,MIN(C114-(AA114),(S114-(AA114+AB114+AC114))*AD114*C114/(AD114*C114+AE114*D114+AF114*E114)),0)</f>
        <v>0</v>
      </c>
      <c r="AH114" s="0" t="n">
        <f aca="false">IF((AD114*C114+AE114*D114+AF114*E114)&gt;0,MIN(D114-(AB114),(S114-(AA114+AB114+AC114))*AE114*D114/(AD114*C114+AE114*D114+AF114*E114)),0)</f>
        <v>0</v>
      </c>
      <c r="AI114" s="0" t="n">
        <f aca="false">IF((AD114*C114+AE114*D114+AF114*E114)&gt;0,MIN(E114-(AC114),(S114-(AA114+AB114+AC114))*AF114*E114/(AD114*C114+AE114*D114+AF114*E114)),0)</f>
        <v>0</v>
      </c>
      <c r="AJ114" s="0" t="n">
        <f aca="false">IF(C114-(AA114+AG114)&gt;Inputs!$B$19,1,0)</f>
        <v>0</v>
      </c>
      <c r="AK114" s="0" t="n">
        <f aca="false">IF(D114-(AB114+AH114)&gt;Inputs!$B$19,1,0)</f>
        <v>0</v>
      </c>
      <c r="AL114" s="0" t="n">
        <f aca="false">IF(E114-(AC114+AI114)&gt;Inputs!$B$19,1,0)</f>
        <v>0</v>
      </c>
      <c r="AM114" s="0" t="n">
        <f aca="false">IF((AJ114*C114+AK114*D114+AL114*E114)&gt;0,MIN(C114-(AA114+AG114),(S114-(AA114+AB114+AC114+AG114+AH114+AI114))*AJ114*C114/(AJ114*C114+AK114*D114+AL114*E114)),0)</f>
        <v>0</v>
      </c>
      <c r="AN114" s="0" t="n">
        <f aca="false">IF((AJ114*C114+AK114*D114+AL114*E114)&gt;0,MIN(D114-(AB114+AH114),(S114-(AA114+AB114+AC114+AG114+AH114+AI114))*AK114*D114/(AJ114*C114+AK114*D114+AL114*E114)),0)</f>
        <v>0</v>
      </c>
      <c r="AO114" s="0" t="n">
        <f aca="false">IF((AJ114*C114+AK114*D114+AL114*E114)&gt;0,MIN(E114-(AC114+AI114),(S114-(AA114+AB114+AC114+AG114+AH114+AI114))*AL114*E114/(AJ114*C114+AK114*D114+AL114*E114)),0)</f>
        <v>0</v>
      </c>
      <c r="AP114" s="0" t="n">
        <f aca="false">IF(T114=1,U114,AA114+AG114+AM114)</f>
        <v>0</v>
      </c>
      <c r="AQ114" s="0" t="n">
        <f aca="false">IF(T114=1,V114,AB114+AH114+AN114)</f>
        <v>0</v>
      </c>
      <c r="AR114" s="0" t="n">
        <f aca="false">IF(T114=1,W114,AC114+AI114+AO114)</f>
        <v>0</v>
      </c>
      <c r="AS114" s="0" t="n">
        <f aca="false">S114-AP114-AQ114-AR114</f>
        <v>0</v>
      </c>
      <c r="AT114" s="0" t="n">
        <f aca="false">C114-AP114</f>
        <v>0</v>
      </c>
      <c r="AU114" s="0" t="n">
        <f aca="false">D114-AQ114</f>
        <v>0</v>
      </c>
      <c r="AV114" s="0" t="n">
        <f aca="false">E114-AR114</f>
        <v>0</v>
      </c>
      <c r="AW114" s="0" t="n">
        <f aca="false">Pool!CB114</f>
        <v>-1.06979314296041E-010</v>
      </c>
      <c r="AX114" s="0" t="n">
        <f aca="false">IF((AT114)&gt;Inputs!$B$19,AW114/(AT114),1000000000)</f>
        <v>1000000000</v>
      </c>
      <c r="AY114" s="0" t="n">
        <f aca="false">IF((J114)&gt;0.000000001,(R114-I114-MAX(-M114,0))/(J114),1000000000)</f>
        <v>1000000000</v>
      </c>
      <c r="AZ114" s="0" t="n">
        <f aca="false">IF(OR(AX114&lt;Inputs!$B$24,AY114&lt;Inputs!$B$25),1,0)</f>
        <v>0</v>
      </c>
      <c r="BA114" s="0" t="n">
        <f aca="false">IF((AT114+AU114)&gt;Inputs!$B$19,AW114/(AT114+AU114),1000000000)</f>
        <v>1000000000</v>
      </c>
      <c r="BB114" s="0" t="n">
        <f aca="false">IF((J114+K114)&gt;0.000000001,(R114-I114-MAX(-M114,0))/(J114+K114),1000000000)</f>
        <v>1000000000</v>
      </c>
      <c r="BC114" s="0" t="n">
        <f aca="false">IF(OR(BA114&lt;Inputs!$B$29,BB114&lt;Inputs!$B$30),1,0)</f>
        <v>0</v>
      </c>
      <c r="BD114" s="0" t="n">
        <f aca="false">IF((AT114+AU114+AV114)&gt;Inputs!$B$19,AW114/(AT114+AU114+AV114),1000000000)</f>
        <v>1000000000</v>
      </c>
      <c r="BE114" s="0" t="n">
        <f aca="false">IF((J114+K114+L114)&gt;0.000000001,(R114-I114-MAX(-M114,0))/(J114+K114+L114),1000000000)</f>
        <v>1000000000</v>
      </c>
      <c r="BF114" s="0" t="n">
        <f aca="false">IF(OR(BD114&lt;Inputs!$B$34,BE114&lt;Inputs!$B$35),1,0)</f>
        <v>0</v>
      </c>
      <c r="BG114" s="0" t="n">
        <f aca="false">MAX(AZ114,BC114,BF114)</f>
        <v>0</v>
      </c>
      <c r="BH114" s="0" t="n">
        <f aca="false">MIN(R114,N114)</f>
        <v>0</v>
      </c>
      <c r="BI114" s="0" t="n">
        <f aca="false">R114-BH114</f>
        <v>0</v>
      </c>
      <c r="BJ114" s="0" t="n">
        <f aca="false">MIN(BI114,O114)</f>
        <v>0</v>
      </c>
      <c r="BK114" s="0" t="n">
        <f aca="false">BI114-BJ114</f>
        <v>0</v>
      </c>
      <c r="BL114" s="0" t="n">
        <f aca="false">AZ114*MIN(AT114,BK114)</f>
        <v>0</v>
      </c>
      <c r="BM114" s="0" t="n">
        <f aca="false">AZ114*MIN(AU114,BK114-BL114)</f>
        <v>0</v>
      </c>
      <c r="BN114" s="0" t="n">
        <f aca="false">AZ114*MIN(AV114,BK114-BL114-BM114)</f>
        <v>0</v>
      </c>
      <c r="BO114" s="0" t="n">
        <f aca="false">BK114-BL114-BM114-BN114</f>
        <v>0</v>
      </c>
      <c r="BP114" s="0" t="n">
        <f aca="false">MIN(BO114,P114)</f>
        <v>0</v>
      </c>
      <c r="BQ114" s="0" t="n">
        <f aca="false">BO114-BP114</f>
        <v>0</v>
      </c>
      <c r="BR114" s="0" t="n">
        <f aca="false">BC114*MIN((AT114-BL114),BQ114)</f>
        <v>0</v>
      </c>
      <c r="BS114" s="0" t="n">
        <f aca="false">BC114*MIN((AU114-BM114),BQ114-BR114)</f>
        <v>0</v>
      </c>
      <c r="BT114" s="0" t="n">
        <f aca="false">BC114*MIN((AV114-BN114),BQ114-BR114-BS114)</f>
        <v>0</v>
      </c>
      <c r="BU114" s="0" t="n">
        <f aca="false">BQ114-BR114-BS114-BT114</f>
        <v>0</v>
      </c>
      <c r="BV114" s="0" t="n">
        <f aca="false">MIN(BU114,Q114)</f>
        <v>0</v>
      </c>
      <c r="BW114" s="0" t="n">
        <f aca="false">BU114-BV114</f>
        <v>0</v>
      </c>
      <c r="BX114" s="0" t="n">
        <f aca="false">BF114*MIN((AT114-BL114-BR114),BW114)</f>
        <v>0</v>
      </c>
      <c r="BY114" s="0" t="n">
        <f aca="false">BF114*MIN((AU114-BM114-BS114),BW114-BX114)</f>
        <v>0</v>
      </c>
      <c r="BZ114" s="0" t="n">
        <f aca="false">BF114*MIN((AV114-BN114-BT114),BW114-BX114-BY114)</f>
        <v>0</v>
      </c>
      <c r="CA114" s="0" t="n">
        <f aca="false">BW114-BX114-BY114-BZ114</f>
        <v>0</v>
      </c>
      <c r="CB114" s="0" t="n">
        <f aca="false">MAX(0,AT114+AU114+AV114-BL114-BM114-BN114-BR114-BS114-BT114-BX114-BY114-BZ114-AW114)</f>
        <v>1.06979314296041E-010</v>
      </c>
      <c r="CC114" s="0" t="n">
        <f aca="false">1*MIN((AT114-BL114-BR114-BX114),MIN(CA114,CB114))</f>
        <v>0</v>
      </c>
      <c r="CD114" s="0" t="n">
        <f aca="false">1*MIN((AU114-BM114-BS114-BY114),MIN(CA114,CB114)-CC114)</f>
        <v>0</v>
      </c>
      <c r="CE114" s="0" t="n">
        <f aca="false">1*MIN((AV114-BN114-BT114-BZ114),MIN(CA114,CB114)-CC114-CD114)</f>
        <v>0</v>
      </c>
      <c r="CF114" s="0" t="n">
        <f aca="false">CA114-CC114-CD114-CE114</f>
        <v>0</v>
      </c>
      <c r="CG114" s="0" t="n">
        <f aca="false">IF(C114+D114+E114&gt;Inputs!$B$19,MIN(CF114,MAX(0,Inputs!$B$15-DO113)),0)</f>
        <v>0</v>
      </c>
      <c r="CH114" s="0" t="n">
        <f aca="false">CF114-CG114</f>
        <v>0</v>
      </c>
      <c r="CI114" s="0" t="n">
        <f aca="false">DO113+CG114</f>
        <v>0</v>
      </c>
      <c r="CJ114" s="0" t="n">
        <f aca="false">MIN(MAX(N114-BH114,0),CI114)</f>
        <v>0</v>
      </c>
      <c r="CK114" s="0" t="n">
        <f aca="false">MIN(MAX(O114-BJ114,0),CI114-CJ114)</f>
        <v>0</v>
      </c>
      <c r="CL114" s="0" t="n">
        <f aca="false">MIN(MAX(P114-BP114,0),CI114-CJ114-CK114)</f>
        <v>0</v>
      </c>
      <c r="CM114" s="0" t="n">
        <f aca="false">CJ114+CK114+CL114</f>
        <v>0</v>
      </c>
      <c r="CN114" s="0" t="n">
        <f aca="false">CI114-CM114</f>
        <v>0</v>
      </c>
      <c r="CO114" s="0" t="n">
        <f aca="false">BH114+CJ114</f>
        <v>0</v>
      </c>
      <c r="CP114" s="0" t="n">
        <f aca="false">BJ114+CK114</f>
        <v>0</v>
      </c>
      <c r="CQ114" s="0" t="n">
        <f aca="false">BP114+CL114</f>
        <v>0</v>
      </c>
      <c r="CR114" s="0" t="n">
        <f aca="false">BV114</f>
        <v>0</v>
      </c>
      <c r="CS114" s="0" t="n">
        <f aca="false">AT114-BL114-BR114-BX114-CC114</f>
        <v>0</v>
      </c>
      <c r="CT114" s="0" t="n">
        <f aca="false">AU114-BM114-BS114-BY114-CD114</f>
        <v>0</v>
      </c>
      <c r="CU114" s="0" t="n">
        <f aca="false">AV114-BN114-BT114-BZ114-CE114</f>
        <v>0</v>
      </c>
      <c r="CV114" s="0" t="n">
        <f aca="false">MAX(0,CS114+CT114+CU114-AW114)</f>
        <v>1.06979314296041E-010</v>
      </c>
      <c r="CW114" s="0" t="n">
        <f aca="false">MIN(CU114,CV114)</f>
        <v>0</v>
      </c>
      <c r="CX114" s="0" t="n">
        <f aca="false">MIN(CT114,CV114-CW114)</f>
        <v>0</v>
      </c>
      <c r="CY114" s="0" t="n">
        <f aca="false">MIN(CS114,CV114-CW114-CX114)</f>
        <v>0</v>
      </c>
      <c r="CZ114" s="0" t="n">
        <f aca="false">IF(CS114-CY114&lt;Inputs!$B$19,0,CS114-CY114)</f>
        <v>0</v>
      </c>
      <c r="DA114" s="0" t="n">
        <f aca="false">IF(CT114-CX114&lt;Inputs!$B$19,0,CT114-CX114)</f>
        <v>0</v>
      </c>
      <c r="DB114" s="0" t="n">
        <f aca="false">IF(CU114-CW114&lt;Inputs!$B$19,0,CU114-CW114)</f>
        <v>0</v>
      </c>
      <c r="DC114" s="0" t="n">
        <f aca="false">N114-CO114</f>
        <v>0</v>
      </c>
      <c r="DD114" s="0" t="n">
        <f aca="false">O114-CP114</f>
        <v>0</v>
      </c>
      <c r="DE114" s="0" t="n">
        <f aca="false">P114-CQ114</f>
        <v>0</v>
      </c>
      <c r="DF114" s="0" t="n">
        <f aca="false">Q114-CR114</f>
        <v>0</v>
      </c>
      <c r="DG114" s="0" t="n">
        <f aca="false">IF(CZ114+DA114+DB114&lt;=Inputs!$B$19,1,0)</f>
        <v>1</v>
      </c>
      <c r="DH114" s="0" t="n">
        <f aca="false">DG114*CN114</f>
        <v>0</v>
      </c>
      <c r="DI114" s="0" t="n">
        <f aca="false">DG114*(AS114+DH114)</f>
        <v>0</v>
      </c>
      <c r="DJ114" s="0" t="n">
        <f aca="false">DG114*MIN(DC114,DI114)</f>
        <v>0</v>
      </c>
      <c r="DK114" s="0" t="n">
        <f aca="false">DG114*MIN(DD114,DI114-DJ114)</f>
        <v>0</v>
      </c>
      <c r="DL114" s="0" t="n">
        <f aca="false">DG114*MIN(DE114,DI114-DJ114-DK114)</f>
        <v>0</v>
      </c>
      <c r="DM114" s="0" t="n">
        <f aca="false">DG114*MIN(DF114,DI114-DJ114-DK114-DL114)</f>
        <v>0</v>
      </c>
      <c r="DN114" s="0" t="n">
        <f aca="false">DJ114+DK114+DL114+DM114</f>
        <v>0</v>
      </c>
      <c r="DO114" s="0" t="n">
        <f aca="false">CN114-DH114</f>
        <v>0</v>
      </c>
      <c r="DP114" s="0" t="n">
        <f aca="false">DC114-DJ114</f>
        <v>0</v>
      </c>
      <c r="DQ114" s="0" t="n">
        <f aca="false">DD114-DK114</f>
        <v>0</v>
      </c>
      <c r="DR114" s="0" t="n">
        <f aca="false">DE114-DL114</f>
        <v>0</v>
      </c>
      <c r="DS114" s="0" t="n">
        <f aca="false">DF114-DM114</f>
        <v>0</v>
      </c>
      <c r="DT114" s="0" t="n">
        <f aca="false">CO114+DJ114</f>
        <v>0</v>
      </c>
      <c r="DU114" s="0" t="n">
        <f aca="false">CP114+DK114</f>
        <v>0</v>
      </c>
      <c r="DV114" s="0" t="n">
        <f aca="false">AP114+BL114+BR114+BX114+CC114</f>
        <v>0</v>
      </c>
      <c r="DW114" s="0" t="n">
        <f aca="false">CQ114+DL114</f>
        <v>0</v>
      </c>
      <c r="DX114" s="0" t="n">
        <f aca="false">AQ114+BM114+BS114+BY114+CD114</f>
        <v>0</v>
      </c>
      <c r="DY114" s="0" t="n">
        <f aca="false">CR114+DM114</f>
        <v>0</v>
      </c>
      <c r="DZ114" s="0" t="n">
        <f aca="false">AR114+BN114+BT114+BZ114+CE114</f>
        <v>0</v>
      </c>
      <c r="EA114" s="0" t="n">
        <f aca="false">DI114-DN114</f>
        <v>0</v>
      </c>
      <c r="EB114" s="0" t="n">
        <f aca="false">CH114+EA114</f>
        <v>0</v>
      </c>
      <c r="EC114" s="0" t="n">
        <f aca="false">R114-I114-MAX(-M114,0)-J114-K114-L114</f>
        <v>0</v>
      </c>
      <c r="ED114" s="0" t="n">
        <f aca="false">R114+S114+CM114+DH114-CG114-DT114-DU114-DW114-DY114-DV114-DX114-DZ114-EB114</f>
        <v>0</v>
      </c>
      <c r="EE114" s="0" t="n">
        <f aca="false">IF(AND(EB114&gt;0.000001,DP114+DQ114+DR114+DS114&gt;0.000001),1,0)</f>
        <v>0</v>
      </c>
    </row>
    <row r="115" customFormat="false" ht="15" hidden="false" customHeight="false" outlineLevel="0" collapsed="false">
      <c r="A115" s="0" t="n">
        <f aca="false">ROW()-5</f>
        <v>110</v>
      </c>
      <c r="B115" s="0" t="n">
        <f aca="false">Inputs!$B$11+(Inputs!$B$12-Inputs!$B$11)*(1-EXP(-A115/Inputs!$B$13))+Inputs!$B$8</f>
        <v>0.03260731808728</v>
      </c>
      <c r="C115" s="0" t="n">
        <f aca="false">CZ114</f>
        <v>0</v>
      </c>
      <c r="D115" s="0" t="n">
        <f aca="false">DA114</f>
        <v>0</v>
      </c>
      <c r="E115" s="0" t="n">
        <f aca="false">DB114</f>
        <v>0</v>
      </c>
      <c r="F115" s="0" t="n">
        <f aca="false">IF(Inputs!$B$22=1,B115+Inputs!$B$23,Inputs!$B$23)/12</f>
        <v>0.00363394317394</v>
      </c>
      <c r="G115" s="0" t="n">
        <f aca="false">IF(Inputs!$B$27=1,B115+Inputs!$B$28,Inputs!$B$28)/12</f>
        <v>0.00459227650727334</v>
      </c>
      <c r="H115" s="0" t="n">
        <f aca="false">IF(Inputs!$B$32=1,B115+Inputs!$B$33,Inputs!$B$33)/12</f>
        <v>0.00625</v>
      </c>
      <c r="I115" s="0" t="n">
        <f aca="false">Pool!BT115*Inputs!$B$14/12</f>
        <v>0</v>
      </c>
      <c r="J115" s="0" t="n">
        <f aca="false">C115*F115</f>
        <v>0</v>
      </c>
      <c r="K115" s="0" t="n">
        <f aca="false">D115*G115</f>
        <v>0</v>
      </c>
      <c r="L115" s="0" t="n">
        <f aca="false">E115*H115</f>
        <v>0</v>
      </c>
      <c r="M115" s="0" t="n">
        <f aca="false">Inputs!$B$17*(C115*Inputs!$B$22+D115*Inputs!$B$27+E115*Inputs!$B$32)*(B115-Inputs!$B$18)/12</f>
        <v>-0</v>
      </c>
      <c r="N115" s="0" t="n">
        <f aca="false">DP114+I115+MAX(-M115,0)</f>
        <v>0</v>
      </c>
      <c r="O115" s="0" t="n">
        <f aca="false">DQ114+J115</f>
        <v>0</v>
      </c>
      <c r="P115" s="0" t="n">
        <f aca="false">DR114+K115</f>
        <v>0</v>
      </c>
      <c r="Q115" s="0" t="n">
        <f aca="false">DS114+L115</f>
        <v>0</v>
      </c>
      <c r="R115" s="0" t="n">
        <f aca="false">Pool!BV115+MAX(M115,0)</f>
        <v>0</v>
      </c>
      <c r="S115" s="0" t="n">
        <f aca="false">Pool!BW115+Pool!BX115+Pool!BZ115</f>
        <v>0</v>
      </c>
      <c r="T115" s="0" t="n">
        <f aca="false">MAX(T114,BG114)</f>
        <v>1</v>
      </c>
      <c r="U115" s="0" t="n">
        <f aca="false">MIN(C115,S115)</f>
        <v>0</v>
      </c>
      <c r="V115" s="0" t="n">
        <f aca="false">MIN(D115,S115-U115)</f>
        <v>0</v>
      </c>
      <c r="W115" s="0" t="n">
        <f aca="false">MIN(E115,S115-U115-V115)</f>
        <v>0</v>
      </c>
      <c r="X115" s="0" t="n">
        <f aca="false">IF(C115-(0)&gt;Inputs!$B$19,1,0)</f>
        <v>0</v>
      </c>
      <c r="Y115" s="0" t="n">
        <f aca="false">IF(D115-(0)&gt;Inputs!$B$19,1,0)</f>
        <v>0</v>
      </c>
      <c r="Z115" s="0" t="n">
        <f aca="false">IF(E115-(0)&gt;Inputs!$B$19,1,0)</f>
        <v>0</v>
      </c>
      <c r="AA115" s="0" t="n">
        <f aca="false">IF((X115*C115+Y115*D115+Z115*E115)&gt;0,MIN(C115-(0),S115*X115*C115/(X115*C115+Y115*D115+Z115*E115)),0)</f>
        <v>0</v>
      </c>
      <c r="AB115" s="0" t="n">
        <f aca="false">IF((X115*C115+Y115*D115+Z115*E115)&gt;0,MIN(D115-(0),S115*Y115*D115/(X115*C115+Y115*D115+Z115*E115)),0)</f>
        <v>0</v>
      </c>
      <c r="AC115" s="0" t="n">
        <f aca="false">IF((X115*C115+Y115*D115+Z115*E115)&gt;0,MIN(E115-(0),S115*Z115*E115/(X115*C115+Y115*D115+Z115*E115)),0)</f>
        <v>0</v>
      </c>
      <c r="AD115" s="0" t="n">
        <f aca="false">IF(C115-(AA115)&gt;Inputs!$B$19,1,0)</f>
        <v>0</v>
      </c>
      <c r="AE115" s="0" t="n">
        <f aca="false">IF(D115-(AB115)&gt;Inputs!$B$19,1,0)</f>
        <v>0</v>
      </c>
      <c r="AF115" s="0" t="n">
        <f aca="false">IF(E115-(AC115)&gt;Inputs!$B$19,1,0)</f>
        <v>0</v>
      </c>
      <c r="AG115" s="0" t="n">
        <f aca="false">IF((AD115*C115+AE115*D115+AF115*E115)&gt;0,MIN(C115-(AA115),(S115-(AA115+AB115+AC115))*AD115*C115/(AD115*C115+AE115*D115+AF115*E115)),0)</f>
        <v>0</v>
      </c>
      <c r="AH115" s="0" t="n">
        <f aca="false">IF((AD115*C115+AE115*D115+AF115*E115)&gt;0,MIN(D115-(AB115),(S115-(AA115+AB115+AC115))*AE115*D115/(AD115*C115+AE115*D115+AF115*E115)),0)</f>
        <v>0</v>
      </c>
      <c r="AI115" s="0" t="n">
        <f aca="false">IF((AD115*C115+AE115*D115+AF115*E115)&gt;0,MIN(E115-(AC115),(S115-(AA115+AB115+AC115))*AF115*E115/(AD115*C115+AE115*D115+AF115*E115)),0)</f>
        <v>0</v>
      </c>
      <c r="AJ115" s="0" t="n">
        <f aca="false">IF(C115-(AA115+AG115)&gt;Inputs!$B$19,1,0)</f>
        <v>0</v>
      </c>
      <c r="AK115" s="0" t="n">
        <f aca="false">IF(D115-(AB115+AH115)&gt;Inputs!$B$19,1,0)</f>
        <v>0</v>
      </c>
      <c r="AL115" s="0" t="n">
        <f aca="false">IF(E115-(AC115+AI115)&gt;Inputs!$B$19,1,0)</f>
        <v>0</v>
      </c>
      <c r="AM115" s="0" t="n">
        <f aca="false">IF((AJ115*C115+AK115*D115+AL115*E115)&gt;0,MIN(C115-(AA115+AG115),(S115-(AA115+AB115+AC115+AG115+AH115+AI115))*AJ115*C115/(AJ115*C115+AK115*D115+AL115*E115)),0)</f>
        <v>0</v>
      </c>
      <c r="AN115" s="0" t="n">
        <f aca="false">IF((AJ115*C115+AK115*D115+AL115*E115)&gt;0,MIN(D115-(AB115+AH115),(S115-(AA115+AB115+AC115+AG115+AH115+AI115))*AK115*D115/(AJ115*C115+AK115*D115+AL115*E115)),0)</f>
        <v>0</v>
      </c>
      <c r="AO115" s="0" t="n">
        <f aca="false">IF((AJ115*C115+AK115*D115+AL115*E115)&gt;0,MIN(E115-(AC115+AI115),(S115-(AA115+AB115+AC115+AG115+AH115+AI115))*AL115*E115/(AJ115*C115+AK115*D115+AL115*E115)),0)</f>
        <v>0</v>
      </c>
      <c r="AP115" s="0" t="n">
        <f aca="false">IF(T115=1,U115,AA115+AG115+AM115)</f>
        <v>0</v>
      </c>
      <c r="AQ115" s="0" t="n">
        <f aca="false">IF(T115=1,V115,AB115+AH115+AN115)</f>
        <v>0</v>
      </c>
      <c r="AR115" s="0" t="n">
        <f aca="false">IF(T115=1,W115,AC115+AI115+AO115)</f>
        <v>0</v>
      </c>
      <c r="AS115" s="0" t="n">
        <f aca="false">S115-AP115-AQ115-AR115</f>
        <v>0</v>
      </c>
      <c r="AT115" s="0" t="n">
        <f aca="false">C115-AP115</f>
        <v>0</v>
      </c>
      <c r="AU115" s="0" t="n">
        <f aca="false">D115-AQ115</f>
        <v>0</v>
      </c>
      <c r="AV115" s="0" t="n">
        <f aca="false">E115-AR115</f>
        <v>0</v>
      </c>
      <c r="AW115" s="0" t="n">
        <f aca="false">Pool!CB115</f>
        <v>-1.06979314296041E-010</v>
      </c>
      <c r="AX115" s="0" t="n">
        <f aca="false">IF((AT115)&gt;Inputs!$B$19,AW115/(AT115),1000000000)</f>
        <v>1000000000</v>
      </c>
      <c r="AY115" s="0" t="n">
        <f aca="false">IF((J115)&gt;0.000000001,(R115-I115-MAX(-M115,0))/(J115),1000000000)</f>
        <v>1000000000</v>
      </c>
      <c r="AZ115" s="0" t="n">
        <f aca="false">IF(OR(AX115&lt;Inputs!$B$24,AY115&lt;Inputs!$B$25),1,0)</f>
        <v>0</v>
      </c>
      <c r="BA115" s="0" t="n">
        <f aca="false">IF((AT115+AU115)&gt;Inputs!$B$19,AW115/(AT115+AU115),1000000000)</f>
        <v>1000000000</v>
      </c>
      <c r="BB115" s="0" t="n">
        <f aca="false">IF((J115+K115)&gt;0.000000001,(R115-I115-MAX(-M115,0))/(J115+K115),1000000000)</f>
        <v>1000000000</v>
      </c>
      <c r="BC115" s="0" t="n">
        <f aca="false">IF(OR(BA115&lt;Inputs!$B$29,BB115&lt;Inputs!$B$30),1,0)</f>
        <v>0</v>
      </c>
      <c r="BD115" s="0" t="n">
        <f aca="false">IF((AT115+AU115+AV115)&gt;Inputs!$B$19,AW115/(AT115+AU115+AV115),1000000000)</f>
        <v>1000000000</v>
      </c>
      <c r="BE115" s="0" t="n">
        <f aca="false">IF((J115+K115+L115)&gt;0.000000001,(R115-I115-MAX(-M115,0))/(J115+K115+L115),1000000000)</f>
        <v>1000000000</v>
      </c>
      <c r="BF115" s="0" t="n">
        <f aca="false">IF(OR(BD115&lt;Inputs!$B$34,BE115&lt;Inputs!$B$35),1,0)</f>
        <v>0</v>
      </c>
      <c r="BG115" s="0" t="n">
        <f aca="false">MAX(AZ115,BC115,BF115)</f>
        <v>0</v>
      </c>
      <c r="BH115" s="0" t="n">
        <f aca="false">MIN(R115,N115)</f>
        <v>0</v>
      </c>
      <c r="BI115" s="0" t="n">
        <f aca="false">R115-BH115</f>
        <v>0</v>
      </c>
      <c r="BJ115" s="0" t="n">
        <f aca="false">MIN(BI115,O115)</f>
        <v>0</v>
      </c>
      <c r="BK115" s="0" t="n">
        <f aca="false">BI115-BJ115</f>
        <v>0</v>
      </c>
      <c r="BL115" s="0" t="n">
        <f aca="false">AZ115*MIN(AT115,BK115)</f>
        <v>0</v>
      </c>
      <c r="BM115" s="0" t="n">
        <f aca="false">AZ115*MIN(AU115,BK115-BL115)</f>
        <v>0</v>
      </c>
      <c r="BN115" s="0" t="n">
        <f aca="false">AZ115*MIN(AV115,BK115-BL115-BM115)</f>
        <v>0</v>
      </c>
      <c r="BO115" s="0" t="n">
        <f aca="false">BK115-BL115-BM115-BN115</f>
        <v>0</v>
      </c>
      <c r="BP115" s="0" t="n">
        <f aca="false">MIN(BO115,P115)</f>
        <v>0</v>
      </c>
      <c r="BQ115" s="0" t="n">
        <f aca="false">BO115-BP115</f>
        <v>0</v>
      </c>
      <c r="BR115" s="0" t="n">
        <f aca="false">BC115*MIN((AT115-BL115),BQ115)</f>
        <v>0</v>
      </c>
      <c r="BS115" s="0" t="n">
        <f aca="false">BC115*MIN((AU115-BM115),BQ115-BR115)</f>
        <v>0</v>
      </c>
      <c r="BT115" s="0" t="n">
        <f aca="false">BC115*MIN((AV115-BN115),BQ115-BR115-BS115)</f>
        <v>0</v>
      </c>
      <c r="BU115" s="0" t="n">
        <f aca="false">BQ115-BR115-BS115-BT115</f>
        <v>0</v>
      </c>
      <c r="BV115" s="0" t="n">
        <f aca="false">MIN(BU115,Q115)</f>
        <v>0</v>
      </c>
      <c r="BW115" s="0" t="n">
        <f aca="false">BU115-BV115</f>
        <v>0</v>
      </c>
      <c r="BX115" s="0" t="n">
        <f aca="false">BF115*MIN((AT115-BL115-BR115),BW115)</f>
        <v>0</v>
      </c>
      <c r="BY115" s="0" t="n">
        <f aca="false">BF115*MIN((AU115-BM115-BS115),BW115-BX115)</f>
        <v>0</v>
      </c>
      <c r="BZ115" s="0" t="n">
        <f aca="false">BF115*MIN((AV115-BN115-BT115),BW115-BX115-BY115)</f>
        <v>0</v>
      </c>
      <c r="CA115" s="0" t="n">
        <f aca="false">BW115-BX115-BY115-BZ115</f>
        <v>0</v>
      </c>
      <c r="CB115" s="0" t="n">
        <f aca="false">MAX(0,AT115+AU115+AV115-BL115-BM115-BN115-BR115-BS115-BT115-BX115-BY115-BZ115-AW115)</f>
        <v>1.06979314296041E-010</v>
      </c>
      <c r="CC115" s="0" t="n">
        <f aca="false">1*MIN((AT115-BL115-BR115-BX115),MIN(CA115,CB115))</f>
        <v>0</v>
      </c>
      <c r="CD115" s="0" t="n">
        <f aca="false">1*MIN((AU115-BM115-BS115-BY115),MIN(CA115,CB115)-CC115)</f>
        <v>0</v>
      </c>
      <c r="CE115" s="0" t="n">
        <f aca="false">1*MIN((AV115-BN115-BT115-BZ115),MIN(CA115,CB115)-CC115-CD115)</f>
        <v>0</v>
      </c>
      <c r="CF115" s="0" t="n">
        <f aca="false">CA115-CC115-CD115-CE115</f>
        <v>0</v>
      </c>
      <c r="CG115" s="0" t="n">
        <f aca="false">IF(C115+D115+E115&gt;Inputs!$B$19,MIN(CF115,MAX(0,Inputs!$B$15-DO114)),0)</f>
        <v>0</v>
      </c>
      <c r="CH115" s="0" t="n">
        <f aca="false">CF115-CG115</f>
        <v>0</v>
      </c>
      <c r="CI115" s="0" t="n">
        <f aca="false">DO114+CG115</f>
        <v>0</v>
      </c>
      <c r="CJ115" s="0" t="n">
        <f aca="false">MIN(MAX(N115-BH115,0),CI115)</f>
        <v>0</v>
      </c>
      <c r="CK115" s="0" t="n">
        <f aca="false">MIN(MAX(O115-BJ115,0),CI115-CJ115)</f>
        <v>0</v>
      </c>
      <c r="CL115" s="0" t="n">
        <f aca="false">MIN(MAX(P115-BP115,0),CI115-CJ115-CK115)</f>
        <v>0</v>
      </c>
      <c r="CM115" s="0" t="n">
        <f aca="false">CJ115+CK115+CL115</f>
        <v>0</v>
      </c>
      <c r="CN115" s="0" t="n">
        <f aca="false">CI115-CM115</f>
        <v>0</v>
      </c>
      <c r="CO115" s="0" t="n">
        <f aca="false">BH115+CJ115</f>
        <v>0</v>
      </c>
      <c r="CP115" s="0" t="n">
        <f aca="false">BJ115+CK115</f>
        <v>0</v>
      </c>
      <c r="CQ115" s="0" t="n">
        <f aca="false">BP115+CL115</f>
        <v>0</v>
      </c>
      <c r="CR115" s="0" t="n">
        <f aca="false">BV115</f>
        <v>0</v>
      </c>
      <c r="CS115" s="0" t="n">
        <f aca="false">AT115-BL115-BR115-BX115-CC115</f>
        <v>0</v>
      </c>
      <c r="CT115" s="0" t="n">
        <f aca="false">AU115-BM115-BS115-BY115-CD115</f>
        <v>0</v>
      </c>
      <c r="CU115" s="0" t="n">
        <f aca="false">AV115-BN115-BT115-BZ115-CE115</f>
        <v>0</v>
      </c>
      <c r="CV115" s="0" t="n">
        <f aca="false">MAX(0,CS115+CT115+CU115-AW115)</f>
        <v>1.06979314296041E-010</v>
      </c>
      <c r="CW115" s="0" t="n">
        <f aca="false">MIN(CU115,CV115)</f>
        <v>0</v>
      </c>
      <c r="CX115" s="0" t="n">
        <f aca="false">MIN(CT115,CV115-CW115)</f>
        <v>0</v>
      </c>
      <c r="CY115" s="0" t="n">
        <f aca="false">MIN(CS115,CV115-CW115-CX115)</f>
        <v>0</v>
      </c>
      <c r="CZ115" s="0" t="n">
        <f aca="false">IF(CS115-CY115&lt;Inputs!$B$19,0,CS115-CY115)</f>
        <v>0</v>
      </c>
      <c r="DA115" s="0" t="n">
        <f aca="false">IF(CT115-CX115&lt;Inputs!$B$19,0,CT115-CX115)</f>
        <v>0</v>
      </c>
      <c r="DB115" s="0" t="n">
        <f aca="false">IF(CU115-CW115&lt;Inputs!$B$19,0,CU115-CW115)</f>
        <v>0</v>
      </c>
      <c r="DC115" s="0" t="n">
        <f aca="false">N115-CO115</f>
        <v>0</v>
      </c>
      <c r="DD115" s="0" t="n">
        <f aca="false">O115-CP115</f>
        <v>0</v>
      </c>
      <c r="DE115" s="0" t="n">
        <f aca="false">P115-CQ115</f>
        <v>0</v>
      </c>
      <c r="DF115" s="0" t="n">
        <f aca="false">Q115-CR115</f>
        <v>0</v>
      </c>
      <c r="DG115" s="0" t="n">
        <f aca="false">IF(CZ115+DA115+DB115&lt;=Inputs!$B$19,1,0)</f>
        <v>1</v>
      </c>
      <c r="DH115" s="0" t="n">
        <f aca="false">DG115*CN115</f>
        <v>0</v>
      </c>
      <c r="DI115" s="0" t="n">
        <f aca="false">DG115*(AS115+DH115)</f>
        <v>0</v>
      </c>
      <c r="DJ115" s="0" t="n">
        <f aca="false">DG115*MIN(DC115,DI115)</f>
        <v>0</v>
      </c>
      <c r="DK115" s="0" t="n">
        <f aca="false">DG115*MIN(DD115,DI115-DJ115)</f>
        <v>0</v>
      </c>
      <c r="DL115" s="0" t="n">
        <f aca="false">DG115*MIN(DE115,DI115-DJ115-DK115)</f>
        <v>0</v>
      </c>
      <c r="DM115" s="0" t="n">
        <f aca="false">DG115*MIN(DF115,DI115-DJ115-DK115-DL115)</f>
        <v>0</v>
      </c>
      <c r="DN115" s="0" t="n">
        <f aca="false">DJ115+DK115+DL115+DM115</f>
        <v>0</v>
      </c>
      <c r="DO115" s="0" t="n">
        <f aca="false">CN115-DH115</f>
        <v>0</v>
      </c>
      <c r="DP115" s="0" t="n">
        <f aca="false">DC115-DJ115</f>
        <v>0</v>
      </c>
      <c r="DQ115" s="0" t="n">
        <f aca="false">DD115-DK115</f>
        <v>0</v>
      </c>
      <c r="DR115" s="0" t="n">
        <f aca="false">DE115-DL115</f>
        <v>0</v>
      </c>
      <c r="DS115" s="0" t="n">
        <f aca="false">DF115-DM115</f>
        <v>0</v>
      </c>
      <c r="DT115" s="0" t="n">
        <f aca="false">CO115+DJ115</f>
        <v>0</v>
      </c>
      <c r="DU115" s="0" t="n">
        <f aca="false">CP115+DK115</f>
        <v>0</v>
      </c>
      <c r="DV115" s="0" t="n">
        <f aca="false">AP115+BL115+BR115+BX115+CC115</f>
        <v>0</v>
      </c>
      <c r="DW115" s="0" t="n">
        <f aca="false">CQ115+DL115</f>
        <v>0</v>
      </c>
      <c r="DX115" s="0" t="n">
        <f aca="false">AQ115+BM115+BS115+BY115+CD115</f>
        <v>0</v>
      </c>
      <c r="DY115" s="0" t="n">
        <f aca="false">CR115+DM115</f>
        <v>0</v>
      </c>
      <c r="DZ115" s="0" t="n">
        <f aca="false">AR115+BN115+BT115+BZ115+CE115</f>
        <v>0</v>
      </c>
      <c r="EA115" s="0" t="n">
        <f aca="false">DI115-DN115</f>
        <v>0</v>
      </c>
      <c r="EB115" s="0" t="n">
        <f aca="false">CH115+EA115</f>
        <v>0</v>
      </c>
      <c r="EC115" s="0" t="n">
        <f aca="false">R115-I115-MAX(-M115,0)-J115-K115-L115</f>
        <v>0</v>
      </c>
      <c r="ED115" s="0" t="n">
        <f aca="false">R115+S115+CM115+DH115-CG115-DT115-DU115-DW115-DY115-DV115-DX115-DZ115-EB115</f>
        <v>0</v>
      </c>
      <c r="EE115" s="0" t="n">
        <f aca="false">IF(AND(EB115&gt;0.000001,DP115+DQ115+DR115+DS115&gt;0.000001),1,0)</f>
        <v>0</v>
      </c>
    </row>
    <row r="116" customFormat="false" ht="15" hidden="false" customHeight="false" outlineLevel="0" collapsed="false">
      <c r="A116" s="0" t="n">
        <f aca="false">ROW()-5</f>
        <v>111</v>
      </c>
      <c r="B116" s="0" t="n">
        <f aca="false">Inputs!$B$11+(Inputs!$B$12-Inputs!$B$11)*(1-EXP(-A116/Inputs!$B$13))+Inputs!$B$8</f>
        <v>0.0326029383778761</v>
      </c>
      <c r="C116" s="0" t="n">
        <f aca="false">CZ115</f>
        <v>0</v>
      </c>
      <c r="D116" s="0" t="n">
        <f aca="false">DA115</f>
        <v>0</v>
      </c>
      <c r="E116" s="0" t="n">
        <f aca="false">DB115</f>
        <v>0</v>
      </c>
      <c r="F116" s="0" t="n">
        <f aca="false">IF(Inputs!$B$22=1,B116+Inputs!$B$23,Inputs!$B$23)/12</f>
        <v>0.00363357819815634</v>
      </c>
      <c r="G116" s="0" t="n">
        <f aca="false">IF(Inputs!$B$27=1,B116+Inputs!$B$28,Inputs!$B$28)/12</f>
        <v>0.00459191153148968</v>
      </c>
      <c r="H116" s="0" t="n">
        <f aca="false">IF(Inputs!$B$32=1,B116+Inputs!$B$33,Inputs!$B$33)/12</f>
        <v>0.00625</v>
      </c>
      <c r="I116" s="0" t="n">
        <f aca="false">Pool!BT116*Inputs!$B$14/12</f>
        <v>0</v>
      </c>
      <c r="J116" s="0" t="n">
        <f aca="false">C116*F116</f>
        <v>0</v>
      </c>
      <c r="K116" s="0" t="n">
        <f aca="false">D116*G116</f>
        <v>0</v>
      </c>
      <c r="L116" s="0" t="n">
        <f aca="false">E116*H116</f>
        <v>0</v>
      </c>
      <c r="M116" s="0" t="n">
        <f aca="false">Inputs!$B$17*(C116*Inputs!$B$22+D116*Inputs!$B$27+E116*Inputs!$B$32)*(B116-Inputs!$B$18)/12</f>
        <v>-0</v>
      </c>
      <c r="N116" s="0" t="n">
        <f aca="false">DP115+I116+MAX(-M116,0)</f>
        <v>0</v>
      </c>
      <c r="O116" s="0" t="n">
        <f aca="false">DQ115+J116</f>
        <v>0</v>
      </c>
      <c r="P116" s="0" t="n">
        <f aca="false">DR115+K116</f>
        <v>0</v>
      </c>
      <c r="Q116" s="0" t="n">
        <f aca="false">DS115+L116</f>
        <v>0</v>
      </c>
      <c r="R116" s="0" t="n">
        <f aca="false">Pool!BV116+MAX(M116,0)</f>
        <v>0</v>
      </c>
      <c r="S116" s="0" t="n">
        <f aca="false">Pool!BW116+Pool!BX116+Pool!BZ116</f>
        <v>0</v>
      </c>
      <c r="T116" s="0" t="n">
        <f aca="false">MAX(T115,BG115)</f>
        <v>1</v>
      </c>
      <c r="U116" s="0" t="n">
        <f aca="false">MIN(C116,S116)</f>
        <v>0</v>
      </c>
      <c r="V116" s="0" t="n">
        <f aca="false">MIN(D116,S116-U116)</f>
        <v>0</v>
      </c>
      <c r="W116" s="0" t="n">
        <f aca="false">MIN(E116,S116-U116-V116)</f>
        <v>0</v>
      </c>
      <c r="X116" s="0" t="n">
        <f aca="false">IF(C116-(0)&gt;Inputs!$B$19,1,0)</f>
        <v>0</v>
      </c>
      <c r="Y116" s="0" t="n">
        <f aca="false">IF(D116-(0)&gt;Inputs!$B$19,1,0)</f>
        <v>0</v>
      </c>
      <c r="Z116" s="0" t="n">
        <f aca="false">IF(E116-(0)&gt;Inputs!$B$19,1,0)</f>
        <v>0</v>
      </c>
      <c r="AA116" s="0" t="n">
        <f aca="false">IF((X116*C116+Y116*D116+Z116*E116)&gt;0,MIN(C116-(0),S116*X116*C116/(X116*C116+Y116*D116+Z116*E116)),0)</f>
        <v>0</v>
      </c>
      <c r="AB116" s="0" t="n">
        <f aca="false">IF((X116*C116+Y116*D116+Z116*E116)&gt;0,MIN(D116-(0),S116*Y116*D116/(X116*C116+Y116*D116+Z116*E116)),0)</f>
        <v>0</v>
      </c>
      <c r="AC116" s="0" t="n">
        <f aca="false">IF((X116*C116+Y116*D116+Z116*E116)&gt;0,MIN(E116-(0),S116*Z116*E116/(X116*C116+Y116*D116+Z116*E116)),0)</f>
        <v>0</v>
      </c>
      <c r="AD116" s="0" t="n">
        <f aca="false">IF(C116-(AA116)&gt;Inputs!$B$19,1,0)</f>
        <v>0</v>
      </c>
      <c r="AE116" s="0" t="n">
        <f aca="false">IF(D116-(AB116)&gt;Inputs!$B$19,1,0)</f>
        <v>0</v>
      </c>
      <c r="AF116" s="0" t="n">
        <f aca="false">IF(E116-(AC116)&gt;Inputs!$B$19,1,0)</f>
        <v>0</v>
      </c>
      <c r="AG116" s="0" t="n">
        <f aca="false">IF((AD116*C116+AE116*D116+AF116*E116)&gt;0,MIN(C116-(AA116),(S116-(AA116+AB116+AC116))*AD116*C116/(AD116*C116+AE116*D116+AF116*E116)),0)</f>
        <v>0</v>
      </c>
      <c r="AH116" s="0" t="n">
        <f aca="false">IF((AD116*C116+AE116*D116+AF116*E116)&gt;0,MIN(D116-(AB116),(S116-(AA116+AB116+AC116))*AE116*D116/(AD116*C116+AE116*D116+AF116*E116)),0)</f>
        <v>0</v>
      </c>
      <c r="AI116" s="0" t="n">
        <f aca="false">IF((AD116*C116+AE116*D116+AF116*E116)&gt;0,MIN(E116-(AC116),(S116-(AA116+AB116+AC116))*AF116*E116/(AD116*C116+AE116*D116+AF116*E116)),0)</f>
        <v>0</v>
      </c>
      <c r="AJ116" s="0" t="n">
        <f aca="false">IF(C116-(AA116+AG116)&gt;Inputs!$B$19,1,0)</f>
        <v>0</v>
      </c>
      <c r="AK116" s="0" t="n">
        <f aca="false">IF(D116-(AB116+AH116)&gt;Inputs!$B$19,1,0)</f>
        <v>0</v>
      </c>
      <c r="AL116" s="0" t="n">
        <f aca="false">IF(E116-(AC116+AI116)&gt;Inputs!$B$19,1,0)</f>
        <v>0</v>
      </c>
      <c r="AM116" s="0" t="n">
        <f aca="false">IF((AJ116*C116+AK116*D116+AL116*E116)&gt;0,MIN(C116-(AA116+AG116),(S116-(AA116+AB116+AC116+AG116+AH116+AI116))*AJ116*C116/(AJ116*C116+AK116*D116+AL116*E116)),0)</f>
        <v>0</v>
      </c>
      <c r="AN116" s="0" t="n">
        <f aca="false">IF((AJ116*C116+AK116*D116+AL116*E116)&gt;0,MIN(D116-(AB116+AH116),(S116-(AA116+AB116+AC116+AG116+AH116+AI116))*AK116*D116/(AJ116*C116+AK116*D116+AL116*E116)),0)</f>
        <v>0</v>
      </c>
      <c r="AO116" s="0" t="n">
        <f aca="false">IF((AJ116*C116+AK116*D116+AL116*E116)&gt;0,MIN(E116-(AC116+AI116),(S116-(AA116+AB116+AC116+AG116+AH116+AI116))*AL116*E116/(AJ116*C116+AK116*D116+AL116*E116)),0)</f>
        <v>0</v>
      </c>
      <c r="AP116" s="0" t="n">
        <f aca="false">IF(T116=1,U116,AA116+AG116+AM116)</f>
        <v>0</v>
      </c>
      <c r="AQ116" s="0" t="n">
        <f aca="false">IF(T116=1,V116,AB116+AH116+AN116)</f>
        <v>0</v>
      </c>
      <c r="AR116" s="0" t="n">
        <f aca="false">IF(T116=1,W116,AC116+AI116+AO116)</f>
        <v>0</v>
      </c>
      <c r="AS116" s="0" t="n">
        <f aca="false">S116-AP116-AQ116-AR116</f>
        <v>0</v>
      </c>
      <c r="AT116" s="0" t="n">
        <f aca="false">C116-AP116</f>
        <v>0</v>
      </c>
      <c r="AU116" s="0" t="n">
        <f aca="false">D116-AQ116</f>
        <v>0</v>
      </c>
      <c r="AV116" s="0" t="n">
        <f aca="false">E116-AR116</f>
        <v>0</v>
      </c>
      <c r="AW116" s="0" t="n">
        <f aca="false">Pool!CB116</f>
        <v>-1.06979314296041E-010</v>
      </c>
      <c r="AX116" s="0" t="n">
        <f aca="false">IF((AT116)&gt;Inputs!$B$19,AW116/(AT116),1000000000)</f>
        <v>1000000000</v>
      </c>
      <c r="AY116" s="0" t="n">
        <f aca="false">IF((J116)&gt;0.000000001,(R116-I116-MAX(-M116,0))/(J116),1000000000)</f>
        <v>1000000000</v>
      </c>
      <c r="AZ116" s="0" t="n">
        <f aca="false">IF(OR(AX116&lt;Inputs!$B$24,AY116&lt;Inputs!$B$25),1,0)</f>
        <v>0</v>
      </c>
      <c r="BA116" s="0" t="n">
        <f aca="false">IF((AT116+AU116)&gt;Inputs!$B$19,AW116/(AT116+AU116),1000000000)</f>
        <v>1000000000</v>
      </c>
      <c r="BB116" s="0" t="n">
        <f aca="false">IF((J116+K116)&gt;0.000000001,(R116-I116-MAX(-M116,0))/(J116+K116),1000000000)</f>
        <v>1000000000</v>
      </c>
      <c r="BC116" s="0" t="n">
        <f aca="false">IF(OR(BA116&lt;Inputs!$B$29,BB116&lt;Inputs!$B$30),1,0)</f>
        <v>0</v>
      </c>
      <c r="BD116" s="0" t="n">
        <f aca="false">IF((AT116+AU116+AV116)&gt;Inputs!$B$19,AW116/(AT116+AU116+AV116),1000000000)</f>
        <v>1000000000</v>
      </c>
      <c r="BE116" s="0" t="n">
        <f aca="false">IF((J116+K116+L116)&gt;0.000000001,(R116-I116-MAX(-M116,0))/(J116+K116+L116),1000000000)</f>
        <v>1000000000</v>
      </c>
      <c r="BF116" s="0" t="n">
        <f aca="false">IF(OR(BD116&lt;Inputs!$B$34,BE116&lt;Inputs!$B$35),1,0)</f>
        <v>0</v>
      </c>
      <c r="BG116" s="0" t="n">
        <f aca="false">MAX(AZ116,BC116,BF116)</f>
        <v>0</v>
      </c>
      <c r="BH116" s="0" t="n">
        <f aca="false">MIN(R116,N116)</f>
        <v>0</v>
      </c>
      <c r="BI116" s="0" t="n">
        <f aca="false">R116-BH116</f>
        <v>0</v>
      </c>
      <c r="BJ116" s="0" t="n">
        <f aca="false">MIN(BI116,O116)</f>
        <v>0</v>
      </c>
      <c r="BK116" s="0" t="n">
        <f aca="false">BI116-BJ116</f>
        <v>0</v>
      </c>
      <c r="BL116" s="0" t="n">
        <f aca="false">AZ116*MIN(AT116,BK116)</f>
        <v>0</v>
      </c>
      <c r="BM116" s="0" t="n">
        <f aca="false">AZ116*MIN(AU116,BK116-BL116)</f>
        <v>0</v>
      </c>
      <c r="BN116" s="0" t="n">
        <f aca="false">AZ116*MIN(AV116,BK116-BL116-BM116)</f>
        <v>0</v>
      </c>
      <c r="BO116" s="0" t="n">
        <f aca="false">BK116-BL116-BM116-BN116</f>
        <v>0</v>
      </c>
      <c r="BP116" s="0" t="n">
        <f aca="false">MIN(BO116,P116)</f>
        <v>0</v>
      </c>
      <c r="BQ116" s="0" t="n">
        <f aca="false">BO116-BP116</f>
        <v>0</v>
      </c>
      <c r="BR116" s="0" t="n">
        <f aca="false">BC116*MIN((AT116-BL116),BQ116)</f>
        <v>0</v>
      </c>
      <c r="BS116" s="0" t="n">
        <f aca="false">BC116*MIN((AU116-BM116),BQ116-BR116)</f>
        <v>0</v>
      </c>
      <c r="BT116" s="0" t="n">
        <f aca="false">BC116*MIN((AV116-BN116),BQ116-BR116-BS116)</f>
        <v>0</v>
      </c>
      <c r="BU116" s="0" t="n">
        <f aca="false">BQ116-BR116-BS116-BT116</f>
        <v>0</v>
      </c>
      <c r="BV116" s="0" t="n">
        <f aca="false">MIN(BU116,Q116)</f>
        <v>0</v>
      </c>
      <c r="BW116" s="0" t="n">
        <f aca="false">BU116-BV116</f>
        <v>0</v>
      </c>
      <c r="BX116" s="0" t="n">
        <f aca="false">BF116*MIN((AT116-BL116-BR116),BW116)</f>
        <v>0</v>
      </c>
      <c r="BY116" s="0" t="n">
        <f aca="false">BF116*MIN((AU116-BM116-BS116),BW116-BX116)</f>
        <v>0</v>
      </c>
      <c r="BZ116" s="0" t="n">
        <f aca="false">BF116*MIN((AV116-BN116-BT116),BW116-BX116-BY116)</f>
        <v>0</v>
      </c>
      <c r="CA116" s="0" t="n">
        <f aca="false">BW116-BX116-BY116-BZ116</f>
        <v>0</v>
      </c>
      <c r="CB116" s="0" t="n">
        <f aca="false">MAX(0,AT116+AU116+AV116-BL116-BM116-BN116-BR116-BS116-BT116-BX116-BY116-BZ116-AW116)</f>
        <v>1.06979314296041E-010</v>
      </c>
      <c r="CC116" s="0" t="n">
        <f aca="false">1*MIN((AT116-BL116-BR116-BX116),MIN(CA116,CB116))</f>
        <v>0</v>
      </c>
      <c r="CD116" s="0" t="n">
        <f aca="false">1*MIN((AU116-BM116-BS116-BY116),MIN(CA116,CB116)-CC116)</f>
        <v>0</v>
      </c>
      <c r="CE116" s="0" t="n">
        <f aca="false">1*MIN((AV116-BN116-BT116-BZ116),MIN(CA116,CB116)-CC116-CD116)</f>
        <v>0</v>
      </c>
      <c r="CF116" s="0" t="n">
        <f aca="false">CA116-CC116-CD116-CE116</f>
        <v>0</v>
      </c>
      <c r="CG116" s="0" t="n">
        <f aca="false">IF(C116+D116+E116&gt;Inputs!$B$19,MIN(CF116,MAX(0,Inputs!$B$15-DO115)),0)</f>
        <v>0</v>
      </c>
      <c r="CH116" s="0" t="n">
        <f aca="false">CF116-CG116</f>
        <v>0</v>
      </c>
      <c r="CI116" s="0" t="n">
        <f aca="false">DO115+CG116</f>
        <v>0</v>
      </c>
      <c r="CJ116" s="0" t="n">
        <f aca="false">MIN(MAX(N116-BH116,0),CI116)</f>
        <v>0</v>
      </c>
      <c r="CK116" s="0" t="n">
        <f aca="false">MIN(MAX(O116-BJ116,0),CI116-CJ116)</f>
        <v>0</v>
      </c>
      <c r="CL116" s="0" t="n">
        <f aca="false">MIN(MAX(P116-BP116,0),CI116-CJ116-CK116)</f>
        <v>0</v>
      </c>
      <c r="CM116" s="0" t="n">
        <f aca="false">CJ116+CK116+CL116</f>
        <v>0</v>
      </c>
      <c r="CN116" s="0" t="n">
        <f aca="false">CI116-CM116</f>
        <v>0</v>
      </c>
      <c r="CO116" s="0" t="n">
        <f aca="false">BH116+CJ116</f>
        <v>0</v>
      </c>
      <c r="CP116" s="0" t="n">
        <f aca="false">BJ116+CK116</f>
        <v>0</v>
      </c>
      <c r="CQ116" s="0" t="n">
        <f aca="false">BP116+CL116</f>
        <v>0</v>
      </c>
      <c r="CR116" s="0" t="n">
        <f aca="false">BV116</f>
        <v>0</v>
      </c>
      <c r="CS116" s="0" t="n">
        <f aca="false">AT116-BL116-BR116-BX116-CC116</f>
        <v>0</v>
      </c>
      <c r="CT116" s="0" t="n">
        <f aca="false">AU116-BM116-BS116-BY116-CD116</f>
        <v>0</v>
      </c>
      <c r="CU116" s="0" t="n">
        <f aca="false">AV116-BN116-BT116-BZ116-CE116</f>
        <v>0</v>
      </c>
      <c r="CV116" s="0" t="n">
        <f aca="false">MAX(0,CS116+CT116+CU116-AW116)</f>
        <v>1.06979314296041E-010</v>
      </c>
      <c r="CW116" s="0" t="n">
        <f aca="false">MIN(CU116,CV116)</f>
        <v>0</v>
      </c>
      <c r="CX116" s="0" t="n">
        <f aca="false">MIN(CT116,CV116-CW116)</f>
        <v>0</v>
      </c>
      <c r="CY116" s="0" t="n">
        <f aca="false">MIN(CS116,CV116-CW116-CX116)</f>
        <v>0</v>
      </c>
      <c r="CZ116" s="0" t="n">
        <f aca="false">IF(CS116-CY116&lt;Inputs!$B$19,0,CS116-CY116)</f>
        <v>0</v>
      </c>
      <c r="DA116" s="0" t="n">
        <f aca="false">IF(CT116-CX116&lt;Inputs!$B$19,0,CT116-CX116)</f>
        <v>0</v>
      </c>
      <c r="DB116" s="0" t="n">
        <f aca="false">IF(CU116-CW116&lt;Inputs!$B$19,0,CU116-CW116)</f>
        <v>0</v>
      </c>
      <c r="DC116" s="0" t="n">
        <f aca="false">N116-CO116</f>
        <v>0</v>
      </c>
      <c r="DD116" s="0" t="n">
        <f aca="false">O116-CP116</f>
        <v>0</v>
      </c>
      <c r="DE116" s="0" t="n">
        <f aca="false">P116-CQ116</f>
        <v>0</v>
      </c>
      <c r="DF116" s="0" t="n">
        <f aca="false">Q116-CR116</f>
        <v>0</v>
      </c>
      <c r="DG116" s="0" t="n">
        <f aca="false">IF(CZ116+DA116+DB116&lt;=Inputs!$B$19,1,0)</f>
        <v>1</v>
      </c>
      <c r="DH116" s="0" t="n">
        <f aca="false">DG116*CN116</f>
        <v>0</v>
      </c>
      <c r="DI116" s="0" t="n">
        <f aca="false">DG116*(AS116+DH116)</f>
        <v>0</v>
      </c>
      <c r="DJ116" s="0" t="n">
        <f aca="false">DG116*MIN(DC116,DI116)</f>
        <v>0</v>
      </c>
      <c r="DK116" s="0" t="n">
        <f aca="false">DG116*MIN(DD116,DI116-DJ116)</f>
        <v>0</v>
      </c>
      <c r="DL116" s="0" t="n">
        <f aca="false">DG116*MIN(DE116,DI116-DJ116-DK116)</f>
        <v>0</v>
      </c>
      <c r="DM116" s="0" t="n">
        <f aca="false">DG116*MIN(DF116,DI116-DJ116-DK116-DL116)</f>
        <v>0</v>
      </c>
      <c r="DN116" s="0" t="n">
        <f aca="false">DJ116+DK116+DL116+DM116</f>
        <v>0</v>
      </c>
      <c r="DO116" s="0" t="n">
        <f aca="false">CN116-DH116</f>
        <v>0</v>
      </c>
      <c r="DP116" s="0" t="n">
        <f aca="false">DC116-DJ116</f>
        <v>0</v>
      </c>
      <c r="DQ116" s="0" t="n">
        <f aca="false">DD116-DK116</f>
        <v>0</v>
      </c>
      <c r="DR116" s="0" t="n">
        <f aca="false">DE116-DL116</f>
        <v>0</v>
      </c>
      <c r="DS116" s="0" t="n">
        <f aca="false">DF116-DM116</f>
        <v>0</v>
      </c>
      <c r="DT116" s="0" t="n">
        <f aca="false">CO116+DJ116</f>
        <v>0</v>
      </c>
      <c r="DU116" s="0" t="n">
        <f aca="false">CP116+DK116</f>
        <v>0</v>
      </c>
      <c r="DV116" s="0" t="n">
        <f aca="false">AP116+BL116+BR116+BX116+CC116</f>
        <v>0</v>
      </c>
      <c r="DW116" s="0" t="n">
        <f aca="false">CQ116+DL116</f>
        <v>0</v>
      </c>
      <c r="DX116" s="0" t="n">
        <f aca="false">AQ116+BM116+BS116+BY116+CD116</f>
        <v>0</v>
      </c>
      <c r="DY116" s="0" t="n">
        <f aca="false">CR116+DM116</f>
        <v>0</v>
      </c>
      <c r="DZ116" s="0" t="n">
        <f aca="false">AR116+BN116+BT116+BZ116+CE116</f>
        <v>0</v>
      </c>
      <c r="EA116" s="0" t="n">
        <f aca="false">DI116-DN116</f>
        <v>0</v>
      </c>
      <c r="EB116" s="0" t="n">
        <f aca="false">CH116+EA116</f>
        <v>0</v>
      </c>
      <c r="EC116" s="0" t="n">
        <f aca="false">R116-I116-MAX(-M116,0)-J116-K116-L116</f>
        <v>0</v>
      </c>
      <c r="ED116" s="0" t="n">
        <f aca="false">R116+S116+CM116+DH116-CG116-DT116-DU116-DW116-DY116-DV116-DX116-DZ116-EB116</f>
        <v>0</v>
      </c>
      <c r="EE116" s="0" t="n">
        <f aca="false">IF(AND(EB116&gt;0.000001,DP116+DQ116+DR116+DS116&gt;0.000001),1,0)</f>
        <v>0</v>
      </c>
    </row>
    <row r="117" customFormat="false" ht="15" hidden="false" customHeight="false" outlineLevel="0" collapsed="false">
      <c r="A117" s="0" t="n">
        <f aca="false">ROW()-5</f>
        <v>112</v>
      </c>
      <c r="B117" s="0" t="n">
        <f aca="false">Inputs!$B$11+(Inputs!$B$12-Inputs!$B$11)*(1-EXP(-A117/Inputs!$B$13))+Inputs!$B$8</f>
        <v>0.0325987374067907</v>
      </c>
      <c r="C117" s="0" t="n">
        <f aca="false">CZ116</f>
        <v>0</v>
      </c>
      <c r="D117" s="0" t="n">
        <f aca="false">DA116</f>
        <v>0</v>
      </c>
      <c r="E117" s="0" t="n">
        <f aca="false">DB116</f>
        <v>0</v>
      </c>
      <c r="F117" s="0" t="n">
        <f aca="false">IF(Inputs!$B$22=1,B117+Inputs!$B$23,Inputs!$B$23)/12</f>
        <v>0.00363322811723256</v>
      </c>
      <c r="G117" s="0" t="n">
        <f aca="false">IF(Inputs!$B$27=1,B117+Inputs!$B$28,Inputs!$B$28)/12</f>
        <v>0.00459156145056589</v>
      </c>
      <c r="H117" s="0" t="n">
        <f aca="false">IF(Inputs!$B$32=1,B117+Inputs!$B$33,Inputs!$B$33)/12</f>
        <v>0.00625</v>
      </c>
      <c r="I117" s="0" t="n">
        <f aca="false">Pool!BT117*Inputs!$B$14/12</f>
        <v>0</v>
      </c>
      <c r="J117" s="0" t="n">
        <f aca="false">C117*F117</f>
        <v>0</v>
      </c>
      <c r="K117" s="0" t="n">
        <f aca="false">D117*G117</f>
        <v>0</v>
      </c>
      <c r="L117" s="0" t="n">
        <f aca="false">E117*H117</f>
        <v>0</v>
      </c>
      <c r="M117" s="0" t="n">
        <f aca="false">Inputs!$B$17*(C117*Inputs!$B$22+D117*Inputs!$B$27+E117*Inputs!$B$32)*(B117-Inputs!$B$18)/12</f>
        <v>-0</v>
      </c>
      <c r="N117" s="0" t="n">
        <f aca="false">DP116+I117+MAX(-M117,0)</f>
        <v>0</v>
      </c>
      <c r="O117" s="0" t="n">
        <f aca="false">DQ116+J117</f>
        <v>0</v>
      </c>
      <c r="P117" s="0" t="n">
        <f aca="false">DR116+K117</f>
        <v>0</v>
      </c>
      <c r="Q117" s="0" t="n">
        <f aca="false">DS116+L117</f>
        <v>0</v>
      </c>
      <c r="R117" s="0" t="n">
        <f aca="false">Pool!BV117+MAX(M117,0)</f>
        <v>0</v>
      </c>
      <c r="S117" s="0" t="n">
        <f aca="false">Pool!BW117+Pool!BX117+Pool!BZ117</f>
        <v>0</v>
      </c>
      <c r="T117" s="0" t="n">
        <f aca="false">MAX(T116,BG116)</f>
        <v>1</v>
      </c>
      <c r="U117" s="0" t="n">
        <f aca="false">MIN(C117,S117)</f>
        <v>0</v>
      </c>
      <c r="V117" s="0" t="n">
        <f aca="false">MIN(D117,S117-U117)</f>
        <v>0</v>
      </c>
      <c r="W117" s="0" t="n">
        <f aca="false">MIN(E117,S117-U117-V117)</f>
        <v>0</v>
      </c>
      <c r="X117" s="0" t="n">
        <f aca="false">IF(C117-(0)&gt;Inputs!$B$19,1,0)</f>
        <v>0</v>
      </c>
      <c r="Y117" s="0" t="n">
        <f aca="false">IF(D117-(0)&gt;Inputs!$B$19,1,0)</f>
        <v>0</v>
      </c>
      <c r="Z117" s="0" t="n">
        <f aca="false">IF(E117-(0)&gt;Inputs!$B$19,1,0)</f>
        <v>0</v>
      </c>
      <c r="AA117" s="0" t="n">
        <f aca="false">IF((X117*C117+Y117*D117+Z117*E117)&gt;0,MIN(C117-(0),S117*X117*C117/(X117*C117+Y117*D117+Z117*E117)),0)</f>
        <v>0</v>
      </c>
      <c r="AB117" s="0" t="n">
        <f aca="false">IF((X117*C117+Y117*D117+Z117*E117)&gt;0,MIN(D117-(0),S117*Y117*D117/(X117*C117+Y117*D117+Z117*E117)),0)</f>
        <v>0</v>
      </c>
      <c r="AC117" s="0" t="n">
        <f aca="false">IF((X117*C117+Y117*D117+Z117*E117)&gt;0,MIN(E117-(0),S117*Z117*E117/(X117*C117+Y117*D117+Z117*E117)),0)</f>
        <v>0</v>
      </c>
      <c r="AD117" s="0" t="n">
        <f aca="false">IF(C117-(AA117)&gt;Inputs!$B$19,1,0)</f>
        <v>0</v>
      </c>
      <c r="AE117" s="0" t="n">
        <f aca="false">IF(D117-(AB117)&gt;Inputs!$B$19,1,0)</f>
        <v>0</v>
      </c>
      <c r="AF117" s="0" t="n">
        <f aca="false">IF(E117-(AC117)&gt;Inputs!$B$19,1,0)</f>
        <v>0</v>
      </c>
      <c r="AG117" s="0" t="n">
        <f aca="false">IF((AD117*C117+AE117*D117+AF117*E117)&gt;0,MIN(C117-(AA117),(S117-(AA117+AB117+AC117))*AD117*C117/(AD117*C117+AE117*D117+AF117*E117)),0)</f>
        <v>0</v>
      </c>
      <c r="AH117" s="0" t="n">
        <f aca="false">IF((AD117*C117+AE117*D117+AF117*E117)&gt;0,MIN(D117-(AB117),(S117-(AA117+AB117+AC117))*AE117*D117/(AD117*C117+AE117*D117+AF117*E117)),0)</f>
        <v>0</v>
      </c>
      <c r="AI117" s="0" t="n">
        <f aca="false">IF((AD117*C117+AE117*D117+AF117*E117)&gt;0,MIN(E117-(AC117),(S117-(AA117+AB117+AC117))*AF117*E117/(AD117*C117+AE117*D117+AF117*E117)),0)</f>
        <v>0</v>
      </c>
      <c r="AJ117" s="0" t="n">
        <f aca="false">IF(C117-(AA117+AG117)&gt;Inputs!$B$19,1,0)</f>
        <v>0</v>
      </c>
      <c r="AK117" s="0" t="n">
        <f aca="false">IF(D117-(AB117+AH117)&gt;Inputs!$B$19,1,0)</f>
        <v>0</v>
      </c>
      <c r="AL117" s="0" t="n">
        <f aca="false">IF(E117-(AC117+AI117)&gt;Inputs!$B$19,1,0)</f>
        <v>0</v>
      </c>
      <c r="AM117" s="0" t="n">
        <f aca="false">IF((AJ117*C117+AK117*D117+AL117*E117)&gt;0,MIN(C117-(AA117+AG117),(S117-(AA117+AB117+AC117+AG117+AH117+AI117))*AJ117*C117/(AJ117*C117+AK117*D117+AL117*E117)),0)</f>
        <v>0</v>
      </c>
      <c r="AN117" s="0" t="n">
        <f aca="false">IF((AJ117*C117+AK117*D117+AL117*E117)&gt;0,MIN(D117-(AB117+AH117),(S117-(AA117+AB117+AC117+AG117+AH117+AI117))*AK117*D117/(AJ117*C117+AK117*D117+AL117*E117)),0)</f>
        <v>0</v>
      </c>
      <c r="AO117" s="0" t="n">
        <f aca="false">IF((AJ117*C117+AK117*D117+AL117*E117)&gt;0,MIN(E117-(AC117+AI117),(S117-(AA117+AB117+AC117+AG117+AH117+AI117))*AL117*E117/(AJ117*C117+AK117*D117+AL117*E117)),0)</f>
        <v>0</v>
      </c>
      <c r="AP117" s="0" t="n">
        <f aca="false">IF(T117=1,U117,AA117+AG117+AM117)</f>
        <v>0</v>
      </c>
      <c r="AQ117" s="0" t="n">
        <f aca="false">IF(T117=1,V117,AB117+AH117+AN117)</f>
        <v>0</v>
      </c>
      <c r="AR117" s="0" t="n">
        <f aca="false">IF(T117=1,W117,AC117+AI117+AO117)</f>
        <v>0</v>
      </c>
      <c r="AS117" s="0" t="n">
        <f aca="false">S117-AP117-AQ117-AR117</f>
        <v>0</v>
      </c>
      <c r="AT117" s="0" t="n">
        <f aca="false">C117-AP117</f>
        <v>0</v>
      </c>
      <c r="AU117" s="0" t="n">
        <f aca="false">D117-AQ117</f>
        <v>0</v>
      </c>
      <c r="AV117" s="0" t="n">
        <f aca="false">E117-AR117</f>
        <v>0</v>
      </c>
      <c r="AW117" s="0" t="n">
        <f aca="false">Pool!CB117</f>
        <v>-1.06979314296041E-010</v>
      </c>
      <c r="AX117" s="0" t="n">
        <f aca="false">IF((AT117)&gt;Inputs!$B$19,AW117/(AT117),1000000000)</f>
        <v>1000000000</v>
      </c>
      <c r="AY117" s="0" t="n">
        <f aca="false">IF((J117)&gt;0.000000001,(R117-I117-MAX(-M117,0))/(J117),1000000000)</f>
        <v>1000000000</v>
      </c>
      <c r="AZ117" s="0" t="n">
        <f aca="false">IF(OR(AX117&lt;Inputs!$B$24,AY117&lt;Inputs!$B$25),1,0)</f>
        <v>0</v>
      </c>
      <c r="BA117" s="0" t="n">
        <f aca="false">IF((AT117+AU117)&gt;Inputs!$B$19,AW117/(AT117+AU117),1000000000)</f>
        <v>1000000000</v>
      </c>
      <c r="BB117" s="0" t="n">
        <f aca="false">IF((J117+K117)&gt;0.000000001,(R117-I117-MAX(-M117,0))/(J117+K117),1000000000)</f>
        <v>1000000000</v>
      </c>
      <c r="BC117" s="0" t="n">
        <f aca="false">IF(OR(BA117&lt;Inputs!$B$29,BB117&lt;Inputs!$B$30),1,0)</f>
        <v>0</v>
      </c>
      <c r="BD117" s="0" t="n">
        <f aca="false">IF((AT117+AU117+AV117)&gt;Inputs!$B$19,AW117/(AT117+AU117+AV117),1000000000)</f>
        <v>1000000000</v>
      </c>
      <c r="BE117" s="0" t="n">
        <f aca="false">IF((J117+K117+L117)&gt;0.000000001,(R117-I117-MAX(-M117,0))/(J117+K117+L117),1000000000)</f>
        <v>1000000000</v>
      </c>
      <c r="BF117" s="0" t="n">
        <f aca="false">IF(OR(BD117&lt;Inputs!$B$34,BE117&lt;Inputs!$B$35),1,0)</f>
        <v>0</v>
      </c>
      <c r="BG117" s="0" t="n">
        <f aca="false">MAX(AZ117,BC117,BF117)</f>
        <v>0</v>
      </c>
      <c r="BH117" s="0" t="n">
        <f aca="false">MIN(R117,N117)</f>
        <v>0</v>
      </c>
      <c r="BI117" s="0" t="n">
        <f aca="false">R117-BH117</f>
        <v>0</v>
      </c>
      <c r="BJ117" s="0" t="n">
        <f aca="false">MIN(BI117,O117)</f>
        <v>0</v>
      </c>
      <c r="BK117" s="0" t="n">
        <f aca="false">BI117-BJ117</f>
        <v>0</v>
      </c>
      <c r="BL117" s="0" t="n">
        <f aca="false">AZ117*MIN(AT117,BK117)</f>
        <v>0</v>
      </c>
      <c r="BM117" s="0" t="n">
        <f aca="false">AZ117*MIN(AU117,BK117-BL117)</f>
        <v>0</v>
      </c>
      <c r="BN117" s="0" t="n">
        <f aca="false">AZ117*MIN(AV117,BK117-BL117-BM117)</f>
        <v>0</v>
      </c>
      <c r="BO117" s="0" t="n">
        <f aca="false">BK117-BL117-BM117-BN117</f>
        <v>0</v>
      </c>
      <c r="BP117" s="0" t="n">
        <f aca="false">MIN(BO117,P117)</f>
        <v>0</v>
      </c>
      <c r="BQ117" s="0" t="n">
        <f aca="false">BO117-BP117</f>
        <v>0</v>
      </c>
      <c r="BR117" s="0" t="n">
        <f aca="false">BC117*MIN((AT117-BL117),BQ117)</f>
        <v>0</v>
      </c>
      <c r="BS117" s="0" t="n">
        <f aca="false">BC117*MIN((AU117-BM117),BQ117-BR117)</f>
        <v>0</v>
      </c>
      <c r="BT117" s="0" t="n">
        <f aca="false">BC117*MIN((AV117-BN117),BQ117-BR117-BS117)</f>
        <v>0</v>
      </c>
      <c r="BU117" s="0" t="n">
        <f aca="false">BQ117-BR117-BS117-BT117</f>
        <v>0</v>
      </c>
      <c r="BV117" s="0" t="n">
        <f aca="false">MIN(BU117,Q117)</f>
        <v>0</v>
      </c>
      <c r="BW117" s="0" t="n">
        <f aca="false">BU117-BV117</f>
        <v>0</v>
      </c>
      <c r="BX117" s="0" t="n">
        <f aca="false">BF117*MIN((AT117-BL117-BR117),BW117)</f>
        <v>0</v>
      </c>
      <c r="BY117" s="0" t="n">
        <f aca="false">BF117*MIN((AU117-BM117-BS117),BW117-BX117)</f>
        <v>0</v>
      </c>
      <c r="BZ117" s="0" t="n">
        <f aca="false">BF117*MIN((AV117-BN117-BT117),BW117-BX117-BY117)</f>
        <v>0</v>
      </c>
      <c r="CA117" s="0" t="n">
        <f aca="false">BW117-BX117-BY117-BZ117</f>
        <v>0</v>
      </c>
      <c r="CB117" s="0" t="n">
        <f aca="false">MAX(0,AT117+AU117+AV117-BL117-BM117-BN117-BR117-BS117-BT117-BX117-BY117-BZ117-AW117)</f>
        <v>1.06979314296041E-010</v>
      </c>
      <c r="CC117" s="0" t="n">
        <f aca="false">1*MIN((AT117-BL117-BR117-BX117),MIN(CA117,CB117))</f>
        <v>0</v>
      </c>
      <c r="CD117" s="0" t="n">
        <f aca="false">1*MIN((AU117-BM117-BS117-BY117),MIN(CA117,CB117)-CC117)</f>
        <v>0</v>
      </c>
      <c r="CE117" s="0" t="n">
        <f aca="false">1*MIN((AV117-BN117-BT117-BZ117),MIN(CA117,CB117)-CC117-CD117)</f>
        <v>0</v>
      </c>
      <c r="CF117" s="0" t="n">
        <f aca="false">CA117-CC117-CD117-CE117</f>
        <v>0</v>
      </c>
      <c r="CG117" s="0" t="n">
        <f aca="false">IF(C117+D117+E117&gt;Inputs!$B$19,MIN(CF117,MAX(0,Inputs!$B$15-DO116)),0)</f>
        <v>0</v>
      </c>
      <c r="CH117" s="0" t="n">
        <f aca="false">CF117-CG117</f>
        <v>0</v>
      </c>
      <c r="CI117" s="0" t="n">
        <f aca="false">DO116+CG117</f>
        <v>0</v>
      </c>
      <c r="CJ117" s="0" t="n">
        <f aca="false">MIN(MAX(N117-BH117,0),CI117)</f>
        <v>0</v>
      </c>
      <c r="CK117" s="0" t="n">
        <f aca="false">MIN(MAX(O117-BJ117,0),CI117-CJ117)</f>
        <v>0</v>
      </c>
      <c r="CL117" s="0" t="n">
        <f aca="false">MIN(MAX(P117-BP117,0),CI117-CJ117-CK117)</f>
        <v>0</v>
      </c>
      <c r="CM117" s="0" t="n">
        <f aca="false">CJ117+CK117+CL117</f>
        <v>0</v>
      </c>
      <c r="CN117" s="0" t="n">
        <f aca="false">CI117-CM117</f>
        <v>0</v>
      </c>
      <c r="CO117" s="0" t="n">
        <f aca="false">BH117+CJ117</f>
        <v>0</v>
      </c>
      <c r="CP117" s="0" t="n">
        <f aca="false">BJ117+CK117</f>
        <v>0</v>
      </c>
      <c r="CQ117" s="0" t="n">
        <f aca="false">BP117+CL117</f>
        <v>0</v>
      </c>
      <c r="CR117" s="0" t="n">
        <f aca="false">BV117</f>
        <v>0</v>
      </c>
      <c r="CS117" s="0" t="n">
        <f aca="false">AT117-BL117-BR117-BX117-CC117</f>
        <v>0</v>
      </c>
      <c r="CT117" s="0" t="n">
        <f aca="false">AU117-BM117-BS117-BY117-CD117</f>
        <v>0</v>
      </c>
      <c r="CU117" s="0" t="n">
        <f aca="false">AV117-BN117-BT117-BZ117-CE117</f>
        <v>0</v>
      </c>
      <c r="CV117" s="0" t="n">
        <f aca="false">MAX(0,CS117+CT117+CU117-AW117)</f>
        <v>1.06979314296041E-010</v>
      </c>
      <c r="CW117" s="0" t="n">
        <f aca="false">MIN(CU117,CV117)</f>
        <v>0</v>
      </c>
      <c r="CX117" s="0" t="n">
        <f aca="false">MIN(CT117,CV117-CW117)</f>
        <v>0</v>
      </c>
      <c r="CY117" s="0" t="n">
        <f aca="false">MIN(CS117,CV117-CW117-CX117)</f>
        <v>0</v>
      </c>
      <c r="CZ117" s="0" t="n">
        <f aca="false">IF(CS117-CY117&lt;Inputs!$B$19,0,CS117-CY117)</f>
        <v>0</v>
      </c>
      <c r="DA117" s="0" t="n">
        <f aca="false">IF(CT117-CX117&lt;Inputs!$B$19,0,CT117-CX117)</f>
        <v>0</v>
      </c>
      <c r="DB117" s="0" t="n">
        <f aca="false">IF(CU117-CW117&lt;Inputs!$B$19,0,CU117-CW117)</f>
        <v>0</v>
      </c>
      <c r="DC117" s="0" t="n">
        <f aca="false">N117-CO117</f>
        <v>0</v>
      </c>
      <c r="DD117" s="0" t="n">
        <f aca="false">O117-CP117</f>
        <v>0</v>
      </c>
      <c r="DE117" s="0" t="n">
        <f aca="false">P117-CQ117</f>
        <v>0</v>
      </c>
      <c r="DF117" s="0" t="n">
        <f aca="false">Q117-CR117</f>
        <v>0</v>
      </c>
      <c r="DG117" s="0" t="n">
        <f aca="false">IF(CZ117+DA117+DB117&lt;=Inputs!$B$19,1,0)</f>
        <v>1</v>
      </c>
      <c r="DH117" s="0" t="n">
        <f aca="false">DG117*CN117</f>
        <v>0</v>
      </c>
      <c r="DI117" s="0" t="n">
        <f aca="false">DG117*(AS117+DH117)</f>
        <v>0</v>
      </c>
      <c r="DJ117" s="0" t="n">
        <f aca="false">DG117*MIN(DC117,DI117)</f>
        <v>0</v>
      </c>
      <c r="DK117" s="0" t="n">
        <f aca="false">DG117*MIN(DD117,DI117-DJ117)</f>
        <v>0</v>
      </c>
      <c r="DL117" s="0" t="n">
        <f aca="false">DG117*MIN(DE117,DI117-DJ117-DK117)</f>
        <v>0</v>
      </c>
      <c r="DM117" s="0" t="n">
        <f aca="false">DG117*MIN(DF117,DI117-DJ117-DK117-DL117)</f>
        <v>0</v>
      </c>
      <c r="DN117" s="0" t="n">
        <f aca="false">DJ117+DK117+DL117+DM117</f>
        <v>0</v>
      </c>
      <c r="DO117" s="0" t="n">
        <f aca="false">CN117-DH117</f>
        <v>0</v>
      </c>
      <c r="DP117" s="0" t="n">
        <f aca="false">DC117-DJ117</f>
        <v>0</v>
      </c>
      <c r="DQ117" s="0" t="n">
        <f aca="false">DD117-DK117</f>
        <v>0</v>
      </c>
      <c r="DR117" s="0" t="n">
        <f aca="false">DE117-DL117</f>
        <v>0</v>
      </c>
      <c r="DS117" s="0" t="n">
        <f aca="false">DF117-DM117</f>
        <v>0</v>
      </c>
      <c r="DT117" s="0" t="n">
        <f aca="false">CO117+DJ117</f>
        <v>0</v>
      </c>
      <c r="DU117" s="0" t="n">
        <f aca="false">CP117+DK117</f>
        <v>0</v>
      </c>
      <c r="DV117" s="0" t="n">
        <f aca="false">AP117+BL117+BR117+BX117+CC117</f>
        <v>0</v>
      </c>
      <c r="DW117" s="0" t="n">
        <f aca="false">CQ117+DL117</f>
        <v>0</v>
      </c>
      <c r="DX117" s="0" t="n">
        <f aca="false">AQ117+BM117+BS117+BY117+CD117</f>
        <v>0</v>
      </c>
      <c r="DY117" s="0" t="n">
        <f aca="false">CR117+DM117</f>
        <v>0</v>
      </c>
      <c r="DZ117" s="0" t="n">
        <f aca="false">AR117+BN117+BT117+BZ117+CE117</f>
        <v>0</v>
      </c>
      <c r="EA117" s="0" t="n">
        <f aca="false">DI117-DN117</f>
        <v>0</v>
      </c>
      <c r="EB117" s="0" t="n">
        <f aca="false">CH117+EA117</f>
        <v>0</v>
      </c>
      <c r="EC117" s="0" t="n">
        <f aca="false">R117-I117-MAX(-M117,0)-J117-K117-L117</f>
        <v>0</v>
      </c>
      <c r="ED117" s="0" t="n">
        <f aca="false">R117+S117+CM117+DH117-CG117-DT117-DU117-DW117-DY117-DV117-DX117-DZ117-EB117</f>
        <v>0</v>
      </c>
      <c r="EE117" s="0" t="n">
        <f aca="false">IF(AND(EB117&gt;0.000001,DP117+DQ117+DR117+DS117&gt;0.000001),1,0)</f>
        <v>0</v>
      </c>
    </row>
    <row r="118" customFormat="false" ht="15" hidden="false" customHeight="false" outlineLevel="0" collapsed="false">
      <c r="A118" s="0" t="n">
        <f aca="false">ROW()-5</f>
        <v>113</v>
      </c>
      <c r="B118" s="0" t="n">
        <f aca="false">Inputs!$B$11+(Inputs!$B$12-Inputs!$B$11)*(1-EXP(-A118/Inputs!$B$13))+Inputs!$B$8</f>
        <v>0.0325947078796159</v>
      </c>
      <c r="C118" s="0" t="n">
        <f aca="false">CZ117</f>
        <v>0</v>
      </c>
      <c r="D118" s="0" t="n">
        <f aca="false">DA117</f>
        <v>0</v>
      </c>
      <c r="E118" s="0" t="n">
        <f aca="false">DB117</f>
        <v>0</v>
      </c>
      <c r="F118" s="0" t="n">
        <f aca="false">IF(Inputs!$B$22=1,B118+Inputs!$B$23,Inputs!$B$23)/12</f>
        <v>0.00363289232330133</v>
      </c>
      <c r="G118" s="0" t="n">
        <f aca="false">IF(Inputs!$B$27=1,B118+Inputs!$B$28,Inputs!$B$28)/12</f>
        <v>0.00459122565663466</v>
      </c>
      <c r="H118" s="0" t="n">
        <f aca="false">IF(Inputs!$B$32=1,B118+Inputs!$B$33,Inputs!$B$33)/12</f>
        <v>0.00625</v>
      </c>
      <c r="I118" s="0" t="n">
        <f aca="false">Pool!BT118*Inputs!$B$14/12</f>
        <v>0</v>
      </c>
      <c r="J118" s="0" t="n">
        <f aca="false">C118*F118</f>
        <v>0</v>
      </c>
      <c r="K118" s="0" t="n">
        <f aca="false">D118*G118</f>
        <v>0</v>
      </c>
      <c r="L118" s="0" t="n">
        <f aca="false">E118*H118</f>
        <v>0</v>
      </c>
      <c r="M118" s="0" t="n">
        <f aca="false">Inputs!$B$17*(C118*Inputs!$B$22+D118*Inputs!$B$27+E118*Inputs!$B$32)*(B118-Inputs!$B$18)/12</f>
        <v>-0</v>
      </c>
      <c r="N118" s="0" t="n">
        <f aca="false">DP117+I118+MAX(-M118,0)</f>
        <v>0</v>
      </c>
      <c r="O118" s="0" t="n">
        <f aca="false">DQ117+J118</f>
        <v>0</v>
      </c>
      <c r="P118" s="0" t="n">
        <f aca="false">DR117+K118</f>
        <v>0</v>
      </c>
      <c r="Q118" s="0" t="n">
        <f aca="false">DS117+L118</f>
        <v>0</v>
      </c>
      <c r="R118" s="0" t="n">
        <f aca="false">Pool!BV118+MAX(M118,0)</f>
        <v>0</v>
      </c>
      <c r="S118" s="0" t="n">
        <f aca="false">Pool!BW118+Pool!BX118+Pool!BZ118</f>
        <v>0</v>
      </c>
      <c r="T118" s="0" t="n">
        <f aca="false">MAX(T117,BG117)</f>
        <v>1</v>
      </c>
      <c r="U118" s="0" t="n">
        <f aca="false">MIN(C118,S118)</f>
        <v>0</v>
      </c>
      <c r="V118" s="0" t="n">
        <f aca="false">MIN(D118,S118-U118)</f>
        <v>0</v>
      </c>
      <c r="W118" s="0" t="n">
        <f aca="false">MIN(E118,S118-U118-V118)</f>
        <v>0</v>
      </c>
      <c r="X118" s="0" t="n">
        <f aca="false">IF(C118-(0)&gt;Inputs!$B$19,1,0)</f>
        <v>0</v>
      </c>
      <c r="Y118" s="0" t="n">
        <f aca="false">IF(D118-(0)&gt;Inputs!$B$19,1,0)</f>
        <v>0</v>
      </c>
      <c r="Z118" s="0" t="n">
        <f aca="false">IF(E118-(0)&gt;Inputs!$B$19,1,0)</f>
        <v>0</v>
      </c>
      <c r="AA118" s="0" t="n">
        <f aca="false">IF((X118*C118+Y118*D118+Z118*E118)&gt;0,MIN(C118-(0),S118*X118*C118/(X118*C118+Y118*D118+Z118*E118)),0)</f>
        <v>0</v>
      </c>
      <c r="AB118" s="0" t="n">
        <f aca="false">IF((X118*C118+Y118*D118+Z118*E118)&gt;0,MIN(D118-(0),S118*Y118*D118/(X118*C118+Y118*D118+Z118*E118)),0)</f>
        <v>0</v>
      </c>
      <c r="AC118" s="0" t="n">
        <f aca="false">IF((X118*C118+Y118*D118+Z118*E118)&gt;0,MIN(E118-(0),S118*Z118*E118/(X118*C118+Y118*D118+Z118*E118)),0)</f>
        <v>0</v>
      </c>
      <c r="AD118" s="0" t="n">
        <f aca="false">IF(C118-(AA118)&gt;Inputs!$B$19,1,0)</f>
        <v>0</v>
      </c>
      <c r="AE118" s="0" t="n">
        <f aca="false">IF(D118-(AB118)&gt;Inputs!$B$19,1,0)</f>
        <v>0</v>
      </c>
      <c r="AF118" s="0" t="n">
        <f aca="false">IF(E118-(AC118)&gt;Inputs!$B$19,1,0)</f>
        <v>0</v>
      </c>
      <c r="AG118" s="0" t="n">
        <f aca="false">IF((AD118*C118+AE118*D118+AF118*E118)&gt;0,MIN(C118-(AA118),(S118-(AA118+AB118+AC118))*AD118*C118/(AD118*C118+AE118*D118+AF118*E118)),0)</f>
        <v>0</v>
      </c>
      <c r="AH118" s="0" t="n">
        <f aca="false">IF((AD118*C118+AE118*D118+AF118*E118)&gt;0,MIN(D118-(AB118),(S118-(AA118+AB118+AC118))*AE118*D118/(AD118*C118+AE118*D118+AF118*E118)),0)</f>
        <v>0</v>
      </c>
      <c r="AI118" s="0" t="n">
        <f aca="false">IF((AD118*C118+AE118*D118+AF118*E118)&gt;0,MIN(E118-(AC118),(S118-(AA118+AB118+AC118))*AF118*E118/(AD118*C118+AE118*D118+AF118*E118)),0)</f>
        <v>0</v>
      </c>
      <c r="AJ118" s="0" t="n">
        <f aca="false">IF(C118-(AA118+AG118)&gt;Inputs!$B$19,1,0)</f>
        <v>0</v>
      </c>
      <c r="AK118" s="0" t="n">
        <f aca="false">IF(D118-(AB118+AH118)&gt;Inputs!$B$19,1,0)</f>
        <v>0</v>
      </c>
      <c r="AL118" s="0" t="n">
        <f aca="false">IF(E118-(AC118+AI118)&gt;Inputs!$B$19,1,0)</f>
        <v>0</v>
      </c>
      <c r="AM118" s="0" t="n">
        <f aca="false">IF((AJ118*C118+AK118*D118+AL118*E118)&gt;0,MIN(C118-(AA118+AG118),(S118-(AA118+AB118+AC118+AG118+AH118+AI118))*AJ118*C118/(AJ118*C118+AK118*D118+AL118*E118)),0)</f>
        <v>0</v>
      </c>
      <c r="AN118" s="0" t="n">
        <f aca="false">IF((AJ118*C118+AK118*D118+AL118*E118)&gt;0,MIN(D118-(AB118+AH118),(S118-(AA118+AB118+AC118+AG118+AH118+AI118))*AK118*D118/(AJ118*C118+AK118*D118+AL118*E118)),0)</f>
        <v>0</v>
      </c>
      <c r="AO118" s="0" t="n">
        <f aca="false">IF((AJ118*C118+AK118*D118+AL118*E118)&gt;0,MIN(E118-(AC118+AI118),(S118-(AA118+AB118+AC118+AG118+AH118+AI118))*AL118*E118/(AJ118*C118+AK118*D118+AL118*E118)),0)</f>
        <v>0</v>
      </c>
      <c r="AP118" s="0" t="n">
        <f aca="false">IF(T118=1,U118,AA118+AG118+AM118)</f>
        <v>0</v>
      </c>
      <c r="AQ118" s="0" t="n">
        <f aca="false">IF(T118=1,V118,AB118+AH118+AN118)</f>
        <v>0</v>
      </c>
      <c r="AR118" s="0" t="n">
        <f aca="false">IF(T118=1,W118,AC118+AI118+AO118)</f>
        <v>0</v>
      </c>
      <c r="AS118" s="0" t="n">
        <f aca="false">S118-AP118-AQ118-AR118</f>
        <v>0</v>
      </c>
      <c r="AT118" s="0" t="n">
        <f aca="false">C118-AP118</f>
        <v>0</v>
      </c>
      <c r="AU118" s="0" t="n">
        <f aca="false">D118-AQ118</f>
        <v>0</v>
      </c>
      <c r="AV118" s="0" t="n">
        <f aca="false">E118-AR118</f>
        <v>0</v>
      </c>
      <c r="AW118" s="0" t="n">
        <f aca="false">Pool!CB118</f>
        <v>-1.06979314296041E-010</v>
      </c>
      <c r="AX118" s="0" t="n">
        <f aca="false">IF((AT118)&gt;Inputs!$B$19,AW118/(AT118),1000000000)</f>
        <v>1000000000</v>
      </c>
      <c r="AY118" s="0" t="n">
        <f aca="false">IF((J118)&gt;0.000000001,(R118-I118-MAX(-M118,0))/(J118),1000000000)</f>
        <v>1000000000</v>
      </c>
      <c r="AZ118" s="0" t="n">
        <f aca="false">IF(OR(AX118&lt;Inputs!$B$24,AY118&lt;Inputs!$B$25),1,0)</f>
        <v>0</v>
      </c>
      <c r="BA118" s="0" t="n">
        <f aca="false">IF((AT118+AU118)&gt;Inputs!$B$19,AW118/(AT118+AU118),1000000000)</f>
        <v>1000000000</v>
      </c>
      <c r="BB118" s="0" t="n">
        <f aca="false">IF((J118+K118)&gt;0.000000001,(R118-I118-MAX(-M118,0))/(J118+K118),1000000000)</f>
        <v>1000000000</v>
      </c>
      <c r="BC118" s="0" t="n">
        <f aca="false">IF(OR(BA118&lt;Inputs!$B$29,BB118&lt;Inputs!$B$30),1,0)</f>
        <v>0</v>
      </c>
      <c r="BD118" s="0" t="n">
        <f aca="false">IF((AT118+AU118+AV118)&gt;Inputs!$B$19,AW118/(AT118+AU118+AV118),1000000000)</f>
        <v>1000000000</v>
      </c>
      <c r="BE118" s="0" t="n">
        <f aca="false">IF((J118+K118+L118)&gt;0.000000001,(R118-I118-MAX(-M118,0))/(J118+K118+L118),1000000000)</f>
        <v>1000000000</v>
      </c>
      <c r="BF118" s="0" t="n">
        <f aca="false">IF(OR(BD118&lt;Inputs!$B$34,BE118&lt;Inputs!$B$35),1,0)</f>
        <v>0</v>
      </c>
      <c r="BG118" s="0" t="n">
        <f aca="false">MAX(AZ118,BC118,BF118)</f>
        <v>0</v>
      </c>
      <c r="BH118" s="0" t="n">
        <f aca="false">MIN(R118,N118)</f>
        <v>0</v>
      </c>
      <c r="BI118" s="0" t="n">
        <f aca="false">R118-BH118</f>
        <v>0</v>
      </c>
      <c r="BJ118" s="0" t="n">
        <f aca="false">MIN(BI118,O118)</f>
        <v>0</v>
      </c>
      <c r="BK118" s="0" t="n">
        <f aca="false">BI118-BJ118</f>
        <v>0</v>
      </c>
      <c r="BL118" s="0" t="n">
        <f aca="false">AZ118*MIN(AT118,BK118)</f>
        <v>0</v>
      </c>
      <c r="BM118" s="0" t="n">
        <f aca="false">AZ118*MIN(AU118,BK118-BL118)</f>
        <v>0</v>
      </c>
      <c r="BN118" s="0" t="n">
        <f aca="false">AZ118*MIN(AV118,BK118-BL118-BM118)</f>
        <v>0</v>
      </c>
      <c r="BO118" s="0" t="n">
        <f aca="false">BK118-BL118-BM118-BN118</f>
        <v>0</v>
      </c>
      <c r="BP118" s="0" t="n">
        <f aca="false">MIN(BO118,P118)</f>
        <v>0</v>
      </c>
      <c r="BQ118" s="0" t="n">
        <f aca="false">BO118-BP118</f>
        <v>0</v>
      </c>
      <c r="BR118" s="0" t="n">
        <f aca="false">BC118*MIN((AT118-BL118),BQ118)</f>
        <v>0</v>
      </c>
      <c r="BS118" s="0" t="n">
        <f aca="false">BC118*MIN((AU118-BM118),BQ118-BR118)</f>
        <v>0</v>
      </c>
      <c r="BT118" s="0" t="n">
        <f aca="false">BC118*MIN((AV118-BN118),BQ118-BR118-BS118)</f>
        <v>0</v>
      </c>
      <c r="BU118" s="0" t="n">
        <f aca="false">BQ118-BR118-BS118-BT118</f>
        <v>0</v>
      </c>
      <c r="BV118" s="0" t="n">
        <f aca="false">MIN(BU118,Q118)</f>
        <v>0</v>
      </c>
      <c r="BW118" s="0" t="n">
        <f aca="false">BU118-BV118</f>
        <v>0</v>
      </c>
      <c r="BX118" s="0" t="n">
        <f aca="false">BF118*MIN((AT118-BL118-BR118),BW118)</f>
        <v>0</v>
      </c>
      <c r="BY118" s="0" t="n">
        <f aca="false">BF118*MIN((AU118-BM118-BS118),BW118-BX118)</f>
        <v>0</v>
      </c>
      <c r="BZ118" s="0" t="n">
        <f aca="false">BF118*MIN((AV118-BN118-BT118),BW118-BX118-BY118)</f>
        <v>0</v>
      </c>
      <c r="CA118" s="0" t="n">
        <f aca="false">BW118-BX118-BY118-BZ118</f>
        <v>0</v>
      </c>
      <c r="CB118" s="0" t="n">
        <f aca="false">MAX(0,AT118+AU118+AV118-BL118-BM118-BN118-BR118-BS118-BT118-BX118-BY118-BZ118-AW118)</f>
        <v>1.06979314296041E-010</v>
      </c>
      <c r="CC118" s="0" t="n">
        <f aca="false">1*MIN((AT118-BL118-BR118-BX118),MIN(CA118,CB118))</f>
        <v>0</v>
      </c>
      <c r="CD118" s="0" t="n">
        <f aca="false">1*MIN((AU118-BM118-BS118-BY118),MIN(CA118,CB118)-CC118)</f>
        <v>0</v>
      </c>
      <c r="CE118" s="0" t="n">
        <f aca="false">1*MIN((AV118-BN118-BT118-BZ118),MIN(CA118,CB118)-CC118-CD118)</f>
        <v>0</v>
      </c>
      <c r="CF118" s="0" t="n">
        <f aca="false">CA118-CC118-CD118-CE118</f>
        <v>0</v>
      </c>
      <c r="CG118" s="0" t="n">
        <f aca="false">IF(C118+D118+E118&gt;Inputs!$B$19,MIN(CF118,MAX(0,Inputs!$B$15-DO117)),0)</f>
        <v>0</v>
      </c>
      <c r="CH118" s="0" t="n">
        <f aca="false">CF118-CG118</f>
        <v>0</v>
      </c>
      <c r="CI118" s="0" t="n">
        <f aca="false">DO117+CG118</f>
        <v>0</v>
      </c>
      <c r="CJ118" s="0" t="n">
        <f aca="false">MIN(MAX(N118-BH118,0),CI118)</f>
        <v>0</v>
      </c>
      <c r="CK118" s="0" t="n">
        <f aca="false">MIN(MAX(O118-BJ118,0),CI118-CJ118)</f>
        <v>0</v>
      </c>
      <c r="CL118" s="0" t="n">
        <f aca="false">MIN(MAX(P118-BP118,0),CI118-CJ118-CK118)</f>
        <v>0</v>
      </c>
      <c r="CM118" s="0" t="n">
        <f aca="false">CJ118+CK118+CL118</f>
        <v>0</v>
      </c>
      <c r="CN118" s="0" t="n">
        <f aca="false">CI118-CM118</f>
        <v>0</v>
      </c>
      <c r="CO118" s="0" t="n">
        <f aca="false">BH118+CJ118</f>
        <v>0</v>
      </c>
      <c r="CP118" s="0" t="n">
        <f aca="false">BJ118+CK118</f>
        <v>0</v>
      </c>
      <c r="CQ118" s="0" t="n">
        <f aca="false">BP118+CL118</f>
        <v>0</v>
      </c>
      <c r="CR118" s="0" t="n">
        <f aca="false">BV118</f>
        <v>0</v>
      </c>
      <c r="CS118" s="0" t="n">
        <f aca="false">AT118-BL118-BR118-BX118-CC118</f>
        <v>0</v>
      </c>
      <c r="CT118" s="0" t="n">
        <f aca="false">AU118-BM118-BS118-BY118-CD118</f>
        <v>0</v>
      </c>
      <c r="CU118" s="0" t="n">
        <f aca="false">AV118-BN118-BT118-BZ118-CE118</f>
        <v>0</v>
      </c>
      <c r="CV118" s="0" t="n">
        <f aca="false">MAX(0,CS118+CT118+CU118-AW118)</f>
        <v>1.06979314296041E-010</v>
      </c>
      <c r="CW118" s="0" t="n">
        <f aca="false">MIN(CU118,CV118)</f>
        <v>0</v>
      </c>
      <c r="CX118" s="0" t="n">
        <f aca="false">MIN(CT118,CV118-CW118)</f>
        <v>0</v>
      </c>
      <c r="CY118" s="0" t="n">
        <f aca="false">MIN(CS118,CV118-CW118-CX118)</f>
        <v>0</v>
      </c>
      <c r="CZ118" s="0" t="n">
        <f aca="false">IF(CS118-CY118&lt;Inputs!$B$19,0,CS118-CY118)</f>
        <v>0</v>
      </c>
      <c r="DA118" s="0" t="n">
        <f aca="false">IF(CT118-CX118&lt;Inputs!$B$19,0,CT118-CX118)</f>
        <v>0</v>
      </c>
      <c r="DB118" s="0" t="n">
        <f aca="false">IF(CU118-CW118&lt;Inputs!$B$19,0,CU118-CW118)</f>
        <v>0</v>
      </c>
      <c r="DC118" s="0" t="n">
        <f aca="false">N118-CO118</f>
        <v>0</v>
      </c>
      <c r="DD118" s="0" t="n">
        <f aca="false">O118-CP118</f>
        <v>0</v>
      </c>
      <c r="DE118" s="0" t="n">
        <f aca="false">P118-CQ118</f>
        <v>0</v>
      </c>
      <c r="DF118" s="0" t="n">
        <f aca="false">Q118-CR118</f>
        <v>0</v>
      </c>
      <c r="DG118" s="0" t="n">
        <f aca="false">IF(CZ118+DA118+DB118&lt;=Inputs!$B$19,1,0)</f>
        <v>1</v>
      </c>
      <c r="DH118" s="0" t="n">
        <f aca="false">DG118*CN118</f>
        <v>0</v>
      </c>
      <c r="DI118" s="0" t="n">
        <f aca="false">DG118*(AS118+DH118)</f>
        <v>0</v>
      </c>
      <c r="DJ118" s="0" t="n">
        <f aca="false">DG118*MIN(DC118,DI118)</f>
        <v>0</v>
      </c>
      <c r="DK118" s="0" t="n">
        <f aca="false">DG118*MIN(DD118,DI118-DJ118)</f>
        <v>0</v>
      </c>
      <c r="DL118" s="0" t="n">
        <f aca="false">DG118*MIN(DE118,DI118-DJ118-DK118)</f>
        <v>0</v>
      </c>
      <c r="DM118" s="0" t="n">
        <f aca="false">DG118*MIN(DF118,DI118-DJ118-DK118-DL118)</f>
        <v>0</v>
      </c>
      <c r="DN118" s="0" t="n">
        <f aca="false">DJ118+DK118+DL118+DM118</f>
        <v>0</v>
      </c>
      <c r="DO118" s="0" t="n">
        <f aca="false">CN118-DH118</f>
        <v>0</v>
      </c>
      <c r="DP118" s="0" t="n">
        <f aca="false">DC118-DJ118</f>
        <v>0</v>
      </c>
      <c r="DQ118" s="0" t="n">
        <f aca="false">DD118-DK118</f>
        <v>0</v>
      </c>
      <c r="DR118" s="0" t="n">
        <f aca="false">DE118-DL118</f>
        <v>0</v>
      </c>
      <c r="DS118" s="0" t="n">
        <f aca="false">DF118-DM118</f>
        <v>0</v>
      </c>
      <c r="DT118" s="0" t="n">
        <f aca="false">CO118+DJ118</f>
        <v>0</v>
      </c>
      <c r="DU118" s="0" t="n">
        <f aca="false">CP118+DK118</f>
        <v>0</v>
      </c>
      <c r="DV118" s="0" t="n">
        <f aca="false">AP118+BL118+BR118+BX118+CC118</f>
        <v>0</v>
      </c>
      <c r="DW118" s="0" t="n">
        <f aca="false">CQ118+DL118</f>
        <v>0</v>
      </c>
      <c r="DX118" s="0" t="n">
        <f aca="false">AQ118+BM118+BS118+BY118+CD118</f>
        <v>0</v>
      </c>
      <c r="DY118" s="0" t="n">
        <f aca="false">CR118+DM118</f>
        <v>0</v>
      </c>
      <c r="DZ118" s="0" t="n">
        <f aca="false">AR118+BN118+BT118+BZ118+CE118</f>
        <v>0</v>
      </c>
      <c r="EA118" s="0" t="n">
        <f aca="false">DI118-DN118</f>
        <v>0</v>
      </c>
      <c r="EB118" s="0" t="n">
        <f aca="false">CH118+EA118</f>
        <v>0</v>
      </c>
      <c r="EC118" s="0" t="n">
        <f aca="false">R118-I118-MAX(-M118,0)-J118-K118-L118</f>
        <v>0</v>
      </c>
      <c r="ED118" s="0" t="n">
        <f aca="false">R118+S118+CM118+DH118-CG118-DT118-DU118-DW118-DY118-DV118-DX118-DZ118-EB118</f>
        <v>0</v>
      </c>
      <c r="EE118" s="0" t="n">
        <f aca="false">IF(AND(EB118&gt;0.000001,DP118+DQ118+DR118+DS118&gt;0.000001),1,0)</f>
        <v>0</v>
      </c>
    </row>
    <row r="119" customFormat="false" ht="15" hidden="false" customHeight="false" outlineLevel="0" collapsed="false">
      <c r="A119" s="0" t="n">
        <f aca="false">ROW()-5</f>
        <v>114</v>
      </c>
      <c r="B119" s="0" t="n">
        <f aca="false">Inputs!$B$11+(Inputs!$B$12-Inputs!$B$11)*(1-EXP(-A119/Inputs!$B$13))+Inputs!$B$8</f>
        <v>0.0325908427996328</v>
      </c>
      <c r="C119" s="0" t="n">
        <f aca="false">CZ118</f>
        <v>0</v>
      </c>
      <c r="D119" s="0" t="n">
        <f aca="false">DA118</f>
        <v>0</v>
      </c>
      <c r="E119" s="0" t="n">
        <f aca="false">DB118</f>
        <v>0</v>
      </c>
      <c r="F119" s="0" t="n">
        <f aca="false">IF(Inputs!$B$22=1,B119+Inputs!$B$23,Inputs!$B$23)/12</f>
        <v>0.00363257023330273</v>
      </c>
      <c r="G119" s="0" t="n">
        <f aca="false">IF(Inputs!$B$27=1,B119+Inputs!$B$28,Inputs!$B$28)/12</f>
        <v>0.00459090356663606</v>
      </c>
      <c r="H119" s="0" t="n">
        <f aca="false">IF(Inputs!$B$32=1,B119+Inputs!$B$33,Inputs!$B$33)/12</f>
        <v>0.00625</v>
      </c>
      <c r="I119" s="0" t="n">
        <f aca="false">Pool!BT119*Inputs!$B$14/12</f>
        <v>0</v>
      </c>
      <c r="J119" s="0" t="n">
        <f aca="false">C119*F119</f>
        <v>0</v>
      </c>
      <c r="K119" s="0" t="n">
        <f aca="false">D119*G119</f>
        <v>0</v>
      </c>
      <c r="L119" s="0" t="n">
        <f aca="false">E119*H119</f>
        <v>0</v>
      </c>
      <c r="M119" s="0" t="n">
        <f aca="false">Inputs!$B$17*(C119*Inputs!$B$22+D119*Inputs!$B$27+E119*Inputs!$B$32)*(B119-Inputs!$B$18)/12</f>
        <v>-0</v>
      </c>
      <c r="N119" s="0" t="n">
        <f aca="false">DP118+I119+MAX(-M119,0)</f>
        <v>0</v>
      </c>
      <c r="O119" s="0" t="n">
        <f aca="false">DQ118+J119</f>
        <v>0</v>
      </c>
      <c r="P119" s="0" t="n">
        <f aca="false">DR118+K119</f>
        <v>0</v>
      </c>
      <c r="Q119" s="0" t="n">
        <f aca="false">DS118+L119</f>
        <v>0</v>
      </c>
      <c r="R119" s="0" t="n">
        <f aca="false">Pool!BV119+MAX(M119,0)</f>
        <v>0</v>
      </c>
      <c r="S119" s="0" t="n">
        <f aca="false">Pool!BW119+Pool!BX119+Pool!BZ119</f>
        <v>0</v>
      </c>
      <c r="T119" s="0" t="n">
        <f aca="false">MAX(T118,BG118)</f>
        <v>1</v>
      </c>
      <c r="U119" s="0" t="n">
        <f aca="false">MIN(C119,S119)</f>
        <v>0</v>
      </c>
      <c r="V119" s="0" t="n">
        <f aca="false">MIN(D119,S119-U119)</f>
        <v>0</v>
      </c>
      <c r="W119" s="0" t="n">
        <f aca="false">MIN(E119,S119-U119-V119)</f>
        <v>0</v>
      </c>
      <c r="X119" s="0" t="n">
        <f aca="false">IF(C119-(0)&gt;Inputs!$B$19,1,0)</f>
        <v>0</v>
      </c>
      <c r="Y119" s="0" t="n">
        <f aca="false">IF(D119-(0)&gt;Inputs!$B$19,1,0)</f>
        <v>0</v>
      </c>
      <c r="Z119" s="0" t="n">
        <f aca="false">IF(E119-(0)&gt;Inputs!$B$19,1,0)</f>
        <v>0</v>
      </c>
      <c r="AA119" s="0" t="n">
        <f aca="false">IF((X119*C119+Y119*D119+Z119*E119)&gt;0,MIN(C119-(0),S119*X119*C119/(X119*C119+Y119*D119+Z119*E119)),0)</f>
        <v>0</v>
      </c>
      <c r="AB119" s="0" t="n">
        <f aca="false">IF((X119*C119+Y119*D119+Z119*E119)&gt;0,MIN(D119-(0),S119*Y119*D119/(X119*C119+Y119*D119+Z119*E119)),0)</f>
        <v>0</v>
      </c>
      <c r="AC119" s="0" t="n">
        <f aca="false">IF((X119*C119+Y119*D119+Z119*E119)&gt;0,MIN(E119-(0),S119*Z119*E119/(X119*C119+Y119*D119+Z119*E119)),0)</f>
        <v>0</v>
      </c>
      <c r="AD119" s="0" t="n">
        <f aca="false">IF(C119-(AA119)&gt;Inputs!$B$19,1,0)</f>
        <v>0</v>
      </c>
      <c r="AE119" s="0" t="n">
        <f aca="false">IF(D119-(AB119)&gt;Inputs!$B$19,1,0)</f>
        <v>0</v>
      </c>
      <c r="AF119" s="0" t="n">
        <f aca="false">IF(E119-(AC119)&gt;Inputs!$B$19,1,0)</f>
        <v>0</v>
      </c>
      <c r="AG119" s="0" t="n">
        <f aca="false">IF((AD119*C119+AE119*D119+AF119*E119)&gt;0,MIN(C119-(AA119),(S119-(AA119+AB119+AC119))*AD119*C119/(AD119*C119+AE119*D119+AF119*E119)),0)</f>
        <v>0</v>
      </c>
      <c r="AH119" s="0" t="n">
        <f aca="false">IF((AD119*C119+AE119*D119+AF119*E119)&gt;0,MIN(D119-(AB119),(S119-(AA119+AB119+AC119))*AE119*D119/(AD119*C119+AE119*D119+AF119*E119)),0)</f>
        <v>0</v>
      </c>
      <c r="AI119" s="0" t="n">
        <f aca="false">IF((AD119*C119+AE119*D119+AF119*E119)&gt;0,MIN(E119-(AC119),(S119-(AA119+AB119+AC119))*AF119*E119/(AD119*C119+AE119*D119+AF119*E119)),0)</f>
        <v>0</v>
      </c>
      <c r="AJ119" s="0" t="n">
        <f aca="false">IF(C119-(AA119+AG119)&gt;Inputs!$B$19,1,0)</f>
        <v>0</v>
      </c>
      <c r="AK119" s="0" t="n">
        <f aca="false">IF(D119-(AB119+AH119)&gt;Inputs!$B$19,1,0)</f>
        <v>0</v>
      </c>
      <c r="AL119" s="0" t="n">
        <f aca="false">IF(E119-(AC119+AI119)&gt;Inputs!$B$19,1,0)</f>
        <v>0</v>
      </c>
      <c r="AM119" s="0" t="n">
        <f aca="false">IF((AJ119*C119+AK119*D119+AL119*E119)&gt;0,MIN(C119-(AA119+AG119),(S119-(AA119+AB119+AC119+AG119+AH119+AI119))*AJ119*C119/(AJ119*C119+AK119*D119+AL119*E119)),0)</f>
        <v>0</v>
      </c>
      <c r="AN119" s="0" t="n">
        <f aca="false">IF((AJ119*C119+AK119*D119+AL119*E119)&gt;0,MIN(D119-(AB119+AH119),(S119-(AA119+AB119+AC119+AG119+AH119+AI119))*AK119*D119/(AJ119*C119+AK119*D119+AL119*E119)),0)</f>
        <v>0</v>
      </c>
      <c r="AO119" s="0" t="n">
        <f aca="false">IF((AJ119*C119+AK119*D119+AL119*E119)&gt;0,MIN(E119-(AC119+AI119),(S119-(AA119+AB119+AC119+AG119+AH119+AI119))*AL119*E119/(AJ119*C119+AK119*D119+AL119*E119)),0)</f>
        <v>0</v>
      </c>
      <c r="AP119" s="0" t="n">
        <f aca="false">IF(T119=1,U119,AA119+AG119+AM119)</f>
        <v>0</v>
      </c>
      <c r="AQ119" s="0" t="n">
        <f aca="false">IF(T119=1,V119,AB119+AH119+AN119)</f>
        <v>0</v>
      </c>
      <c r="AR119" s="0" t="n">
        <f aca="false">IF(T119=1,W119,AC119+AI119+AO119)</f>
        <v>0</v>
      </c>
      <c r="AS119" s="0" t="n">
        <f aca="false">S119-AP119-AQ119-AR119</f>
        <v>0</v>
      </c>
      <c r="AT119" s="0" t="n">
        <f aca="false">C119-AP119</f>
        <v>0</v>
      </c>
      <c r="AU119" s="0" t="n">
        <f aca="false">D119-AQ119</f>
        <v>0</v>
      </c>
      <c r="AV119" s="0" t="n">
        <f aca="false">E119-AR119</f>
        <v>0</v>
      </c>
      <c r="AW119" s="0" t="n">
        <f aca="false">Pool!CB119</f>
        <v>-1.06979314296041E-010</v>
      </c>
      <c r="AX119" s="0" t="n">
        <f aca="false">IF((AT119)&gt;Inputs!$B$19,AW119/(AT119),1000000000)</f>
        <v>1000000000</v>
      </c>
      <c r="AY119" s="0" t="n">
        <f aca="false">IF((J119)&gt;0.000000001,(R119-I119-MAX(-M119,0))/(J119),1000000000)</f>
        <v>1000000000</v>
      </c>
      <c r="AZ119" s="0" t="n">
        <f aca="false">IF(OR(AX119&lt;Inputs!$B$24,AY119&lt;Inputs!$B$25),1,0)</f>
        <v>0</v>
      </c>
      <c r="BA119" s="0" t="n">
        <f aca="false">IF((AT119+AU119)&gt;Inputs!$B$19,AW119/(AT119+AU119),1000000000)</f>
        <v>1000000000</v>
      </c>
      <c r="BB119" s="0" t="n">
        <f aca="false">IF((J119+K119)&gt;0.000000001,(R119-I119-MAX(-M119,0))/(J119+K119),1000000000)</f>
        <v>1000000000</v>
      </c>
      <c r="BC119" s="0" t="n">
        <f aca="false">IF(OR(BA119&lt;Inputs!$B$29,BB119&lt;Inputs!$B$30),1,0)</f>
        <v>0</v>
      </c>
      <c r="BD119" s="0" t="n">
        <f aca="false">IF((AT119+AU119+AV119)&gt;Inputs!$B$19,AW119/(AT119+AU119+AV119),1000000000)</f>
        <v>1000000000</v>
      </c>
      <c r="BE119" s="0" t="n">
        <f aca="false">IF((J119+K119+L119)&gt;0.000000001,(R119-I119-MAX(-M119,0))/(J119+K119+L119),1000000000)</f>
        <v>1000000000</v>
      </c>
      <c r="BF119" s="0" t="n">
        <f aca="false">IF(OR(BD119&lt;Inputs!$B$34,BE119&lt;Inputs!$B$35),1,0)</f>
        <v>0</v>
      </c>
      <c r="BG119" s="0" t="n">
        <f aca="false">MAX(AZ119,BC119,BF119)</f>
        <v>0</v>
      </c>
      <c r="BH119" s="0" t="n">
        <f aca="false">MIN(R119,N119)</f>
        <v>0</v>
      </c>
      <c r="BI119" s="0" t="n">
        <f aca="false">R119-BH119</f>
        <v>0</v>
      </c>
      <c r="BJ119" s="0" t="n">
        <f aca="false">MIN(BI119,O119)</f>
        <v>0</v>
      </c>
      <c r="BK119" s="0" t="n">
        <f aca="false">BI119-BJ119</f>
        <v>0</v>
      </c>
      <c r="BL119" s="0" t="n">
        <f aca="false">AZ119*MIN(AT119,BK119)</f>
        <v>0</v>
      </c>
      <c r="BM119" s="0" t="n">
        <f aca="false">AZ119*MIN(AU119,BK119-BL119)</f>
        <v>0</v>
      </c>
      <c r="BN119" s="0" t="n">
        <f aca="false">AZ119*MIN(AV119,BK119-BL119-BM119)</f>
        <v>0</v>
      </c>
      <c r="BO119" s="0" t="n">
        <f aca="false">BK119-BL119-BM119-BN119</f>
        <v>0</v>
      </c>
      <c r="BP119" s="0" t="n">
        <f aca="false">MIN(BO119,P119)</f>
        <v>0</v>
      </c>
      <c r="BQ119" s="0" t="n">
        <f aca="false">BO119-BP119</f>
        <v>0</v>
      </c>
      <c r="BR119" s="0" t="n">
        <f aca="false">BC119*MIN((AT119-BL119),BQ119)</f>
        <v>0</v>
      </c>
      <c r="BS119" s="0" t="n">
        <f aca="false">BC119*MIN((AU119-BM119),BQ119-BR119)</f>
        <v>0</v>
      </c>
      <c r="BT119" s="0" t="n">
        <f aca="false">BC119*MIN((AV119-BN119),BQ119-BR119-BS119)</f>
        <v>0</v>
      </c>
      <c r="BU119" s="0" t="n">
        <f aca="false">BQ119-BR119-BS119-BT119</f>
        <v>0</v>
      </c>
      <c r="BV119" s="0" t="n">
        <f aca="false">MIN(BU119,Q119)</f>
        <v>0</v>
      </c>
      <c r="BW119" s="0" t="n">
        <f aca="false">BU119-BV119</f>
        <v>0</v>
      </c>
      <c r="BX119" s="0" t="n">
        <f aca="false">BF119*MIN((AT119-BL119-BR119),BW119)</f>
        <v>0</v>
      </c>
      <c r="BY119" s="0" t="n">
        <f aca="false">BF119*MIN((AU119-BM119-BS119),BW119-BX119)</f>
        <v>0</v>
      </c>
      <c r="BZ119" s="0" t="n">
        <f aca="false">BF119*MIN((AV119-BN119-BT119),BW119-BX119-BY119)</f>
        <v>0</v>
      </c>
      <c r="CA119" s="0" t="n">
        <f aca="false">BW119-BX119-BY119-BZ119</f>
        <v>0</v>
      </c>
      <c r="CB119" s="0" t="n">
        <f aca="false">MAX(0,AT119+AU119+AV119-BL119-BM119-BN119-BR119-BS119-BT119-BX119-BY119-BZ119-AW119)</f>
        <v>1.06979314296041E-010</v>
      </c>
      <c r="CC119" s="0" t="n">
        <f aca="false">1*MIN((AT119-BL119-BR119-BX119),MIN(CA119,CB119))</f>
        <v>0</v>
      </c>
      <c r="CD119" s="0" t="n">
        <f aca="false">1*MIN((AU119-BM119-BS119-BY119),MIN(CA119,CB119)-CC119)</f>
        <v>0</v>
      </c>
      <c r="CE119" s="0" t="n">
        <f aca="false">1*MIN((AV119-BN119-BT119-BZ119),MIN(CA119,CB119)-CC119-CD119)</f>
        <v>0</v>
      </c>
      <c r="CF119" s="0" t="n">
        <f aca="false">CA119-CC119-CD119-CE119</f>
        <v>0</v>
      </c>
      <c r="CG119" s="0" t="n">
        <f aca="false">IF(C119+D119+E119&gt;Inputs!$B$19,MIN(CF119,MAX(0,Inputs!$B$15-DO118)),0)</f>
        <v>0</v>
      </c>
      <c r="CH119" s="0" t="n">
        <f aca="false">CF119-CG119</f>
        <v>0</v>
      </c>
      <c r="CI119" s="0" t="n">
        <f aca="false">DO118+CG119</f>
        <v>0</v>
      </c>
      <c r="CJ119" s="0" t="n">
        <f aca="false">MIN(MAX(N119-BH119,0),CI119)</f>
        <v>0</v>
      </c>
      <c r="CK119" s="0" t="n">
        <f aca="false">MIN(MAX(O119-BJ119,0),CI119-CJ119)</f>
        <v>0</v>
      </c>
      <c r="CL119" s="0" t="n">
        <f aca="false">MIN(MAX(P119-BP119,0),CI119-CJ119-CK119)</f>
        <v>0</v>
      </c>
      <c r="CM119" s="0" t="n">
        <f aca="false">CJ119+CK119+CL119</f>
        <v>0</v>
      </c>
      <c r="CN119" s="0" t="n">
        <f aca="false">CI119-CM119</f>
        <v>0</v>
      </c>
      <c r="CO119" s="0" t="n">
        <f aca="false">BH119+CJ119</f>
        <v>0</v>
      </c>
      <c r="CP119" s="0" t="n">
        <f aca="false">BJ119+CK119</f>
        <v>0</v>
      </c>
      <c r="CQ119" s="0" t="n">
        <f aca="false">BP119+CL119</f>
        <v>0</v>
      </c>
      <c r="CR119" s="0" t="n">
        <f aca="false">BV119</f>
        <v>0</v>
      </c>
      <c r="CS119" s="0" t="n">
        <f aca="false">AT119-BL119-BR119-BX119-CC119</f>
        <v>0</v>
      </c>
      <c r="CT119" s="0" t="n">
        <f aca="false">AU119-BM119-BS119-BY119-CD119</f>
        <v>0</v>
      </c>
      <c r="CU119" s="0" t="n">
        <f aca="false">AV119-BN119-BT119-BZ119-CE119</f>
        <v>0</v>
      </c>
      <c r="CV119" s="0" t="n">
        <f aca="false">MAX(0,CS119+CT119+CU119-AW119)</f>
        <v>1.06979314296041E-010</v>
      </c>
      <c r="CW119" s="0" t="n">
        <f aca="false">MIN(CU119,CV119)</f>
        <v>0</v>
      </c>
      <c r="CX119" s="0" t="n">
        <f aca="false">MIN(CT119,CV119-CW119)</f>
        <v>0</v>
      </c>
      <c r="CY119" s="0" t="n">
        <f aca="false">MIN(CS119,CV119-CW119-CX119)</f>
        <v>0</v>
      </c>
      <c r="CZ119" s="0" t="n">
        <f aca="false">IF(CS119-CY119&lt;Inputs!$B$19,0,CS119-CY119)</f>
        <v>0</v>
      </c>
      <c r="DA119" s="0" t="n">
        <f aca="false">IF(CT119-CX119&lt;Inputs!$B$19,0,CT119-CX119)</f>
        <v>0</v>
      </c>
      <c r="DB119" s="0" t="n">
        <f aca="false">IF(CU119-CW119&lt;Inputs!$B$19,0,CU119-CW119)</f>
        <v>0</v>
      </c>
      <c r="DC119" s="0" t="n">
        <f aca="false">N119-CO119</f>
        <v>0</v>
      </c>
      <c r="DD119" s="0" t="n">
        <f aca="false">O119-CP119</f>
        <v>0</v>
      </c>
      <c r="DE119" s="0" t="n">
        <f aca="false">P119-CQ119</f>
        <v>0</v>
      </c>
      <c r="DF119" s="0" t="n">
        <f aca="false">Q119-CR119</f>
        <v>0</v>
      </c>
      <c r="DG119" s="0" t="n">
        <f aca="false">IF(CZ119+DA119+DB119&lt;=Inputs!$B$19,1,0)</f>
        <v>1</v>
      </c>
      <c r="DH119" s="0" t="n">
        <f aca="false">DG119*CN119</f>
        <v>0</v>
      </c>
      <c r="DI119" s="0" t="n">
        <f aca="false">DG119*(AS119+DH119)</f>
        <v>0</v>
      </c>
      <c r="DJ119" s="0" t="n">
        <f aca="false">DG119*MIN(DC119,DI119)</f>
        <v>0</v>
      </c>
      <c r="DK119" s="0" t="n">
        <f aca="false">DG119*MIN(DD119,DI119-DJ119)</f>
        <v>0</v>
      </c>
      <c r="DL119" s="0" t="n">
        <f aca="false">DG119*MIN(DE119,DI119-DJ119-DK119)</f>
        <v>0</v>
      </c>
      <c r="DM119" s="0" t="n">
        <f aca="false">DG119*MIN(DF119,DI119-DJ119-DK119-DL119)</f>
        <v>0</v>
      </c>
      <c r="DN119" s="0" t="n">
        <f aca="false">DJ119+DK119+DL119+DM119</f>
        <v>0</v>
      </c>
      <c r="DO119" s="0" t="n">
        <f aca="false">CN119-DH119</f>
        <v>0</v>
      </c>
      <c r="DP119" s="0" t="n">
        <f aca="false">DC119-DJ119</f>
        <v>0</v>
      </c>
      <c r="DQ119" s="0" t="n">
        <f aca="false">DD119-DK119</f>
        <v>0</v>
      </c>
      <c r="DR119" s="0" t="n">
        <f aca="false">DE119-DL119</f>
        <v>0</v>
      </c>
      <c r="DS119" s="0" t="n">
        <f aca="false">DF119-DM119</f>
        <v>0</v>
      </c>
      <c r="DT119" s="0" t="n">
        <f aca="false">CO119+DJ119</f>
        <v>0</v>
      </c>
      <c r="DU119" s="0" t="n">
        <f aca="false">CP119+DK119</f>
        <v>0</v>
      </c>
      <c r="DV119" s="0" t="n">
        <f aca="false">AP119+BL119+BR119+BX119+CC119</f>
        <v>0</v>
      </c>
      <c r="DW119" s="0" t="n">
        <f aca="false">CQ119+DL119</f>
        <v>0</v>
      </c>
      <c r="DX119" s="0" t="n">
        <f aca="false">AQ119+BM119+BS119+BY119+CD119</f>
        <v>0</v>
      </c>
      <c r="DY119" s="0" t="n">
        <f aca="false">CR119+DM119</f>
        <v>0</v>
      </c>
      <c r="DZ119" s="0" t="n">
        <f aca="false">AR119+BN119+BT119+BZ119+CE119</f>
        <v>0</v>
      </c>
      <c r="EA119" s="0" t="n">
        <f aca="false">DI119-DN119</f>
        <v>0</v>
      </c>
      <c r="EB119" s="0" t="n">
        <f aca="false">CH119+EA119</f>
        <v>0</v>
      </c>
      <c r="EC119" s="0" t="n">
        <f aca="false">R119-I119-MAX(-M119,0)-J119-K119-L119</f>
        <v>0</v>
      </c>
      <c r="ED119" s="0" t="n">
        <f aca="false">R119+S119+CM119+DH119-CG119-DT119-DU119-DW119-DY119-DV119-DX119-DZ119-EB119</f>
        <v>0</v>
      </c>
      <c r="EE119" s="0" t="n">
        <f aca="false">IF(AND(EB119&gt;0.000001,DP119+DQ119+DR119+DS119&gt;0.000001),1,0)</f>
        <v>0</v>
      </c>
    </row>
    <row r="120" customFormat="false" ht="15" hidden="false" customHeight="false" outlineLevel="0" collapsed="false">
      <c r="A120" s="0" t="n">
        <f aca="false">ROW()-5</f>
        <v>115</v>
      </c>
      <c r="B120" s="0" t="n">
        <f aca="false">Inputs!$B$11+(Inputs!$B$12-Inputs!$B$11)*(1-EXP(-A120/Inputs!$B$13))+Inputs!$B$8</f>
        <v>0.032587135455662</v>
      </c>
      <c r="C120" s="0" t="n">
        <f aca="false">CZ119</f>
        <v>0</v>
      </c>
      <c r="D120" s="0" t="n">
        <f aca="false">DA119</f>
        <v>0</v>
      </c>
      <c r="E120" s="0" t="n">
        <f aca="false">DB119</f>
        <v>0</v>
      </c>
      <c r="F120" s="0" t="n">
        <f aca="false">IF(Inputs!$B$22=1,B120+Inputs!$B$23,Inputs!$B$23)/12</f>
        <v>0.00363226128797184</v>
      </c>
      <c r="G120" s="0" t="n">
        <f aca="false">IF(Inputs!$B$27=1,B120+Inputs!$B$28,Inputs!$B$28)/12</f>
        <v>0.00459059462130517</v>
      </c>
      <c r="H120" s="0" t="n">
        <f aca="false">IF(Inputs!$B$32=1,B120+Inputs!$B$33,Inputs!$B$33)/12</f>
        <v>0.00625</v>
      </c>
      <c r="I120" s="0" t="n">
        <f aca="false">Pool!BT120*Inputs!$B$14/12</f>
        <v>0</v>
      </c>
      <c r="J120" s="0" t="n">
        <f aca="false">C120*F120</f>
        <v>0</v>
      </c>
      <c r="K120" s="0" t="n">
        <f aca="false">D120*G120</f>
        <v>0</v>
      </c>
      <c r="L120" s="0" t="n">
        <f aca="false">E120*H120</f>
        <v>0</v>
      </c>
      <c r="M120" s="0" t="n">
        <f aca="false">Inputs!$B$17*(C120*Inputs!$B$22+D120*Inputs!$B$27+E120*Inputs!$B$32)*(B120-Inputs!$B$18)/12</f>
        <v>-0</v>
      </c>
      <c r="N120" s="0" t="n">
        <f aca="false">DP119+I120+MAX(-M120,0)</f>
        <v>0</v>
      </c>
      <c r="O120" s="0" t="n">
        <f aca="false">DQ119+J120</f>
        <v>0</v>
      </c>
      <c r="P120" s="0" t="n">
        <f aca="false">DR119+K120</f>
        <v>0</v>
      </c>
      <c r="Q120" s="0" t="n">
        <f aca="false">DS119+L120</f>
        <v>0</v>
      </c>
      <c r="R120" s="0" t="n">
        <f aca="false">Pool!BV120+MAX(M120,0)</f>
        <v>0</v>
      </c>
      <c r="S120" s="0" t="n">
        <f aca="false">Pool!BW120+Pool!BX120+Pool!BZ120</f>
        <v>0</v>
      </c>
      <c r="T120" s="0" t="n">
        <f aca="false">MAX(T119,BG119)</f>
        <v>1</v>
      </c>
      <c r="U120" s="0" t="n">
        <f aca="false">MIN(C120,S120)</f>
        <v>0</v>
      </c>
      <c r="V120" s="0" t="n">
        <f aca="false">MIN(D120,S120-U120)</f>
        <v>0</v>
      </c>
      <c r="W120" s="0" t="n">
        <f aca="false">MIN(E120,S120-U120-V120)</f>
        <v>0</v>
      </c>
      <c r="X120" s="0" t="n">
        <f aca="false">IF(C120-(0)&gt;Inputs!$B$19,1,0)</f>
        <v>0</v>
      </c>
      <c r="Y120" s="0" t="n">
        <f aca="false">IF(D120-(0)&gt;Inputs!$B$19,1,0)</f>
        <v>0</v>
      </c>
      <c r="Z120" s="0" t="n">
        <f aca="false">IF(E120-(0)&gt;Inputs!$B$19,1,0)</f>
        <v>0</v>
      </c>
      <c r="AA120" s="0" t="n">
        <f aca="false">IF((X120*C120+Y120*D120+Z120*E120)&gt;0,MIN(C120-(0),S120*X120*C120/(X120*C120+Y120*D120+Z120*E120)),0)</f>
        <v>0</v>
      </c>
      <c r="AB120" s="0" t="n">
        <f aca="false">IF((X120*C120+Y120*D120+Z120*E120)&gt;0,MIN(D120-(0),S120*Y120*D120/(X120*C120+Y120*D120+Z120*E120)),0)</f>
        <v>0</v>
      </c>
      <c r="AC120" s="0" t="n">
        <f aca="false">IF((X120*C120+Y120*D120+Z120*E120)&gt;0,MIN(E120-(0),S120*Z120*E120/(X120*C120+Y120*D120+Z120*E120)),0)</f>
        <v>0</v>
      </c>
      <c r="AD120" s="0" t="n">
        <f aca="false">IF(C120-(AA120)&gt;Inputs!$B$19,1,0)</f>
        <v>0</v>
      </c>
      <c r="AE120" s="0" t="n">
        <f aca="false">IF(D120-(AB120)&gt;Inputs!$B$19,1,0)</f>
        <v>0</v>
      </c>
      <c r="AF120" s="0" t="n">
        <f aca="false">IF(E120-(AC120)&gt;Inputs!$B$19,1,0)</f>
        <v>0</v>
      </c>
      <c r="AG120" s="0" t="n">
        <f aca="false">IF((AD120*C120+AE120*D120+AF120*E120)&gt;0,MIN(C120-(AA120),(S120-(AA120+AB120+AC120))*AD120*C120/(AD120*C120+AE120*D120+AF120*E120)),0)</f>
        <v>0</v>
      </c>
      <c r="AH120" s="0" t="n">
        <f aca="false">IF((AD120*C120+AE120*D120+AF120*E120)&gt;0,MIN(D120-(AB120),(S120-(AA120+AB120+AC120))*AE120*D120/(AD120*C120+AE120*D120+AF120*E120)),0)</f>
        <v>0</v>
      </c>
      <c r="AI120" s="0" t="n">
        <f aca="false">IF((AD120*C120+AE120*D120+AF120*E120)&gt;0,MIN(E120-(AC120),(S120-(AA120+AB120+AC120))*AF120*E120/(AD120*C120+AE120*D120+AF120*E120)),0)</f>
        <v>0</v>
      </c>
      <c r="AJ120" s="0" t="n">
        <f aca="false">IF(C120-(AA120+AG120)&gt;Inputs!$B$19,1,0)</f>
        <v>0</v>
      </c>
      <c r="AK120" s="0" t="n">
        <f aca="false">IF(D120-(AB120+AH120)&gt;Inputs!$B$19,1,0)</f>
        <v>0</v>
      </c>
      <c r="AL120" s="0" t="n">
        <f aca="false">IF(E120-(AC120+AI120)&gt;Inputs!$B$19,1,0)</f>
        <v>0</v>
      </c>
      <c r="AM120" s="0" t="n">
        <f aca="false">IF((AJ120*C120+AK120*D120+AL120*E120)&gt;0,MIN(C120-(AA120+AG120),(S120-(AA120+AB120+AC120+AG120+AH120+AI120))*AJ120*C120/(AJ120*C120+AK120*D120+AL120*E120)),0)</f>
        <v>0</v>
      </c>
      <c r="AN120" s="0" t="n">
        <f aca="false">IF((AJ120*C120+AK120*D120+AL120*E120)&gt;0,MIN(D120-(AB120+AH120),(S120-(AA120+AB120+AC120+AG120+AH120+AI120))*AK120*D120/(AJ120*C120+AK120*D120+AL120*E120)),0)</f>
        <v>0</v>
      </c>
      <c r="AO120" s="0" t="n">
        <f aca="false">IF((AJ120*C120+AK120*D120+AL120*E120)&gt;0,MIN(E120-(AC120+AI120),(S120-(AA120+AB120+AC120+AG120+AH120+AI120))*AL120*E120/(AJ120*C120+AK120*D120+AL120*E120)),0)</f>
        <v>0</v>
      </c>
      <c r="AP120" s="0" t="n">
        <f aca="false">IF(T120=1,U120,AA120+AG120+AM120)</f>
        <v>0</v>
      </c>
      <c r="AQ120" s="0" t="n">
        <f aca="false">IF(T120=1,V120,AB120+AH120+AN120)</f>
        <v>0</v>
      </c>
      <c r="AR120" s="0" t="n">
        <f aca="false">IF(T120=1,W120,AC120+AI120+AO120)</f>
        <v>0</v>
      </c>
      <c r="AS120" s="0" t="n">
        <f aca="false">S120-AP120-AQ120-AR120</f>
        <v>0</v>
      </c>
      <c r="AT120" s="0" t="n">
        <f aca="false">C120-AP120</f>
        <v>0</v>
      </c>
      <c r="AU120" s="0" t="n">
        <f aca="false">D120-AQ120</f>
        <v>0</v>
      </c>
      <c r="AV120" s="0" t="n">
        <f aca="false">E120-AR120</f>
        <v>0</v>
      </c>
      <c r="AW120" s="0" t="n">
        <f aca="false">Pool!CB120</f>
        <v>-1.06979314296041E-010</v>
      </c>
      <c r="AX120" s="0" t="n">
        <f aca="false">IF((AT120)&gt;Inputs!$B$19,AW120/(AT120),1000000000)</f>
        <v>1000000000</v>
      </c>
      <c r="AY120" s="0" t="n">
        <f aca="false">IF((J120)&gt;0.000000001,(R120-I120-MAX(-M120,0))/(J120),1000000000)</f>
        <v>1000000000</v>
      </c>
      <c r="AZ120" s="0" t="n">
        <f aca="false">IF(OR(AX120&lt;Inputs!$B$24,AY120&lt;Inputs!$B$25),1,0)</f>
        <v>0</v>
      </c>
      <c r="BA120" s="0" t="n">
        <f aca="false">IF((AT120+AU120)&gt;Inputs!$B$19,AW120/(AT120+AU120),1000000000)</f>
        <v>1000000000</v>
      </c>
      <c r="BB120" s="0" t="n">
        <f aca="false">IF((J120+K120)&gt;0.000000001,(R120-I120-MAX(-M120,0))/(J120+K120),1000000000)</f>
        <v>1000000000</v>
      </c>
      <c r="BC120" s="0" t="n">
        <f aca="false">IF(OR(BA120&lt;Inputs!$B$29,BB120&lt;Inputs!$B$30),1,0)</f>
        <v>0</v>
      </c>
      <c r="BD120" s="0" t="n">
        <f aca="false">IF((AT120+AU120+AV120)&gt;Inputs!$B$19,AW120/(AT120+AU120+AV120),1000000000)</f>
        <v>1000000000</v>
      </c>
      <c r="BE120" s="0" t="n">
        <f aca="false">IF((J120+K120+L120)&gt;0.000000001,(R120-I120-MAX(-M120,0))/(J120+K120+L120),1000000000)</f>
        <v>1000000000</v>
      </c>
      <c r="BF120" s="0" t="n">
        <f aca="false">IF(OR(BD120&lt;Inputs!$B$34,BE120&lt;Inputs!$B$35),1,0)</f>
        <v>0</v>
      </c>
      <c r="BG120" s="0" t="n">
        <f aca="false">MAX(AZ120,BC120,BF120)</f>
        <v>0</v>
      </c>
      <c r="BH120" s="0" t="n">
        <f aca="false">MIN(R120,N120)</f>
        <v>0</v>
      </c>
      <c r="BI120" s="0" t="n">
        <f aca="false">R120-BH120</f>
        <v>0</v>
      </c>
      <c r="BJ120" s="0" t="n">
        <f aca="false">MIN(BI120,O120)</f>
        <v>0</v>
      </c>
      <c r="BK120" s="0" t="n">
        <f aca="false">BI120-BJ120</f>
        <v>0</v>
      </c>
      <c r="BL120" s="0" t="n">
        <f aca="false">AZ120*MIN(AT120,BK120)</f>
        <v>0</v>
      </c>
      <c r="BM120" s="0" t="n">
        <f aca="false">AZ120*MIN(AU120,BK120-BL120)</f>
        <v>0</v>
      </c>
      <c r="BN120" s="0" t="n">
        <f aca="false">AZ120*MIN(AV120,BK120-BL120-BM120)</f>
        <v>0</v>
      </c>
      <c r="BO120" s="0" t="n">
        <f aca="false">BK120-BL120-BM120-BN120</f>
        <v>0</v>
      </c>
      <c r="BP120" s="0" t="n">
        <f aca="false">MIN(BO120,P120)</f>
        <v>0</v>
      </c>
      <c r="BQ120" s="0" t="n">
        <f aca="false">BO120-BP120</f>
        <v>0</v>
      </c>
      <c r="BR120" s="0" t="n">
        <f aca="false">BC120*MIN((AT120-BL120),BQ120)</f>
        <v>0</v>
      </c>
      <c r="BS120" s="0" t="n">
        <f aca="false">BC120*MIN((AU120-BM120),BQ120-BR120)</f>
        <v>0</v>
      </c>
      <c r="BT120" s="0" t="n">
        <f aca="false">BC120*MIN((AV120-BN120),BQ120-BR120-BS120)</f>
        <v>0</v>
      </c>
      <c r="BU120" s="0" t="n">
        <f aca="false">BQ120-BR120-BS120-BT120</f>
        <v>0</v>
      </c>
      <c r="BV120" s="0" t="n">
        <f aca="false">MIN(BU120,Q120)</f>
        <v>0</v>
      </c>
      <c r="BW120" s="0" t="n">
        <f aca="false">BU120-BV120</f>
        <v>0</v>
      </c>
      <c r="BX120" s="0" t="n">
        <f aca="false">BF120*MIN((AT120-BL120-BR120),BW120)</f>
        <v>0</v>
      </c>
      <c r="BY120" s="0" t="n">
        <f aca="false">BF120*MIN((AU120-BM120-BS120),BW120-BX120)</f>
        <v>0</v>
      </c>
      <c r="BZ120" s="0" t="n">
        <f aca="false">BF120*MIN((AV120-BN120-BT120),BW120-BX120-BY120)</f>
        <v>0</v>
      </c>
      <c r="CA120" s="0" t="n">
        <f aca="false">BW120-BX120-BY120-BZ120</f>
        <v>0</v>
      </c>
      <c r="CB120" s="0" t="n">
        <f aca="false">MAX(0,AT120+AU120+AV120-BL120-BM120-BN120-BR120-BS120-BT120-BX120-BY120-BZ120-AW120)</f>
        <v>1.06979314296041E-010</v>
      </c>
      <c r="CC120" s="0" t="n">
        <f aca="false">1*MIN((AT120-BL120-BR120-BX120),MIN(CA120,CB120))</f>
        <v>0</v>
      </c>
      <c r="CD120" s="0" t="n">
        <f aca="false">1*MIN((AU120-BM120-BS120-BY120),MIN(CA120,CB120)-CC120)</f>
        <v>0</v>
      </c>
      <c r="CE120" s="0" t="n">
        <f aca="false">1*MIN((AV120-BN120-BT120-BZ120),MIN(CA120,CB120)-CC120-CD120)</f>
        <v>0</v>
      </c>
      <c r="CF120" s="0" t="n">
        <f aca="false">CA120-CC120-CD120-CE120</f>
        <v>0</v>
      </c>
      <c r="CG120" s="0" t="n">
        <f aca="false">IF(C120+D120+E120&gt;Inputs!$B$19,MIN(CF120,MAX(0,Inputs!$B$15-DO119)),0)</f>
        <v>0</v>
      </c>
      <c r="CH120" s="0" t="n">
        <f aca="false">CF120-CG120</f>
        <v>0</v>
      </c>
      <c r="CI120" s="0" t="n">
        <f aca="false">DO119+CG120</f>
        <v>0</v>
      </c>
      <c r="CJ120" s="0" t="n">
        <f aca="false">MIN(MAX(N120-BH120,0),CI120)</f>
        <v>0</v>
      </c>
      <c r="CK120" s="0" t="n">
        <f aca="false">MIN(MAX(O120-BJ120,0),CI120-CJ120)</f>
        <v>0</v>
      </c>
      <c r="CL120" s="0" t="n">
        <f aca="false">MIN(MAX(P120-BP120,0),CI120-CJ120-CK120)</f>
        <v>0</v>
      </c>
      <c r="CM120" s="0" t="n">
        <f aca="false">CJ120+CK120+CL120</f>
        <v>0</v>
      </c>
      <c r="CN120" s="0" t="n">
        <f aca="false">CI120-CM120</f>
        <v>0</v>
      </c>
      <c r="CO120" s="0" t="n">
        <f aca="false">BH120+CJ120</f>
        <v>0</v>
      </c>
      <c r="CP120" s="0" t="n">
        <f aca="false">BJ120+CK120</f>
        <v>0</v>
      </c>
      <c r="CQ120" s="0" t="n">
        <f aca="false">BP120+CL120</f>
        <v>0</v>
      </c>
      <c r="CR120" s="0" t="n">
        <f aca="false">BV120</f>
        <v>0</v>
      </c>
      <c r="CS120" s="0" t="n">
        <f aca="false">AT120-BL120-BR120-BX120-CC120</f>
        <v>0</v>
      </c>
      <c r="CT120" s="0" t="n">
        <f aca="false">AU120-BM120-BS120-BY120-CD120</f>
        <v>0</v>
      </c>
      <c r="CU120" s="0" t="n">
        <f aca="false">AV120-BN120-BT120-BZ120-CE120</f>
        <v>0</v>
      </c>
      <c r="CV120" s="0" t="n">
        <f aca="false">MAX(0,CS120+CT120+CU120-AW120)</f>
        <v>1.06979314296041E-010</v>
      </c>
      <c r="CW120" s="0" t="n">
        <f aca="false">MIN(CU120,CV120)</f>
        <v>0</v>
      </c>
      <c r="CX120" s="0" t="n">
        <f aca="false">MIN(CT120,CV120-CW120)</f>
        <v>0</v>
      </c>
      <c r="CY120" s="0" t="n">
        <f aca="false">MIN(CS120,CV120-CW120-CX120)</f>
        <v>0</v>
      </c>
      <c r="CZ120" s="0" t="n">
        <f aca="false">IF(CS120-CY120&lt;Inputs!$B$19,0,CS120-CY120)</f>
        <v>0</v>
      </c>
      <c r="DA120" s="0" t="n">
        <f aca="false">IF(CT120-CX120&lt;Inputs!$B$19,0,CT120-CX120)</f>
        <v>0</v>
      </c>
      <c r="DB120" s="0" t="n">
        <f aca="false">IF(CU120-CW120&lt;Inputs!$B$19,0,CU120-CW120)</f>
        <v>0</v>
      </c>
      <c r="DC120" s="0" t="n">
        <f aca="false">N120-CO120</f>
        <v>0</v>
      </c>
      <c r="DD120" s="0" t="n">
        <f aca="false">O120-CP120</f>
        <v>0</v>
      </c>
      <c r="DE120" s="0" t="n">
        <f aca="false">P120-CQ120</f>
        <v>0</v>
      </c>
      <c r="DF120" s="0" t="n">
        <f aca="false">Q120-CR120</f>
        <v>0</v>
      </c>
      <c r="DG120" s="0" t="n">
        <f aca="false">IF(CZ120+DA120+DB120&lt;=Inputs!$B$19,1,0)</f>
        <v>1</v>
      </c>
      <c r="DH120" s="0" t="n">
        <f aca="false">DG120*CN120</f>
        <v>0</v>
      </c>
      <c r="DI120" s="0" t="n">
        <f aca="false">DG120*(AS120+DH120)</f>
        <v>0</v>
      </c>
      <c r="DJ120" s="0" t="n">
        <f aca="false">DG120*MIN(DC120,DI120)</f>
        <v>0</v>
      </c>
      <c r="DK120" s="0" t="n">
        <f aca="false">DG120*MIN(DD120,DI120-DJ120)</f>
        <v>0</v>
      </c>
      <c r="DL120" s="0" t="n">
        <f aca="false">DG120*MIN(DE120,DI120-DJ120-DK120)</f>
        <v>0</v>
      </c>
      <c r="DM120" s="0" t="n">
        <f aca="false">DG120*MIN(DF120,DI120-DJ120-DK120-DL120)</f>
        <v>0</v>
      </c>
      <c r="DN120" s="0" t="n">
        <f aca="false">DJ120+DK120+DL120+DM120</f>
        <v>0</v>
      </c>
      <c r="DO120" s="0" t="n">
        <f aca="false">CN120-DH120</f>
        <v>0</v>
      </c>
      <c r="DP120" s="0" t="n">
        <f aca="false">DC120-DJ120</f>
        <v>0</v>
      </c>
      <c r="DQ120" s="0" t="n">
        <f aca="false">DD120-DK120</f>
        <v>0</v>
      </c>
      <c r="DR120" s="0" t="n">
        <f aca="false">DE120-DL120</f>
        <v>0</v>
      </c>
      <c r="DS120" s="0" t="n">
        <f aca="false">DF120-DM120</f>
        <v>0</v>
      </c>
      <c r="DT120" s="0" t="n">
        <f aca="false">CO120+DJ120</f>
        <v>0</v>
      </c>
      <c r="DU120" s="0" t="n">
        <f aca="false">CP120+DK120</f>
        <v>0</v>
      </c>
      <c r="DV120" s="0" t="n">
        <f aca="false">AP120+BL120+BR120+BX120+CC120</f>
        <v>0</v>
      </c>
      <c r="DW120" s="0" t="n">
        <f aca="false">CQ120+DL120</f>
        <v>0</v>
      </c>
      <c r="DX120" s="0" t="n">
        <f aca="false">AQ120+BM120+BS120+BY120+CD120</f>
        <v>0</v>
      </c>
      <c r="DY120" s="0" t="n">
        <f aca="false">CR120+DM120</f>
        <v>0</v>
      </c>
      <c r="DZ120" s="0" t="n">
        <f aca="false">AR120+BN120+BT120+BZ120+CE120</f>
        <v>0</v>
      </c>
      <c r="EA120" s="0" t="n">
        <f aca="false">DI120-DN120</f>
        <v>0</v>
      </c>
      <c r="EB120" s="0" t="n">
        <f aca="false">CH120+EA120</f>
        <v>0</v>
      </c>
      <c r="EC120" s="0" t="n">
        <f aca="false">R120-I120-MAX(-M120,0)-J120-K120-L120</f>
        <v>0</v>
      </c>
      <c r="ED120" s="0" t="n">
        <f aca="false">R120+S120+CM120+DH120-CG120-DT120-DU120-DW120-DY120-DV120-DX120-DZ120-EB120</f>
        <v>0</v>
      </c>
      <c r="EE120" s="0" t="n">
        <f aca="false">IF(AND(EB120&gt;0.000001,DP120+DQ120+DR120+DS120&gt;0.000001),1,0)</f>
        <v>0</v>
      </c>
    </row>
    <row r="121" customFormat="false" ht="15" hidden="false" customHeight="false" outlineLevel="0" collapsed="false">
      <c r="A121" s="0" t="n">
        <f aca="false">ROW()-5</f>
        <v>116</v>
      </c>
      <c r="B121" s="0" t="n">
        <f aca="false">Inputs!$B$11+(Inputs!$B$12-Inputs!$B$11)*(1-EXP(-A121/Inputs!$B$13))+Inputs!$B$8</f>
        <v>0.0325835794104114</v>
      </c>
      <c r="C121" s="0" t="n">
        <f aca="false">CZ120</f>
        <v>0</v>
      </c>
      <c r="D121" s="0" t="n">
        <f aca="false">DA120</f>
        <v>0</v>
      </c>
      <c r="E121" s="0" t="n">
        <f aca="false">DB120</f>
        <v>0</v>
      </c>
      <c r="F121" s="0" t="n">
        <f aca="false">IF(Inputs!$B$22=1,B121+Inputs!$B$23,Inputs!$B$23)/12</f>
        <v>0.00363196495086762</v>
      </c>
      <c r="G121" s="0" t="n">
        <f aca="false">IF(Inputs!$B$27=1,B121+Inputs!$B$28,Inputs!$B$28)/12</f>
        <v>0.00459029828420095</v>
      </c>
      <c r="H121" s="0" t="n">
        <f aca="false">IF(Inputs!$B$32=1,B121+Inputs!$B$33,Inputs!$B$33)/12</f>
        <v>0.00625</v>
      </c>
      <c r="I121" s="0" t="n">
        <f aca="false">Pool!BT121*Inputs!$B$14/12</f>
        <v>0</v>
      </c>
      <c r="J121" s="0" t="n">
        <f aca="false">C121*F121</f>
        <v>0</v>
      </c>
      <c r="K121" s="0" t="n">
        <f aca="false">D121*G121</f>
        <v>0</v>
      </c>
      <c r="L121" s="0" t="n">
        <f aca="false">E121*H121</f>
        <v>0</v>
      </c>
      <c r="M121" s="0" t="n">
        <f aca="false">Inputs!$B$17*(C121*Inputs!$B$22+D121*Inputs!$B$27+E121*Inputs!$B$32)*(B121-Inputs!$B$18)/12</f>
        <v>-0</v>
      </c>
      <c r="N121" s="0" t="n">
        <f aca="false">DP120+I121+MAX(-M121,0)</f>
        <v>0</v>
      </c>
      <c r="O121" s="0" t="n">
        <f aca="false">DQ120+J121</f>
        <v>0</v>
      </c>
      <c r="P121" s="0" t="n">
        <f aca="false">DR120+K121</f>
        <v>0</v>
      </c>
      <c r="Q121" s="0" t="n">
        <f aca="false">DS120+L121</f>
        <v>0</v>
      </c>
      <c r="R121" s="0" t="n">
        <f aca="false">Pool!BV121+MAX(M121,0)</f>
        <v>0</v>
      </c>
      <c r="S121" s="0" t="n">
        <f aca="false">Pool!BW121+Pool!BX121+Pool!BZ121</f>
        <v>0</v>
      </c>
      <c r="T121" s="0" t="n">
        <f aca="false">MAX(T120,BG120)</f>
        <v>1</v>
      </c>
      <c r="U121" s="0" t="n">
        <f aca="false">MIN(C121,S121)</f>
        <v>0</v>
      </c>
      <c r="V121" s="0" t="n">
        <f aca="false">MIN(D121,S121-U121)</f>
        <v>0</v>
      </c>
      <c r="W121" s="0" t="n">
        <f aca="false">MIN(E121,S121-U121-V121)</f>
        <v>0</v>
      </c>
      <c r="X121" s="0" t="n">
        <f aca="false">IF(C121-(0)&gt;Inputs!$B$19,1,0)</f>
        <v>0</v>
      </c>
      <c r="Y121" s="0" t="n">
        <f aca="false">IF(D121-(0)&gt;Inputs!$B$19,1,0)</f>
        <v>0</v>
      </c>
      <c r="Z121" s="0" t="n">
        <f aca="false">IF(E121-(0)&gt;Inputs!$B$19,1,0)</f>
        <v>0</v>
      </c>
      <c r="AA121" s="0" t="n">
        <f aca="false">IF((X121*C121+Y121*D121+Z121*E121)&gt;0,MIN(C121-(0),S121*X121*C121/(X121*C121+Y121*D121+Z121*E121)),0)</f>
        <v>0</v>
      </c>
      <c r="AB121" s="0" t="n">
        <f aca="false">IF((X121*C121+Y121*D121+Z121*E121)&gt;0,MIN(D121-(0),S121*Y121*D121/(X121*C121+Y121*D121+Z121*E121)),0)</f>
        <v>0</v>
      </c>
      <c r="AC121" s="0" t="n">
        <f aca="false">IF((X121*C121+Y121*D121+Z121*E121)&gt;0,MIN(E121-(0),S121*Z121*E121/(X121*C121+Y121*D121+Z121*E121)),0)</f>
        <v>0</v>
      </c>
      <c r="AD121" s="0" t="n">
        <f aca="false">IF(C121-(AA121)&gt;Inputs!$B$19,1,0)</f>
        <v>0</v>
      </c>
      <c r="AE121" s="0" t="n">
        <f aca="false">IF(D121-(AB121)&gt;Inputs!$B$19,1,0)</f>
        <v>0</v>
      </c>
      <c r="AF121" s="0" t="n">
        <f aca="false">IF(E121-(AC121)&gt;Inputs!$B$19,1,0)</f>
        <v>0</v>
      </c>
      <c r="AG121" s="0" t="n">
        <f aca="false">IF((AD121*C121+AE121*D121+AF121*E121)&gt;0,MIN(C121-(AA121),(S121-(AA121+AB121+AC121))*AD121*C121/(AD121*C121+AE121*D121+AF121*E121)),0)</f>
        <v>0</v>
      </c>
      <c r="AH121" s="0" t="n">
        <f aca="false">IF((AD121*C121+AE121*D121+AF121*E121)&gt;0,MIN(D121-(AB121),(S121-(AA121+AB121+AC121))*AE121*D121/(AD121*C121+AE121*D121+AF121*E121)),0)</f>
        <v>0</v>
      </c>
      <c r="AI121" s="0" t="n">
        <f aca="false">IF((AD121*C121+AE121*D121+AF121*E121)&gt;0,MIN(E121-(AC121),(S121-(AA121+AB121+AC121))*AF121*E121/(AD121*C121+AE121*D121+AF121*E121)),0)</f>
        <v>0</v>
      </c>
      <c r="AJ121" s="0" t="n">
        <f aca="false">IF(C121-(AA121+AG121)&gt;Inputs!$B$19,1,0)</f>
        <v>0</v>
      </c>
      <c r="AK121" s="0" t="n">
        <f aca="false">IF(D121-(AB121+AH121)&gt;Inputs!$B$19,1,0)</f>
        <v>0</v>
      </c>
      <c r="AL121" s="0" t="n">
        <f aca="false">IF(E121-(AC121+AI121)&gt;Inputs!$B$19,1,0)</f>
        <v>0</v>
      </c>
      <c r="AM121" s="0" t="n">
        <f aca="false">IF((AJ121*C121+AK121*D121+AL121*E121)&gt;0,MIN(C121-(AA121+AG121),(S121-(AA121+AB121+AC121+AG121+AH121+AI121))*AJ121*C121/(AJ121*C121+AK121*D121+AL121*E121)),0)</f>
        <v>0</v>
      </c>
      <c r="AN121" s="0" t="n">
        <f aca="false">IF((AJ121*C121+AK121*D121+AL121*E121)&gt;0,MIN(D121-(AB121+AH121),(S121-(AA121+AB121+AC121+AG121+AH121+AI121))*AK121*D121/(AJ121*C121+AK121*D121+AL121*E121)),0)</f>
        <v>0</v>
      </c>
      <c r="AO121" s="0" t="n">
        <f aca="false">IF((AJ121*C121+AK121*D121+AL121*E121)&gt;0,MIN(E121-(AC121+AI121),(S121-(AA121+AB121+AC121+AG121+AH121+AI121))*AL121*E121/(AJ121*C121+AK121*D121+AL121*E121)),0)</f>
        <v>0</v>
      </c>
      <c r="AP121" s="0" t="n">
        <f aca="false">IF(T121=1,U121,AA121+AG121+AM121)</f>
        <v>0</v>
      </c>
      <c r="AQ121" s="0" t="n">
        <f aca="false">IF(T121=1,V121,AB121+AH121+AN121)</f>
        <v>0</v>
      </c>
      <c r="AR121" s="0" t="n">
        <f aca="false">IF(T121=1,W121,AC121+AI121+AO121)</f>
        <v>0</v>
      </c>
      <c r="AS121" s="0" t="n">
        <f aca="false">S121-AP121-AQ121-AR121</f>
        <v>0</v>
      </c>
      <c r="AT121" s="0" t="n">
        <f aca="false">C121-AP121</f>
        <v>0</v>
      </c>
      <c r="AU121" s="0" t="n">
        <f aca="false">D121-AQ121</f>
        <v>0</v>
      </c>
      <c r="AV121" s="0" t="n">
        <f aca="false">E121-AR121</f>
        <v>0</v>
      </c>
      <c r="AW121" s="0" t="n">
        <f aca="false">Pool!CB121</f>
        <v>-1.06979314296041E-010</v>
      </c>
      <c r="AX121" s="0" t="n">
        <f aca="false">IF((AT121)&gt;Inputs!$B$19,AW121/(AT121),1000000000)</f>
        <v>1000000000</v>
      </c>
      <c r="AY121" s="0" t="n">
        <f aca="false">IF((J121)&gt;0.000000001,(R121-I121-MAX(-M121,0))/(J121),1000000000)</f>
        <v>1000000000</v>
      </c>
      <c r="AZ121" s="0" t="n">
        <f aca="false">IF(OR(AX121&lt;Inputs!$B$24,AY121&lt;Inputs!$B$25),1,0)</f>
        <v>0</v>
      </c>
      <c r="BA121" s="0" t="n">
        <f aca="false">IF((AT121+AU121)&gt;Inputs!$B$19,AW121/(AT121+AU121),1000000000)</f>
        <v>1000000000</v>
      </c>
      <c r="BB121" s="0" t="n">
        <f aca="false">IF((J121+K121)&gt;0.000000001,(R121-I121-MAX(-M121,0))/(J121+K121),1000000000)</f>
        <v>1000000000</v>
      </c>
      <c r="BC121" s="0" t="n">
        <f aca="false">IF(OR(BA121&lt;Inputs!$B$29,BB121&lt;Inputs!$B$30),1,0)</f>
        <v>0</v>
      </c>
      <c r="BD121" s="0" t="n">
        <f aca="false">IF((AT121+AU121+AV121)&gt;Inputs!$B$19,AW121/(AT121+AU121+AV121),1000000000)</f>
        <v>1000000000</v>
      </c>
      <c r="BE121" s="0" t="n">
        <f aca="false">IF((J121+K121+L121)&gt;0.000000001,(R121-I121-MAX(-M121,0))/(J121+K121+L121),1000000000)</f>
        <v>1000000000</v>
      </c>
      <c r="BF121" s="0" t="n">
        <f aca="false">IF(OR(BD121&lt;Inputs!$B$34,BE121&lt;Inputs!$B$35),1,0)</f>
        <v>0</v>
      </c>
      <c r="BG121" s="0" t="n">
        <f aca="false">MAX(AZ121,BC121,BF121)</f>
        <v>0</v>
      </c>
      <c r="BH121" s="0" t="n">
        <f aca="false">MIN(R121,N121)</f>
        <v>0</v>
      </c>
      <c r="BI121" s="0" t="n">
        <f aca="false">R121-BH121</f>
        <v>0</v>
      </c>
      <c r="BJ121" s="0" t="n">
        <f aca="false">MIN(BI121,O121)</f>
        <v>0</v>
      </c>
      <c r="BK121" s="0" t="n">
        <f aca="false">BI121-BJ121</f>
        <v>0</v>
      </c>
      <c r="BL121" s="0" t="n">
        <f aca="false">AZ121*MIN(AT121,BK121)</f>
        <v>0</v>
      </c>
      <c r="BM121" s="0" t="n">
        <f aca="false">AZ121*MIN(AU121,BK121-BL121)</f>
        <v>0</v>
      </c>
      <c r="BN121" s="0" t="n">
        <f aca="false">AZ121*MIN(AV121,BK121-BL121-BM121)</f>
        <v>0</v>
      </c>
      <c r="BO121" s="0" t="n">
        <f aca="false">BK121-BL121-BM121-BN121</f>
        <v>0</v>
      </c>
      <c r="BP121" s="0" t="n">
        <f aca="false">MIN(BO121,P121)</f>
        <v>0</v>
      </c>
      <c r="BQ121" s="0" t="n">
        <f aca="false">BO121-BP121</f>
        <v>0</v>
      </c>
      <c r="BR121" s="0" t="n">
        <f aca="false">BC121*MIN((AT121-BL121),BQ121)</f>
        <v>0</v>
      </c>
      <c r="BS121" s="0" t="n">
        <f aca="false">BC121*MIN((AU121-BM121),BQ121-BR121)</f>
        <v>0</v>
      </c>
      <c r="BT121" s="0" t="n">
        <f aca="false">BC121*MIN((AV121-BN121),BQ121-BR121-BS121)</f>
        <v>0</v>
      </c>
      <c r="BU121" s="0" t="n">
        <f aca="false">BQ121-BR121-BS121-BT121</f>
        <v>0</v>
      </c>
      <c r="BV121" s="0" t="n">
        <f aca="false">MIN(BU121,Q121)</f>
        <v>0</v>
      </c>
      <c r="BW121" s="0" t="n">
        <f aca="false">BU121-BV121</f>
        <v>0</v>
      </c>
      <c r="BX121" s="0" t="n">
        <f aca="false">BF121*MIN((AT121-BL121-BR121),BW121)</f>
        <v>0</v>
      </c>
      <c r="BY121" s="0" t="n">
        <f aca="false">BF121*MIN((AU121-BM121-BS121),BW121-BX121)</f>
        <v>0</v>
      </c>
      <c r="BZ121" s="0" t="n">
        <f aca="false">BF121*MIN((AV121-BN121-BT121),BW121-BX121-BY121)</f>
        <v>0</v>
      </c>
      <c r="CA121" s="0" t="n">
        <f aca="false">BW121-BX121-BY121-BZ121</f>
        <v>0</v>
      </c>
      <c r="CB121" s="0" t="n">
        <f aca="false">MAX(0,AT121+AU121+AV121-BL121-BM121-BN121-BR121-BS121-BT121-BX121-BY121-BZ121-AW121)</f>
        <v>1.06979314296041E-010</v>
      </c>
      <c r="CC121" s="0" t="n">
        <f aca="false">1*MIN((AT121-BL121-BR121-BX121),MIN(CA121,CB121))</f>
        <v>0</v>
      </c>
      <c r="CD121" s="0" t="n">
        <f aca="false">1*MIN((AU121-BM121-BS121-BY121),MIN(CA121,CB121)-CC121)</f>
        <v>0</v>
      </c>
      <c r="CE121" s="0" t="n">
        <f aca="false">1*MIN((AV121-BN121-BT121-BZ121),MIN(CA121,CB121)-CC121-CD121)</f>
        <v>0</v>
      </c>
      <c r="CF121" s="0" t="n">
        <f aca="false">CA121-CC121-CD121-CE121</f>
        <v>0</v>
      </c>
      <c r="CG121" s="0" t="n">
        <f aca="false">IF(C121+D121+E121&gt;Inputs!$B$19,MIN(CF121,MAX(0,Inputs!$B$15-DO120)),0)</f>
        <v>0</v>
      </c>
      <c r="CH121" s="0" t="n">
        <f aca="false">CF121-CG121</f>
        <v>0</v>
      </c>
      <c r="CI121" s="0" t="n">
        <f aca="false">DO120+CG121</f>
        <v>0</v>
      </c>
      <c r="CJ121" s="0" t="n">
        <f aca="false">MIN(MAX(N121-BH121,0),CI121)</f>
        <v>0</v>
      </c>
      <c r="CK121" s="0" t="n">
        <f aca="false">MIN(MAX(O121-BJ121,0),CI121-CJ121)</f>
        <v>0</v>
      </c>
      <c r="CL121" s="0" t="n">
        <f aca="false">MIN(MAX(P121-BP121,0),CI121-CJ121-CK121)</f>
        <v>0</v>
      </c>
      <c r="CM121" s="0" t="n">
        <f aca="false">CJ121+CK121+CL121</f>
        <v>0</v>
      </c>
      <c r="CN121" s="0" t="n">
        <f aca="false">CI121-CM121</f>
        <v>0</v>
      </c>
      <c r="CO121" s="0" t="n">
        <f aca="false">BH121+CJ121</f>
        <v>0</v>
      </c>
      <c r="CP121" s="0" t="n">
        <f aca="false">BJ121+CK121</f>
        <v>0</v>
      </c>
      <c r="CQ121" s="0" t="n">
        <f aca="false">BP121+CL121</f>
        <v>0</v>
      </c>
      <c r="CR121" s="0" t="n">
        <f aca="false">BV121</f>
        <v>0</v>
      </c>
      <c r="CS121" s="0" t="n">
        <f aca="false">AT121-BL121-BR121-BX121-CC121</f>
        <v>0</v>
      </c>
      <c r="CT121" s="0" t="n">
        <f aca="false">AU121-BM121-BS121-BY121-CD121</f>
        <v>0</v>
      </c>
      <c r="CU121" s="0" t="n">
        <f aca="false">AV121-BN121-BT121-BZ121-CE121</f>
        <v>0</v>
      </c>
      <c r="CV121" s="0" t="n">
        <f aca="false">MAX(0,CS121+CT121+CU121-AW121)</f>
        <v>1.06979314296041E-010</v>
      </c>
      <c r="CW121" s="0" t="n">
        <f aca="false">MIN(CU121,CV121)</f>
        <v>0</v>
      </c>
      <c r="CX121" s="0" t="n">
        <f aca="false">MIN(CT121,CV121-CW121)</f>
        <v>0</v>
      </c>
      <c r="CY121" s="0" t="n">
        <f aca="false">MIN(CS121,CV121-CW121-CX121)</f>
        <v>0</v>
      </c>
      <c r="CZ121" s="0" t="n">
        <f aca="false">IF(CS121-CY121&lt;Inputs!$B$19,0,CS121-CY121)</f>
        <v>0</v>
      </c>
      <c r="DA121" s="0" t="n">
        <f aca="false">IF(CT121-CX121&lt;Inputs!$B$19,0,CT121-CX121)</f>
        <v>0</v>
      </c>
      <c r="DB121" s="0" t="n">
        <f aca="false">IF(CU121-CW121&lt;Inputs!$B$19,0,CU121-CW121)</f>
        <v>0</v>
      </c>
      <c r="DC121" s="0" t="n">
        <f aca="false">N121-CO121</f>
        <v>0</v>
      </c>
      <c r="DD121" s="0" t="n">
        <f aca="false">O121-CP121</f>
        <v>0</v>
      </c>
      <c r="DE121" s="0" t="n">
        <f aca="false">P121-CQ121</f>
        <v>0</v>
      </c>
      <c r="DF121" s="0" t="n">
        <f aca="false">Q121-CR121</f>
        <v>0</v>
      </c>
      <c r="DG121" s="0" t="n">
        <f aca="false">IF(CZ121+DA121+DB121&lt;=Inputs!$B$19,1,0)</f>
        <v>1</v>
      </c>
      <c r="DH121" s="0" t="n">
        <f aca="false">DG121*CN121</f>
        <v>0</v>
      </c>
      <c r="DI121" s="0" t="n">
        <f aca="false">DG121*(AS121+DH121)</f>
        <v>0</v>
      </c>
      <c r="DJ121" s="0" t="n">
        <f aca="false">DG121*MIN(DC121,DI121)</f>
        <v>0</v>
      </c>
      <c r="DK121" s="0" t="n">
        <f aca="false">DG121*MIN(DD121,DI121-DJ121)</f>
        <v>0</v>
      </c>
      <c r="DL121" s="0" t="n">
        <f aca="false">DG121*MIN(DE121,DI121-DJ121-DK121)</f>
        <v>0</v>
      </c>
      <c r="DM121" s="0" t="n">
        <f aca="false">DG121*MIN(DF121,DI121-DJ121-DK121-DL121)</f>
        <v>0</v>
      </c>
      <c r="DN121" s="0" t="n">
        <f aca="false">DJ121+DK121+DL121+DM121</f>
        <v>0</v>
      </c>
      <c r="DO121" s="0" t="n">
        <f aca="false">CN121-DH121</f>
        <v>0</v>
      </c>
      <c r="DP121" s="0" t="n">
        <f aca="false">DC121-DJ121</f>
        <v>0</v>
      </c>
      <c r="DQ121" s="0" t="n">
        <f aca="false">DD121-DK121</f>
        <v>0</v>
      </c>
      <c r="DR121" s="0" t="n">
        <f aca="false">DE121-DL121</f>
        <v>0</v>
      </c>
      <c r="DS121" s="0" t="n">
        <f aca="false">DF121-DM121</f>
        <v>0</v>
      </c>
      <c r="DT121" s="0" t="n">
        <f aca="false">CO121+DJ121</f>
        <v>0</v>
      </c>
      <c r="DU121" s="0" t="n">
        <f aca="false">CP121+DK121</f>
        <v>0</v>
      </c>
      <c r="DV121" s="0" t="n">
        <f aca="false">AP121+BL121+BR121+BX121+CC121</f>
        <v>0</v>
      </c>
      <c r="DW121" s="0" t="n">
        <f aca="false">CQ121+DL121</f>
        <v>0</v>
      </c>
      <c r="DX121" s="0" t="n">
        <f aca="false">AQ121+BM121+BS121+BY121+CD121</f>
        <v>0</v>
      </c>
      <c r="DY121" s="0" t="n">
        <f aca="false">CR121+DM121</f>
        <v>0</v>
      </c>
      <c r="DZ121" s="0" t="n">
        <f aca="false">AR121+BN121+BT121+BZ121+CE121</f>
        <v>0</v>
      </c>
      <c r="EA121" s="0" t="n">
        <f aca="false">DI121-DN121</f>
        <v>0</v>
      </c>
      <c r="EB121" s="0" t="n">
        <f aca="false">CH121+EA121</f>
        <v>0</v>
      </c>
      <c r="EC121" s="0" t="n">
        <f aca="false">R121-I121-MAX(-M121,0)-J121-K121-L121</f>
        <v>0</v>
      </c>
      <c r="ED121" s="0" t="n">
        <f aca="false">R121+S121+CM121+DH121-CG121-DT121-DU121-DW121-DY121-DV121-DX121-DZ121-EB121</f>
        <v>0</v>
      </c>
      <c r="EE121" s="0" t="n">
        <f aca="false">IF(AND(EB121&gt;0.000001,DP121+DQ121+DR121+DS121&gt;0.000001),1,0)</f>
        <v>0</v>
      </c>
    </row>
    <row r="122" customFormat="false" ht="15" hidden="false" customHeight="false" outlineLevel="0" collapsed="false">
      <c r="A122" s="0" t="n">
        <f aca="false">ROW()-5</f>
        <v>117</v>
      </c>
      <c r="B122" s="0" t="n">
        <f aca="false">Inputs!$B$11+(Inputs!$B$12-Inputs!$B$11)*(1-EXP(-A122/Inputs!$B$13))+Inputs!$B$8</f>
        <v>0.032580168489298</v>
      </c>
      <c r="C122" s="0" t="n">
        <f aca="false">CZ121</f>
        <v>0</v>
      </c>
      <c r="D122" s="0" t="n">
        <f aca="false">DA121</f>
        <v>0</v>
      </c>
      <c r="E122" s="0" t="n">
        <f aca="false">DB121</f>
        <v>0</v>
      </c>
      <c r="F122" s="0" t="n">
        <f aca="false">IF(Inputs!$B$22=1,B122+Inputs!$B$23,Inputs!$B$23)/12</f>
        <v>0.0036316807074415</v>
      </c>
      <c r="G122" s="0" t="n">
        <f aca="false">IF(Inputs!$B$27=1,B122+Inputs!$B$28,Inputs!$B$28)/12</f>
        <v>0.00459001404077484</v>
      </c>
      <c r="H122" s="0" t="n">
        <f aca="false">IF(Inputs!$B$32=1,B122+Inputs!$B$33,Inputs!$B$33)/12</f>
        <v>0.00625</v>
      </c>
      <c r="I122" s="0" t="n">
        <f aca="false">Pool!BT122*Inputs!$B$14/12</f>
        <v>0</v>
      </c>
      <c r="J122" s="0" t="n">
        <f aca="false">C122*F122</f>
        <v>0</v>
      </c>
      <c r="K122" s="0" t="n">
        <f aca="false">D122*G122</f>
        <v>0</v>
      </c>
      <c r="L122" s="0" t="n">
        <f aca="false">E122*H122</f>
        <v>0</v>
      </c>
      <c r="M122" s="0" t="n">
        <f aca="false">Inputs!$B$17*(C122*Inputs!$B$22+D122*Inputs!$B$27+E122*Inputs!$B$32)*(B122-Inputs!$B$18)/12</f>
        <v>-0</v>
      </c>
      <c r="N122" s="0" t="n">
        <f aca="false">DP121+I122+MAX(-M122,0)</f>
        <v>0</v>
      </c>
      <c r="O122" s="0" t="n">
        <f aca="false">DQ121+J122</f>
        <v>0</v>
      </c>
      <c r="P122" s="0" t="n">
        <f aca="false">DR121+K122</f>
        <v>0</v>
      </c>
      <c r="Q122" s="0" t="n">
        <f aca="false">DS121+L122</f>
        <v>0</v>
      </c>
      <c r="R122" s="0" t="n">
        <f aca="false">Pool!BV122+MAX(M122,0)</f>
        <v>0</v>
      </c>
      <c r="S122" s="0" t="n">
        <f aca="false">Pool!BW122+Pool!BX122+Pool!BZ122</f>
        <v>0</v>
      </c>
      <c r="T122" s="0" t="n">
        <f aca="false">MAX(T121,BG121)</f>
        <v>1</v>
      </c>
      <c r="U122" s="0" t="n">
        <f aca="false">MIN(C122,S122)</f>
        <v>0</v>
      </c>
      <c r="V122" s="0" t="n">
        <f aca="false">MIN(D122,S122-U122)</f>
        <v>0</v>
      </c>
      <c r="W122" s="0" t="n">
        <f aca="false">MIN(E122,S122-U122-V122)</f>
        <v>0</v>
      </c>
      <c r="X122" s="0" t="n">
        <f aca="false">IF(C122-(0)&gt;Inputs!$B$19,1,0)</f>
        <v>0</v>
      </c>
      <c r="Y122" s="0" t="n">
        <f aca="false">IF(D122-(0)&gt;Inputs!$B$19,1,0)</f>
        <v>0</v>
      </c>
      <c r="Z122" s="0" t="n">
        <f aca="false">IF(E122-(0)&gt;Inputs!$B$19,1,0)</f>
        <v>0</v>
      </c>
      <c r="AA122" s="0" t="n">
        <f aca="false">IF((X122*C122+Y122*D122+Z122*E122)&gt;0,MIN(C122-(0),S122*X122*C122/(X122*C122+Y122*D122+Z122*E122)),0)</f>
        <v>0</v>
      </c>
      <c r="AB122" s="0" t="n">
        <f aca="false">IF((X122*C122+Y122*D122+Z122*E122)&gt;0,MIN(D122-(0),S122*Y122*D122/(X122*C122+Y122*D122+Z122*E122)),0)</f>
        <v>0</v>
      </c>
      <c r="AC122" s="0" t="n">
        <f aca="false">IF((X122*C122+Y122*D122+Z122*E122)&gt;0,MIN(E122-(0),S122*Z122*E122/(X122*C122+Y122*D122+Z122*E122)),0)</f>
        <v>0</v>
      </c>
      <c r="AD122" s="0" t="n">
        <f aca="false">IF(C122-(AA122)&gt;Inputs!$B$19,1,0)</f>
        <v>0</v>
      </c>
      <c r="AE122" s="0" t="n">
        <f aca="false">IF(D122-(AB122)&gt;Inputs!$B$19,1,0)</f>
        <v>0</v>
      </c>
      <c r="AF122" s="0" t="n">
        <f aca="false">IF(E122-(AC122)&gt;Inputs!$B$19,1,0)</f>
        <v>0</v>
      </c>
      <c r="AG122" s="0" t="n">
        <f aca="false">IF((AD122*C122+AE122*D122+AF122*E122)&gt;0,MIN(C122-(AA122),(S122-(AA122+AB122+AC122))*AD122*C122/(AD122*C122+AE122*D122+AF122*E122)),0)</f>
        <v>0</v>
      </c>
      <c r="AH122" s="0" t="n">
        <f aca="false">IF((AD122*C122+AE122*D122+AF122*E122)&gt;0,MIN(D122-(AB122),(S122-(AA122+AB122+AC122))*AE122*D122/(AD122*C122+AE122*D122+AF122*E122)),0)</f>
        <v>0</v>
      </c>
      <c r="AI122" s="0" t="n">
        <f aca="false">IF((AD122*C122+AE122*D122+AF122*E122)&gt;0,MIN(E122-(AC122),(S122-(AA122+AB122+AC122))*AF122*E122/(AD122*C122+AE122*D122+AF122*E122)),0)</f>
        <v>0</v>
      </c>
      <c r="AJ122" s="0" t="n">
        <f aca="false">IF(C122-(AA122+AG122)&gt;Inputs!$B$19,1,0)</f>
        <v>0</v>
      </c>
      <c r="AK122" s="0" t="n">
        <f aca="false">IF(D122-(AB122+AH122)&gt;Inputs!$B$19,1,0)</f>
        <v>0</v>
      </c>
      <c r="AL122" s="0" t="n">
        <f aca="false">IF(E122-(AC122+AI122)&gt;Inputs!$B$19,1,0)</f>
        <v>0</v>
      </c>
      <c r="AM122" s="0" t="n">
        <f aca="false">IF((AJ122*C122+AK122*D122+AL122*E122)&gt;0,MIN(C122-(AA122+AG122),(S122-(AA122+AB122+AC122+AG122+AH122+AI122))*AJ122*C122/(AJ122*C122+AK122*D122+AL122*E122)),0)</f>
        <v>0</v>
      </c>
      <c r="AN122" s="0" t="n">
        <f aca="false">IF((AJ122*C122+AK122*D122+AL122*E122)&gt;0,MIN(D122-(AB122+AH122),(S122-(AA122+AB122+AC122+AG122+AH122+AI122))*AK122*D122/(AJ122*C122+AK122*D122+AL122*E122)),0)</f>
        <v>0</v>
      </c>
      <c r="AO122" s="0" t="n">
        <f aca="false">IF((AJ122*C122+AK122*D122+AL122*E122)&gt;0,MIN(E122-(AC122+AI122),(S122-(AA122+AB122+AC122+AG122+AH122+AI122))*AL122*E122/(AJ122*C122+AK122*D122+AL122*E122)),0)</f>
        <v>0</v>
      </c>
      <c r="AP122" s="0" t="n">
        <f aca="false">IF(T122=1,U122,AA122+AG122+AM122)</f>
        <v>0</v>
      </c>
      <c r="AQ122" s="0" t="n">
        <f aca="false">IF(T122=1,V122,AB122+AH122+AN122)</f>
        <v>0</v>
      </c>
      <c r="AR122" s="0" t="n">
        <f aca="false">IF(T122=1,W122,AC122+AI122+AO122)</f>
        <v>0</v>
      </c>
      <c r="AS122" s="0" t="n">
        <f aca="false">S122-AP122-AQ122-AR122</f>
        <v>0</v>
      </c>
      <c r="AT122" s="0" t="n">
        <f aca="false">C122-AP122</f>
        <v>0</v>
      </c>
      <c r="AU122" s="0" t="n">
        <f aca="false">D122-AQ122</f>
        <v>0</v>
      </c>
      <c r="AV122" s="0" t="n">
        <f aca="false">E122-AR122</f>
        <v>0</v>
      </c>
      <c r="AW122" s="0" t="n">
        <f aca="false">Pool!CB122</f>
        <v>-1.06979314296041E-010</v>
      </c>
      <c r="AX122" s="0" t="n">
        <f aca="false">IF((AT122)&gt;Inputs!$B$19,AW122/(AT122),1000000000)</f>
        <v>1000000000</v>
      </c>
      <c r="AY122" s="0" t="n">
        <f aca="false">IF((J122)&gt;0.000000001,(R122-I122-MAX(-M122,0))/(J122),1000000000)</f>
        <v>1000000000</v>
      </c>
      <c r="AZ122" s="0" t="n">
        <f aca="false">IF(OR(AX122&lt;Inputs!$B$24,AY122&lt;Inputs!$B$25),1,0)</f>
        <v>0</v>
      </c>
      <c r="BA122" s="0" t="n">
        <f aca="false">IF((AT122+AU122)&gt;Inputs!$B$19,AW122/(AT122+AU122),1000000000)</f>
        <v>1000000000</v>
      </c>
      <c r="BB122" s="0" t="n">
        <f aca="false">IF((J122+K122)&gt;0.000000001,(R122-I122-MAX(-M122,0))/(J122+K122),1000000000)</f>
        <v>1000000000</v>
      </c>
      <c r="BC122" s="0" t="n">
        <f aca="false">IF(OR(BA122&lt;Inputs!$B$29,BB122&lt;Inputs!$B$30),1,0)</f>
        <v>0</v>
      </c>
      <c r="BD122" s="0" t="n">
        <f aca="false">IF((AT122+AU122+AV122)&gt;Inputs!$B$19,AW122/(AT122+AU122+AV122),1000000000)</f>
        <v>1000000000</v>
      </c>
      <c r="BE122" s="0" t="n">
        <f aca="false">IF((J122+K122+L122)&gt;0.000000001,(R122-I122-MAX(-M122,0))/(J122+K122+L122),1000000000)</f>
        <v>1000000000</v>
      </c>
      <c r="BF122" s="0" t="n">
        <f aca="false">IF(OR(BD122&lt;Inputs!$B$34,BE122&lt;Inputs!$B$35),1,0)</f>
        <v>0</v>
      </c>
      <c r="BG122" s="0" t="n">
        <f aca="false">MAX(AZ122,BC122,BF122)</f>
        <v>0</v>
      </c>
      <c r="BH122" s="0" t="n">
        <f aca="false">MIN(R122,N122)</f>
        <v>0</v>
      </c>
      <c r="BI122" s="0" t="n">
        <f aca="false">R122-BH122</f>
        <v>0</v>
      </c>
      <c r="BJ122" s="0" t="n">
        <f aca="false">MIN(BI122,O122)</f>
        <v>0</v>
      </c>
      <c r="BK122" s="0" t="n">
        <f aca="false">BI122-BJ122</f>
        <v>0</v>
      </c>
      <c r="BL122" s="0" t="n">
        <f aca="false">AZ122*MIN(AT122,BK122)</f>
        <v>0</v>
      </c>
      <c r="BM122" s="0" t="n">
        <f aca="false">AZ122*MIN(AU122,BK122-BL122)</f>
        <v>0</v>
      </c>
      <c r="BN122" s="0" t="n">
        <f aca="false">AZ122*MIN(AV122,BK122-BL122-BM122)</f>
        <v>0</v>
      </c>
      <c r="BO122" s="0" t="n">
        <f aca="false">BK122-BL122-BM122-BN122</f>
        <v>0</v>
      </c>
      <c r="BP122" s="0" t="n">
        <f aca="false">MIN(BO122,P122)</f>
        <v>0</v>
      </c>
      <c r="BQ122" s="0" t="n">
        <f aca="false">BO122-BP122</f>
        <v>0</v>
      </c>
      <c r="BR122" s="0" t="n">
        <f aca="false">BC122*MIN((AT122-BL122),BQ122)</f>
        <v>0</v>
      </c>
      <c r="BS122" s="0" t="n">
        <f aca="false">BC122*MIN((AU122-BM122),BQ122-BR122)</f>
        <v>0</v>
      </c>
      <c r="BT122" s="0" t="n">
        <f aca="false">BC122*MIN((AV122-BN122),BQ122-BR122-BS122)</f>
        <v>0</v>
      </c>
      <c r="BU122" s="0" t="n">
        <f aca="false">BQ122-BR122-BS122-BT122</f>
        <v>0</v>
      </c>
      <c r="BV122" s="0" t="n">
        <f aca="false">MIN(BU122,Q122)</f>
        <v>0</v>
      </c>
      <c r="BW122" s="0" t="n">
        <f aca="false">BU122-BV122</f>
        <v>0</v>
      </c>
      <c r="BX122" s="0" t="n">
        <f aca="false">BF122*MIN((AT122-BL122-BR122),BW122)</f>
        <v>0</v>
      </c>
      <c r="BY122" s="0" t="n">
        <f aca="false">BF122*MIN((AU122-BM122-BS122),BW122-BX122)</f>
        <v>0</v>
      </c>
      <c r="BZ122" s="0" t="n">
        <f aca="false">BF122*MIN((AV122-BN122-BT122),BW122-BX122-BY122)</f>
        <v>0</v>
      </c>
      <c r="CA122" s="0" t="n">
        <f aca="false">BW122-BX122-BY122-BZ122</f>
        <v>0</v>
      </c>
      <c r="CB122" s="0" t="n">
        <f aca="false">MAX(0,AT122+AU122+AV122-BL122-BM122-BN122-BR122-BS122-BT122-BX122-BY122-BZ122-AW122)</f>
        <v>1.06979314296041E-010</v>
      </c>
      <c r="CC122" s="0" t="n">
        <f aca="false">1*MIN((AT122-BL122-BR122-BX122),MIN(CA122,CB122))</f>
        <v>0</v>
      </c>
      <c r="CD122" s="0" t="n">
        <f aca="false">1*MIN((AU122-BM122-BS122-BY122),MIN(CA122,CB122)-CC122)</f>
        <v>0</v>
      </c>
      <c r="CE122" s="0" t="n">
        <f aca="false">1*MIN((AV122-BN122-BT122-BZ122),MIN(CA122,CB122)-CC122-CD122)</f>
        <v>0</v>
      </c>
      <c r="CF122" s="0" t="n">
        <f aca="false">CA122-CC122-CD122-CE122</f>
        <v>0</v>
      </c>
      <c r="CG122" s="0" t="n">
        <f aca="false">IF(C122+D122+E122&gt;Inputs!$B$19,MIN(CF122,MAX(0,Inputs!$B$15-DO121)),0)</f>
        <v>0</v>
      </c>
      <c r="CH122" s="0" t="n">
        <f aca="false">CF122-CG122</f>
        <v>0</v>
      </c>
      <c r="CI122" s="0" t="n">
        <f aca="false">DO121+CG122</f>
        <v>0</v>
      </c>
      <c r="CJ122" s="0" t="n">
        <f aca="false">MIN(MAX(N122-BH122,0),CI122)</f>
        <v>0</v>
      </c>
      <c r="CK122" s="0" t="n">
        <f aca="false">MIN(MAX(O122-BJ122,0),CI122-CJ122)</f>
        <v>0</v>
      </c>
      <c r="CL122" s="0" t="n">
        <f aca="false">MIN(MAX(P122-BP122,0),CI122-CJ122-CK122)</f>
        <v>0</v>
      </c>
      <c r="CM122" s="0" t="n">
        <f aca="false">CJ122+CK122+CL122</f>
        <v>0</v>
      </c>
      <c r="CN122" s="0" t="n">
        <f aca="false">CI122-CM122</f>
        <v>0</v>
      </c>
      <c r="CO122" s="0" t="n">
        <f aca="false">BH122+CJ122</f>
        <v>0</v>
      </c>
      <c r="CP122" s="0" t="n">
        <f aca="false">BJ122+CK122</f>
        <v>0</v>
      </c>
      <c r="CQ122" s="0" t="n">
        <f aca="false">BP122+CL122</f>
        <v>0</v>
      </c>
      <c r="CR122" s="0" t="n">
        <f aca="false">BV122</f>
        <v>0</v>
      </c>
      <c r="CS122" s="0" t="n">
        <f aca="false">AT122-BL122-BR122-BX122-CC122</f>
        <v>0</v>
      </c>
      <c r="CT122" s="0" t="n">
        <f aca="false">AU122-BM122-BS122-BY122-CD122</f>
        <v>0</v>
      </c>
      <c r="CU122" s="0" t="n">
        <f aca="false">AV122-BN122-BT122-BZ122-CE122</f>
        <v>0</v>
      </c>
      <c r="CV122" s="0" t="n">
        <f aca="false">MAX(0,CS122+CT122+CU122-AW122)</f>
        <v>1.06979314296041E-010</v>
      </c>
      <c r="CW122" s="0" t="n">
        <f aca="false">MIN(CU122,CV122)</f>
        <v>0</v>
      </c>
      <c r="CX122" s="0" t="n">
        <f aca="false">MIN(CT122,CV122-CW122)</f>
        <v>0</v>
      </c>
      <c r="CY122" s="0" t="n">
        <f aca="false">MIN(CS122,CV122-CW122-CX122)</f>
        <v>0</v>
      </c>
      <c r="CZ122" s="0" t="n">
        <f aca="false">IF(CS122-CY122&lt;Inputs!$B$19,0,CS122-CY122)</f>
        <v>0</v>
      </c>
      <c r="DA122" s="0" t="n">
        <f aca="false">IF(CT122-CX122&lt;Inputs!$B$19,0,CT122-CX122)</f>
        <v>0</v>
      </c>
      <c r="DB122" s="0" t="n">
        <f aca="false">IF(CU122-CW122&lt;Inputs!$B$19,0,CU122-CW122)</f>
        <v>0</v>
      </c>
      <c r="DC122" s="0" t="n">
        <f aca="false">N122-CO122</f>
        <v>0</v>
      </c>
      <c r="DD122" s="0" t="n">
        <f aca="false">O122-CP122</f>
        <v>0</v>
      </c>
      <c r="DE122" s="0" t="n">
        <f aca="false">P122-CQ122</f>
        <v>0</v>
      </c>
      <c r="DF122" s="0" t="n">
        <f aca="false">Q122-CR122</f>
        <v>0</v>
      </c>
      <c r="DG122" s="0" t="n">
        <f aca="false">IF(CZ122+DA122+DB122&lt;=Inputs!$B$19,1,0)</f>
        <v>1</v>
      </c>
      <c r="DH122" s="0" t="n">
        <f aca="false">DG122*CN122</f>
        <v>0</v>
      </c>
      <c r="DI122" s="0" t="n">
        <f aca="false">DG122*(AS122+DH122)</f>
        <v>0</v>
      </c>
      <c r="DJ122" s="0" t="n">
        <f aca="false">DG122*MIN(DC122,DI122)</f>
        <v>0</v>
      </c>
      <c r="DK122" s="0" t="n">
        <f aca="false">DG122*MIN(DD122,DI122-DJ122)</f>
        <v>0</v>
      </c>
      <c r="DL122" s="0" t="n">
        <f aca="false">DG122*MIN(DE122,DI122-DJ122-DK122)</f>
        <v>0</v>
      </c>
      <c r="DM122" s="0" t="n">
        <f aca="false">DG122*MIN(DF122,DI122-DJ122-DK122-DL122)</f>
        <v>0</v>
      </c>
      <c r="DN122" s="0" t="n">
        <f aca="false">DJ122+DK122+DL122+DM122</f>
        <v>0</v>
      </c>
      <c r="DO122" s="0" t="n">
        <f aca="false">CN122-DH122</f>
        <v>0</v>
      </c>
      <c r="DP122" s="0" t="n">
        <f aca="false">DC122-DJ122</f>
        <v>0</v>
      </c>
      <c r="DQ122" s="0" t="n">
        <f aca="false">DD122-DK122</f>
        <v>0</v>
      </c>
      <c r="DR122" s="0" t="n">
        <f aca="false">DE122-DL122</f>
        <v>0</v>
      </c>
      <c r="DS122" s="0" t="n">
        <f aca="false">DF122-DM122</f>
        <v>0</v>
      </c>
      <c r="DT122" s="0" t="n">
        <f aca="false">CO122+DJ122</f>
        <v>0</v>
      </c>
      <c r="DU122" s="0" t="n">
        <f aca="false">CP122+DK122</f>
        <v>0</v>
      </c>
      <c r="DV122" s="0" t="n">
        <f aca="false">AP122+BL122+BR122+BX122+CC122</f>
        <v>0</v>
      </c>
      <c r="DW122" s="0" t="n">
        <f aca="false">CQ122+DL122</f>
        <v>0</v>
      </c>
      <c r="DX122" s="0" t="n">
        <f aca="false">AQ122+BM122+BS122+BY122+CD122</f>
        <v>0</v>
      </c>
      <c r="DY122" s="0" t="n">
        <f aca="false">CR122+DM122</f>
        <v>0</v>
      </c>
      <c r="DZ122" s="0" t="n">
        <f aca="false">AR122+BN122+BT122+BZ122+CE122</f>
        <v>0</v>
      </c>
      <c r="EA122" s="0" t="n">
        <f aca="false">DI122-DN122</f>
        <v>0</v>
      </c>
      <c r="EB122" s="0" t="n">
        <f aca="false">CH122+EA122</f>
        <v>0</v>
      </c>
      <c r="EC122" s="0" t="n">
        <f aca="false">R122-I122-MAX(-M122,0)-J122-K122-L122</f>
        <v>0</v>
      </c>
      <c r="ED122" s="0" t="n">
        <f aca="false">R122+S122+CM122+DH122-CG122-DT122-DU122-DW122-DY122-DV122-DX122-DZ122-EB122</f>
        <v>0</v>
      </c>
      <c r="EE122" s="0" t="n">
        <f aca="false">IF(AND(EB122&gt;0.000001,DP122+DQ122+DR122+DS122&gt;0.000001),1,0)</f>
        <v>0</v>
      </c>
    </row>
    <row r="123" customFormat="false" ht="15" hidden="false" customHeight="false" outlineLevel="0" collapsed="false">
      <c r="A123" s="0" t="n">
        <f aca="false">ROW()-5</f>
        <v>118</v>
      </c>
      <c r="B123" s="0" t="n">
        <f aca="false">Inputs!$B$11+(Inputs!$B$12-Inputs!$B$11)*(1-EXP(-A123/Inputs!$B$13))+Inputs!$B$8</f>
        <v>0.032576896769727</v>
      </c>
      <c r="C123" s="0" t="n">
        <f aca="false">CZ122</f>
        <v>0</v>
      </c>
      <c r="D123" s="0" t="n">
        <f aca="false">DA122</f>
        <v>0</v>
      </c>
      <c r="E123" s="0" t="n">
        <f aca="false">DB122</f>
        <v>0</v>
      </c>
      <c r="F123" s="0" t="n">
        <f aca="false">IF(Inputs!$B$22=1,B123+Inputs!$B$23,Inputs!$B$23)/12</f>
        <v>0.00363140806414392</v>
      </c>
      <c r="G123" s="0" t="n">
        <f aca="false">IF(Inputs!$B$27=1,B123+Inputs!$B$28,Inputs!$B$28)/12</f>
        <v>0.00458974139747725</v>
      </c>
      <c r="H123" s="0" t="n">
        <f aca="false">IF(Inputs!$B$32=1,B123+Inputs!$B$33,Inputs!$B$33)/12</f>
        <v>0.00625</v>
      </c>
      <c r="I123" s="0" t="n">
        <f aca="false">Pool!BT123*Inputs!$B$14/12</f>
        <v>0</v>
      </c>
      <c r="J123" s="0" t="n">
        <f aca="false">C123*F123</f>
        <v>0</v>
      </c>
      <c r="K123" s="0" t="n">
        <f aca="false">D123*G123</f>
        <v>0</v>
      </c>
      <c r="L123" s="0" t="n">
        <f aca="false">E123*H123</f>
        <v>0</v>
      </c>
      <c r="M123" s="0" t="n">
        <f aca="false">Inputs!$B$17*(C123*Inputs!$B$22+D123*Inputs!$B$27+E123*Inputs!$B$32)*(B123-Inputs!$B$18)/12</f>
        <v>-0</v>
      </c>
      <c r="N123" s="0" t="n">
        <f aca="false">DP122+I123+MAX(-M123,0)</f>
        <v>0</v>
      </c>
      <c r="O123" s="0" t="n">
        <f aca="false">DQ122+J123</f>
        <v>0</v>
      </c>
      <c r="P123" s="0" t="n">
        <f aca="false">DR122+K123</f>
        <v>0</v>
      </c>
      <c r="Q123" s="0" t="n">
        <f aca="false">DS122+L123</f>
        <v>0</v>
      </c>
      <c r="R123" s="0" t="n">
        <f aca="false">Pool!BV123+MAX(M123,0)</f>
        <v>0</v>
      </c>
      <c r="S123" s="0" t="n">
        <f aca="false">Pool!BW123+Pool!BX123+Pool!BZ123</f>
        <v>0</v>
      </c>
      <c r="T123" s="0" t="n">
        <f aca="false">MAX(T122,BG122)</f>
        <v>1</v>
      </c>
      <c r="U123" s="0" t="n">
        <f aca="false">MIN(C123,S123)</f>
        <v>0</v>
      </c>
      <c r="V123" s="0" t="n">
        <f aca="false">MIN(D123,S123-U123)</f>
        <v>0</v>
      </c>
      <c r="W123" s="0" t="n">
        <f aca="false">MIN(E123,S123-U123-V123)</f>
        <v>0</v>
      </c>
      <c r="X123" s="0" t="n">
        <f aca="false">IF(C123-(0)&gt;Inputs!$B$19,1,0)</f>
        <v>0</v>
      </c>
      <c r="Y123" s="0" t="n">
        <f aca="false">IF(D123-(0)&gt;Inputs!$B$19,1,0)</f>
        <v>0</v>
      </c>
      <c r="Z123" s="0" t="n">
        <f aca="false">IF(E123-(0)&gt;Inputs!$B$19,1,0)</f>
        <v>0</v>
      </c>
      <c r="AA123" s="0" t="n">
        <f aca="false">IF((X123*C123+Y123*D123+Z123*E123)&gt;0,MIN(C123-(0),S123*X123*C123/(X123*C123+Y123*D123+Z123*E123)),0)</f>
        <v>0</v>
      </c>
      <c r="AB123" s="0" t="n">
        <f aca="false">IF((X123*C123+Y123*D123+Z123*E123)&gt;0,MIN(D123-(0),S123*Y123*D123/(X123*C123+Y123*D123+Z123*E123)),0)</f>
        <v>0</v>
      </c>
      <c r="AC123" s="0" t="n">
        <f aca="false">IF((X123*C123+Y123*D123+Z123*E123)&gt;0,MIN(E123-(0),S123*Z123*E123/(X123*C123+Y123*D123+Z123*E123)),0)</f>
        <v>0</v>
      </c>
      <c r="AD123" s="0" t="n">
        <f aca="false">IF(C123-(AA123)&gt;Inputs!$B$19,1,0)</f>
        <v>0</v>
      </c>
      <c r="AE123" s="0" t="n">
        <f aca="false">IF(D123-(AB123)&gt;Inputs!$B$19,1,0)</f>
        <v>0</v>
      </c>
      <c r="AF123" s="0" t="n">
        <f aca="false">IF(E123-(AC123)&gt;Inputs!$B$19,1,0)</f>
        <v>0</v>
      </c>
      <c r="AG123" s="0" t="n">
        <f aca="false">IF((AD123*C123+AE123*D123+AF123*E123)&gt;0,MIN(C123-(AA123),(S123-(AA123+AB123+AC123))*AD123*C123/(AD123*C123+AE123*D123+AF123*E123)),0)</f>
        <v>0</v>
      </c>
      <c r="AH123" s="0" t="n">
        <f aca="false">IF((AD123*C123+AE123*D123+AF123*E123)&gt;0,MIN(D123-(AB123),(S123-(AA123+AB123+AC123))*AE123*D123/(AD123*C123+AE123*D123+AF123*E123)),0)</f>
        <v>0</v>
      </c>
      <c r="AI123" s="0" t="n">
        <f aca="false">IF((AD123*C123+AE123*D123+AF123*E123)&gt;0,MIN(E123-(AC123),(S123-(AA123+AB123+AC123))*AF123*E123/(AD123*C123+AE123*D123+AF123*E123)),0)</f>
        <v>0</v>
      </c>
      <c r="AJ123" s="0" t="n">
        <f aca="false">IF(C123-(AA123+AG123)&gt;Inputs!$B$19,1,0)</f>
        <v>0</v>
      </c>
      <c r="AK123" s="0" t="n">
        <f aca="false">IF(D123-(AB123+AH123)&gt;Inputs!$B$19,1,0)</f>
        <v>0</v>
      </c>
      <c r="AL123" s="0" t="n">
        <f aca="false">IF(E123-(AC123+AI123)&gt;Inputs!$B$19,1,0)</f>
        <v>0</v>
      </c>
      <c r="AM123" s="0" t="n">
        <f aca="false">IF((AJ123*C123+AK123*D123+AL123*E123)&gt;0,MIN(C123-(AA123+AG123),(S123-(AA123+AB123+AC123+AG123+AH123+AI123))*AJ123*C123/(AJ123*C123+AK123*D123+AL123*E123)),0)</f>
        <v>0</v>
      </c>
      <c r="AN123" s="0" t="n">
        <f aca="false">IF((AJ123*C123+AK123*D123+AL123*E123)&gt;0,MIN(D123-(AB123+AH123),(S123-(AA123+AB123+AC123+AG123+AH123+AI123))*AK123*D123/(AJ123*C123+AK123*D123+AL123*E123)),0)</f>
        <v>0</v>
      </c>
      <c r="AO123" s="0" t="n">
        <f aca="false">IF((AJ123*C123+AK123*D123+AL123*E123)&gt;0,MIN(E123-(AC123+AI123),(S123-(AA123+AB123+AC123+AG123+AH123+AI123))*AL123*E123/(AJ123*C123+AK123*D123+AL123*E123)),0)</f>
        <v>0</v>
      </c>
      <c r="AP123" s="0" t="n">
        <f aca="false">IF(T123=1,U123,AA123+AG123+AM123)</f>
        <v>0</v>
      </c>
      <c r="AQ123" s="0" t="n">
        <f aca="false">IF(T123=1,V123,AB123+AH123+AN123)</f>
        <v>0</v>
      </c>
      <c r="AR123" s="0" t="n">
        <f aca="false">IF(T123=1,W123,AC123+AI123+AO123)</f>
        <v>0</v>
      </c>
      <c r="AS123" s="0" t="n">
        <f aca="false">S123-AP123-AQ123-AR123</f>
        <v>0</v>
      </c>
      <c r="AT123" s="0" t="n">
        <f aca="false">C123-AP123</f>
        <v>0</v>
      </c>
      <c r="AU123" s="0" t="n">
        <f aca="false">D123-AQ123</f>
        <v>0</v>
      </c>
      <c r="AV123" s="0" t="n">
        <f aca="false">E123-AR123</f>
        <v>0</v>
      </c>
      <c r="AW123" s="0" t="n">
        <f aca="false">Pool!CB123</f>
        <v>-1.06979314296041E-010</v>
      </c>
      <c r="AX123" s="0" t="n">
        <f aca="false">IF((AT123)&gt;Inputs!$B$19,AW123/(AT123),1000000000)</f>
        <v>1000000000</v>
      </c>
      <c r="AY123" s="0" t="n">
        <f aca="false">IF((J123)&gt;0.000000001,(R123-I123-MAX(-M123,0))/(J123),1000000000)</f>
        <v>1000000000</v>
      </c>
      <c r="AZ123" s="0" t="n">
        <f aca="false">IF(OR(AX123&lt;Inputs!$B$24,AY123&lt;Inputs!$B$25),1,0)</f>
        <v>0</v>
      </c>
      <c r="BA123" s="0" t="n">
        <f aca="false">IF((AT123+AU123)&gt;Inputs!$B$19,AW123/(AT123+AU123),1000000000)</f>
        <v>1000000000</v>
      </c>
      <c r="BB123" s="0" t="n">
        <f aca="false">IF((J123+K123)&gt;0.000000001,(R123-I123-MAX(-M123,0))/(J123+K123),1000000000)</f>
        <v>1000000000</v>
      </c>
      <c r="BC123" s="0" t="n">
        <f aca="false">IF(OR(BA123&lt;Inputs!$B$29,BB123&lt;Inputs!$B$30),1,0)</f>
        <v>0</v>
      </c>
      <c r="BD123" s="0" t="n">
        <f aca="false">IF((AT123+AU123+AV123)&gt;Inputs!$B$19,AW123/(AT123+AU123+AV123),1000000000)</f>
        <v>1000000000</v>
      </c>
      <c r="BE123" s="0" t="n">
        <f aca="false">IF((J123+K123+L123)&gt;0.000000001,(R123-I123-MAX(-M123,0))/(J123+K123+L123),1000000000)</f>
        <v>1000000000</v>
      </c>
      <c r="BF123" s="0" t="n">
        <f aca="false">IF(OR(BD123&lt;Inputs!$B$34,BE123&lt;Inputs!$B$35),1,0)</f>
        <v>0</v>
      </c>
      <c r="BG123" s="0" t="n">
        <f aca="false">MAX(AZ123,BC123,BF123)</f>
        <v>0</v>
      </c>
      <c r="BH123" s="0" t="n">
        <f aca="false">MIN(R123,N123)</f>
        <v>0</v>
      </c>
      <c r="BI123" s="0" t="n">
        <f aca="false">R123-BH123</f>
        <v>0</v>
      </c>
      <c r="BJ123" s="0" t="n">
        <f aca="false">MIN(BI123,O123)</f>
        <v>0</v>
      </c>
      <c r="BK123" s="0" t="n">
        <f aca="false">BI123-BJ123</f>
        <v>0</v>
      </c>
      <c r="BL123" s="0" t="n">
        <f aca="false">AZ123*MIN(AT123,BK123)</f>
        <v>0</v>
      </c>
      <c r="BM123" s="0" t="n">
        <f aca="false">AZ123*MIN(AU123,BK123-BL123)</f>
        <v>0</v>
      </c>
      <c r="BN123" s="0" t="n">
        <f aca="false">AZ123*MIN(AV123,BK123-BL123-BM123)</f>
        <v>0</v>
      </c>
      <c r="BO123" s="0" t="n">
        <f aca="false">BK123-BL123-BM123-BN123</f>
        <v>0</v>
      </c>
      <c r="BP123" s="0" t="n">
        <f aca="false">MIN(BO123,P123)</f>
        <v>0</v>
      </c>
      <c r="BQ123" s="0" t="n">
        <f aca="false">BO123-BP123</f>
        <v>0</v>
      </c>
      <c r="BR123" s="0" t="n">
        <f aca="false">BC123*MIN((AT123-BL123),BQ123)</f>
        <v>0</v>
      </c>
      <c r="BS123" s="0" t="n">
        <f aca="false">BC123*MIN((AU123-BM123),BQ123-BR123)</f>
        <v>0</v>
      </c>
      <c r="BT123" s="0" t="n">
        <f aca="false">BC123*MIN((AV123-BN123),BQ123-BR123-BS123)</f>
        <v>0</v>
      </c>
      <c r="BU123" s="0" t="n">
        <f aca="false">BQ123-BR123-BS123-BT123</f>
        <v>0</v>
      </c>
      <c r="BV123" s="0" t="n">
        <f aca="false">MIN(BU123,Q123)</f>
        <v>0</v>
      </c>
      <c r="BW123" s="0" t="n">
        <f aca="false">BU123-BV123</f>
        <v>0</v>
      </c>
      <c r="BX123" s="0" t="n">
        <f aca="false">BF123*MIN((AT123-BL123-BR123),BW123)</f>
        <v>0</v>
      </c>
      <c r="BY123" s="0" t="n">
        <f aca="false">BF123*MIN((AU123-BM123-BS123),BW123-BX123)</f>
        <v>0</v>
      </c>
      <c r="BZ123" s="0" t="n">
        <f aca="false">BF123*MIN((AV123-BN123-BT123),BW123-BX123-BY123)</f>
        <v>0</v>
      </c>
      <c r="CA123" s="0" t="n">
        <f aca="false">BW123-BX123-BY123-BZ123</f>
        <v>0</v>
      </c>
      <c r="CB123" s="0" t="n">
        <f aca="false">MAX(0,AT123+AU123+AV123-BL123-BM123-BN123-BR123-BS123-BT123-BX123-BY123-BZ123-AW123)</f>
        <v>1.06979314296041E-010</v>
      </c>
      <c r="CC123" s="0" t="n">
        <f aca="false">1*MIN((AT123-BL123-BR123-BX123),MIN(CA123,CB123))</f>
        <v>0</v>
      </c>
      <c r="CD123" s="0" t="n">
        <f aca="false">1*MIN((AU123-BM123-BS123-BY123),MIN(CA123,CB123)-CC123)</f>
        <v>0</v>
      </c>
      <c r="CE123" s="0" t="n">
        <f aca="false">1*MIN((AV123-BN123-BT123-BZ123),MIN(CA123,CB123)-CC123-CD123)</f>
        <v>0</v>
      </c>
      <c r="CF123" s="0" t="n">
        <f aca="false">CA123-CC123-CD123-CE123</f>
        <v>0</v>
      </c>
      <c r="CG123" s="0" t="n">
        <f aca="false">IF(C123+D123+E123&gt;Inputs!$B$19,MIN(CF123,MAX(0,Inputs!$B$15-DO122)),0)</f>
        <v>0</v>
      </c>
      <c r="CH123" s="0" t="n">
        <f aca="false">CF123-CG123</f>
        <v>0</v>
      </c>
      <c r="CI123" s="0" t="n">
        <f aca="false">DO122+CG123</f>
        <v>0</v>
      </c>
      <c r="CJ123" s="0" t="n">
        <f aca="false">MIN(MAX(N123-BH123,0),CI123)</f>
        <v>0</v>
      </c>
      <c r="CK123" s="0" t="n">
        <f aca="false">MIN(MAX(O123-BJ123,0),CI123-CJ123)</f>
        <v>0</v>
      </c>
      <c r="CL123" s="0" t="n">
        <f aca="false">MIN(MAX(P123-BP123,0),CI123-CJ123-CK123)</f>
        <v>0</v>
      </c>
      <c r="CM123" s="0" t="n">
        <f aca="false">CJ123+CK123+CL123</f>
        <v>0</v>
      </c>
      <c r="CN123" s="0" t="n">
        <f aca="false">CI123-CM123</f>
        <v>0</v>
      </c>
      <c r="CO123" s="0" t="n">
        <f aca="false">BH123+CJ123</f>
        <v>0</v>
      </c>
      <c r="CP123" s="0" t="n">
        <f aca="false">BJ123+CK123</f>
        <v>0</v>
      </c>
      <c r="CQ123" s="0" t="n">
        <f aca="false">BP123+CL123</f>
        <v>0</v>
      </c>
      <c r="CR123" s="0" t="n">
        <f aca="false">BV123</f>
        <v>0</v>
      </c>
      <c r="CS123" s="0" t="n">
        <f aca="false">AT123-BL123-BR123-BX123-CC123</f>
        <v>0</v>
      </c>
      <c r="CT123" s="0" t="n">
        <f aca="false">AU123-BM123-BS123-BY123-CD123</f>
        <v>0</v>
      </c>
      <c r="CU123" s="0" t="n">
        <f aca="false">AV123-BN123-BT123-BZ123-CE123</f>
        <v>0</v>
      </c>
      <c r="CV123" s="0" t="n">
        <f aca="false">MAX(0,CS123+CT123+CU123-AW123)</f>
        <v>1.06979314296041E-010</v>
      </c>
      <c r="CW123" s="0" t="n">
        <f aca="false">MIN(CU123,CV123)</f>
        <v>0</v>
      </c>
      <c r="CX123" s="0" t="n">
        <f aca="false">MIN(CT123,CV123-CW123)</f>
        <v>0</v>
      </c>
      <c r="CY123" s="0" t="n">
        <f aca="false">MIN(CS123,CV123-CW123-CX123)</f>
        <v>0</v>
      </c>
      <c r="CZ123" s="0" t="n">
        <f aca="false">IF(CS123-CY123&lt;Inputs!$B$19,0,CS123-CY123)</f>
        <v>0</v>
      </c>
      <c r="DA123" s="0" t="n">
        <f aca="false">IF(CT123-CX123&lt;Inputs!$B$19,0,CT123-CX123)</f>
        <v>0</v>
      </c>
      <c r="DB123" s="0" t="n">
        <f aca="false">IF(CU123-CW123&lt;Inputs!$B$19,0,CU123-CW123)</f>
        <v>0</v>
      </c>
      <c r="DC123" s="0" t="n">
        <f aca="false">N123-CO123</f>
        <v>0</v>
      </c>
      <c r="DD123" s="0" t="n">
        <f aca="false">O123-CP123</f>
        <v>0</v>
      </c>
      <c r="DE123" s="0" t="n">
        <f aca="false">P123-CQ123</f>
        <v>0</v>
      </c>
      <c r="DF123" s="0" t="n">
        <f aca="false">Q123-CR123</f>
        <v>0</v>
      </c>
      <c r="DG123" s="0" t="n">
        <f aca="false">IF(CZ123+DA123+DB123&lt;=Inputs!$B$19,1,0)</f>
        <v>1</v>
      </c>
      <c r="DH123" s="0" t="n">
        <f aca="false">DG123*CN123</f>
        <v>0</v>
      </c>
      <c r="DI123" s="0" t="n">
        <f aca="false">DG123*(AS123+DH123)</f>
        <v>0</v>
      </c>
      <c r="DJ123" s="0" t="n">
        <f aca="false">DG123*MIN(DC123,DI123)</f>
        <v>0</v>
      </c>
      <c r="DK123" s="0" t="n">
        <f aca="false">DG123*MIN(DD123,DI123-DJ123)</f>
        <v>0</v>
      </c>
      <c r="DL123" s="0" t="n">
        <f aca="false">DG123*MIN(DE123,DI123-DJ123-DK123)</f>
        <v>0</v>
      </c>
      <c r="DM123" s="0" t="n">
        <f aca="false">DG123*MIN(DF123,DI123-DJ123-DK123-DL123)</f>
        <v>0</v>
      </c>
      <c r="DN123" s="0" t="n">
        <f aca="false">DJ123+DK123+DL123+DM123</f>
        <v>0</v>
      </c>
      <c r="DO123" s="0" t="n">
        <f aca="false">CN123-DH123</f>
        <v>0</v>
      </c>
      <c r="DP123" s="0" t="n">
        <f aca="false">DC123-DJ123</f>
        <v>0</v>
      </c>
      <c r="DQ123" s="0" t="n">
        <f aca="false">DD123-DK123</f>
        <v>0</v>
      </c>
      <c r="DR123" s="0" t="n">
        <f aca="false">DE123-DL123</f>
        <v>0</v>
      </c>
      <c r="DS123" s="0" t="n">
        <f aca="false">DF123-DM123</f>
        <v>0</v>
      </c>
      <c r="DT123" s="0" t="n">
        <f aca="false">CO123+DJ123</f>
        <v>0</v>
      </c>
      <c r="DU123" s="0" t="n">
        <f aca="false">CP123+DK123</f>
        <v>0</v>
      </c>
      <c r="DV123" s="0" t="n">
        <f aca="false">AP123+BL123+BR123+BX123+CC123</f>
        <v>0</v>
      </c>
      <c r="DW123" s="0" t="n">
        <f aca="false">CQ123+DL123</f>
        <v>0</v>
      </c>
      <c r="DX123" s="0" t="n">
        <f aca="false">AQ123+BM123+BS123+BY123+CD123</f>
        <v>0</v>
      </c>
      <c r="DY123" s="0" t="n">
        <f aca="false">CR123+DM123</f>
        <v>0</v>
      </c>
      <c r="DZ123" s="0" t="n">
        <f aca="false">AR123+BN123+BT123+BZ123+CE123</f>
        <v>0</v>
      </c>
      <c r="EA123" s="0" t="n">
        <f aca="false">DI123-DN123</f>
        <v>0</v>
      </c>
      <c r="EB123" s="0" t="n">
        <f aca="false">CH123+EA123</f>
        <v>0</v>
      </c>
      <c r="EC123" s="0" t="n">
        <f aca="false">R123-I123-MAX(-M123,0)-J123-K123-L123</f>
        <v>0</v>
      </c>
      <c r="ED123" s="0" t="n">
        <f aca="false">R123+S123+CM123+DH123-CG123-DT123-DU123-DW123-DY123-DV123-DX123-DZ123-EB123</f>
        <v>0</v>
      </c>
      <c r="EE123" s="0" t="n">
        <f aca="false">IF(AND(EB123&gt;0.000001,DP123+DQ123+DR123+DS123&gt;0.000001),1,0)</f>
        <v>0</v>
      </c>
    </row>
    <row r="124" customFormat="false" ht="15" hidden="false" customHeight="false" outlineLevel="0" collapsed="false">
      <c r="A124" s="0" t="n">
        <f aca="false">ROW()-5</f>
        <v>119</v>
      </c>
      <c r="B124" s="0" t="n">
        <f aca="false">Inputs!$B$11+(Inputs!$B$12-Inputs!$B$11)*(1-EXP(-A124/Inputs!$B$13))+Inputs!$B$8</f>
        <v>0.0325737585708079</v>
      </c>
      <c r="C124" s="0" t="n">
        <f aca="false">CZ123</f>
        <v>0</v>
      </c>
      <c r="D124" s="0" t="n">
        <f aca="false">DA123</f>
        <v>0</v>
      </c>
      <c r="E124" s="0" t="n">
        <f aca="false">DB123</f>
        <v>0</v>
      </c>
      <c r="F124" s="0" t="n">
        <f aca="false">IF(Inputs!$B$22=1,B124+Inputs!$B$23,Inputs!$B$23)/12</f>
        <v>0.00363114654756733</v>
      </c>
      <c r="G124" s="0" t="n">
        <f aca="false">IF(Inputs!$B$27=1,B124+Inputs!$B$28,Inputs!$B$28)/12</f>
        <v>0.00458947988090066</v>
      </c>
      <c r="H124" s="0" t="n">
        <f aca="false">IF(Inputs!$B$32=1,B124+Inputs!$B$33,Inputs!$B$33)/12</f>
        <v>0.00625</v>
      </c>
      <c r="I124" s="0" t="n">
        <f aca="false">Pool!BT124*Inputs!$B$14/12</f>
        <v>0</v>
      </c>
      <c r="J124" s="0" t="n">
        <f aca="false">C124*F124</f>
        <v>0</v>
      </c>
      <c r="K124" s="0" t="n">
        <f aca="false">D124*G124</f>
        <v>0</v>
      </c>
      <c r="L124" s="0" t="n">
        <f aca="false">E124*H124</f>
        <v>0</v>
      </c>
      <c r="M124" s="0" t="n">
        <f aca="false">Inputs!$B$17*(C124*Inputs!$B$22+D124*Inputs!$B$27+E124*Inputs!$B$32)*(B124-Inputs!$B$18)/12</f>
        <v>-0</v>
      </c>
      <c r="N124" s="0" t="n">
        <f aca="false">DP123+I124+MAX(-M124,0)</f>
        <v>0</v>
      </c>
      <c r="O124" s="0" t="n">
        <f aca="false">DQ123+J124</f>
        <v>0</v>
      </c>
      <c r="P124" s="0" t="n">
        <f aca="false">DR123+K124</f>
        <v>0</v>
      </c>
      <c r="Q124" s="0" t="n">
        <f aca="false">DS123+L124</f>
        <v>0</v>
      </c>
      <c r="R124" s="0" t="n">
        <f aca="false">Pool!BV124+MAX(M124,0)</f>
        <v>0</v>
      </c>
      <c r="S124" s="0" t="n">
        <f aca="false">Pool!BW124+Pool!BX124+Pool!BZ124</f>
        <v>0</v>
      </c>
      <c r="T124" s="0" t="n">
        <f aca="false">MAX(T123,BG123)</f>
        <v>1</v>
      </c>
      <c r="U124" s="0" t="n">
        <f aca="false">MIN(C124,S124)</f>
        <v>0</v>
      </c>
      <c r="V124" s="0" t="n">
        <f aca="false">MIN(D124,S124-U124)</f>
        <v>0</v>
      </c>
      <c r="W124" s="0" t="n">
        <f aca="false">MIN(E124,S124-U124-V124)</f>
        <v>0</v>
      </c>
      <c r="X124" s="0" t="n">
        <f aca="false">IF(C124-(0)&gt;Inputs!$B$19,1,0)</f>
        <v>0</v>
      </c>
      <c r="Y124" s="0" t="n">
        <f aca="false">IF(D124-(0)&gt;Inputs!$B$19,1,0)</f>
        <v>0</v>
      </c>
      <c r="Z124" s="0" t="n">
        <f aca="false">IF(E124-(0)&gt;Inputs!$B$19,1,0)</f>
        <v>0</v>
      </c>
      <c r="AA124" s="0" t="n">
        <f aca="false">IF((X124*C124+Y124*D124+Z124*E124)&gt;0,MIN(C124-(0),S124*X124*C124/(X124*C124+Y124*D124+Z124*E124)),0)</f>
        <v>0</v>
      </c>
      <c r="AB124" s="0" t="n">
        <f aca="false">IF((X124*C124+Y124*D124+Z124*E124)&gt;0,MIN(D124-(0),S124*Y124*D124/(X124*C124+Y124*D124+Z124*E124)),0)</f>
        <v>0</v>
      </c>
      <c r="AC124" s="0" t="n">
        <f aca="false">IF((X124*C124+Y124*D124+Z124*E124)&gt;0,MIN(E124-(0),S124*Z124*E124/(X124*C124+Y124*D124+Z124*E124)),0)</f>
        <v>0</v>
      </c>
      <c r="AD124" s="0" t="n">
        <f aca="false">IF(C124-(AA124)&gt;Inputs!$B$19,1,0)</f>
        <v>0</v>
      </c>
      <c r="AE124" s="0" t="n">
        <f aca="false">IF(D124-(AB124)&gt;Inputs!$B$19,1,0)</f>
        <v>0</v>
      </c>
      <c r="AF124" s="0" t="n">
        <f aca="false">IF(E124-(AC124)&gt;Inputs!$B$19,1,0)</f>
        <v>0</v>
      </c>
      <c r="AG124" s="0" t="n">
        <f aca="false">IF((AD124*C124+AE124*D124+AF124*E124)&gt;0,MIN(C124-(AA124),(S124-(AA124+AB124+AC124))*AD124*C124/(AD124*C124+AE124*D124+AF124*E124)),0)</f>
        <v>0</v>
      </c>
      <c r="AH124" s="0" t="n">
        <f aca="false">IF((AD124*C124+AE124*D124+AF124*E124)&gt;0,MIN(D124-(AB124),(S124-(AA124+AB124+AC124))*AE124*D124/(AD124*C124+AE124*D124+AF124*E124)),0)</f>
        <v>0</v>
      </c>
      <c r="AI124" s="0" t="n">
        <f aca="false">IF((AD124*C124+AE124*D124+AF124*E124)&gt;0,MIN(E124-(AC124),(S124-(AA124+AB124+AC124))*AF124*E124/(AD124*C124+AE124*D124+AF124*E124)),0)</f>
        <v>0</v>
      </c>
      <c r="AJ124" s="0" t="n">
        <f aca="false">IF(C124-(AA124+AG124)&gt;Inputs!$B$19,1,0)</f>
        <v>0</v>
      </c>
      <c r="AK124" s="0" t="n">
        <f aca="false">IF(D124-(AB124+AH124)&gt;Inputs!$B$19,1,0)</f>
        <v>0</v>
      </c>
      <c r="AL124" s="0" t="n">
        <f aca="false">IF(E124-(AC124+AI124)&gt;Inputs!$B$19,1,0)</f>
        <v>0</v>
      </c>
      <c r="AM124" s="0" t="n">
        <f aca="false">IF((AJ124*C124+AK124*D124+AL124*E124)&gt;0,MIN(C124-(AA124+AG124),(S124-(AA124+AB124+AC124+AG124+AH124+AI124))*AJ124*C124/(AJ124*C124+AK124*D124+AL124*E124)),0)</f>
        <v>0</v>
      </c>
      <c r="AN124" s="0" t="n">
        <f aca="false">IF((AJ124*C124+AK124*D124+AL124*E124)&gt;0,MIN(D124-(AB124+AH124),(S124-(AA124+AB124+AC124+AG124+AH124+AI124))*AK124*D124/(AJ124*C124+AK124*D124+AL124*E124)),0)</f>
        <v>0</v>
      </c>
      <c r="AO124" s="0" t="n">
        <f aca="false">IF((AJ124*C124+AK124*D124+AL124*E124)&gt;0,MIN(E124-(AC124+AI124),(S124-(AA124+AB124+AC124+AG124+AH124+AI124))*AL124*E124/(AJ124*C124+AK124*D124+AL124*E124)),0)</f>
        <v>0</v>
      </c>
      <c r="AP124" s="0" t="n">
        <f aca="false">IF(T124=1,U124,AA124+AG124+AM124)</f>
        <v>0</v>
      </c>
      <c r="AQ124" s="0" t="n">
        <f aca="false">IF(T124=1,V124,AB124+AH124+AN124)</f>
        <v>0</v>
      </c>
      <c r="AR124" s="0" t="n">
        <f aca="false">IF(T124=1,W124,AC124+AI124+AO124)</f>
        <v>0</v>
      </c>
      <c r="AS124" s="0" t="n">
        <f aca="false">S124-AP124-AQ124-AR124</f>
        <v>0</v>
      </c>
      <c r="AT124" s="0" t="n">
        <f aca="false">C124-AP124</f>
        <v>0</v>
      </c>
      <c r="AU124" s="0" t="n">
        <f aca="false">D124-AQ124</f>
        <v>0</v>
      </c>
      <c r="AV124" s="0" t="n">
        <f aca="false">E124-AR124</f>
        <v>0</v>
      </c>
      <c r="AW124" s="0" t="n">
        <f aca="false">Pool!CB124</f>
        <v>-1.06979314296041E-010</v>
      </c>
      <c r="AX124" s="0" t="n">
        <f aca="false">IF((AT124)&gt;Inputs!$B$19,AW124/(AT124),1000000000)</f>
        <v>1000000000</v>
      </c>
      <c r="AY124" s="0" t="n">
        <f aca="false">IF((J124)&gt;0.000000001,(R124-I124-MAX(-M124,0))/(J124),1000000000)</f>
        <v>1000000000</v>
      </c>
      <c r="AZ124" s="0" t="n">
        <f aca="false">IF(OR(AX124&lt;Inputs!$B$24,AY124&lt;Inputs!$B$25),1,0)</f>
        <v>0</v>
      </c>
      <c r="BA124" s="0" t="n">
        <f aca="false">IF((AT124+AU124)&gt;Inputs!$B$19,AW124/(AT124+AU124),1000000000)</f>
        <v>1000000000</v>
      </c>
      <c r="BB124" s="0" t="n">
        <f aca="false">IF((J124+K124)&gt;0.000000001,(R124-I124-MAX(-M124,0))/(J124+K124),1000000000)</f>
        <v>1000000000</v>
      </c>
      <c r="BC124" s="0" t="n">
        <f aca="false">IF(OR(BA124&lt;Inputs!$B$29,BB124&lt;Inputs!$B$30),1,0)</f>
        <v>0</v>
      </c>
      <c r="BD124" s="0" t="n">
        <f aca="false">IF((AT124+AU124+AV124)&gt;Inputs!$B$19,AW124/(AT124+AU124+AV124),1000000000)</f>
        <v>1000000000</v>
      </c>
      <c r="BE124" s="0" t="n">
        <f aca="false">IF((J124+K124+L124)&gt;0.000000001,(R124-I124-MAX(-M124,0))/(J124+K124+L124),1000000000)</f>
        <v>1000000000</v>
      </c>
      <c r="BF124" s="0" t="n">
        <f aca="false">IF(OR(BD124&lt;Inputs!$B$34,BE124&lt;Inputs!$B$35),1,0)</f>
        <v>0</v>
      </c>
      <c r="BG124" s="0" t="n">
        <f aca="false">MAX(AZ124,BC124,BF124)</f>
        <v>0</v>
      </c>
      <c r="BH124" s="0" t="n">
        <f aca="false">MIN(R124,N124)</f>
        <v>0</v>
      </c>
      <c r="BI124" s="0" t="n">
        <f aca="false">R124-BH124</f>
        <v>0</v>
      </c>
      <c r="BJ124" s="0" t="n">
        <f aca="false">MIN(BI124,O124)</f>
        <v>0</v>
      </c>
      <c r="BK124" s="0" t="n">
        <f aca="false">BI124-BJ124</f>
        <v>0</v>
      </c>
      <c r="BL124" s="0" t="n">
        <f aca="false">AZ124*MIN(AT124,BK124)</f>
        <v>0</v>
      </c>
      <c r="BM124" s="0" t="n">
        <f aca="false">AZ124*MIN(AU124,BK124-BL124)</f>
        <v>0</v>
      </c>
      <c r="BN124" s="0" t="n">
        <f aca="false">AZ124*MIN(AV124,BK124-BL124-BM124)</f>
        <v>0</v>
      </c>
      <c r="BO124" s="0" t="n">
        <f aca="false">BK124-BL124-BM124-BN124</f>
        <v>0</v>
      </c>
      <c r="BP124" s="0" t="n">
        <f aca="false">MIN(BO124,P124)</f>
        <v>0</v>
      </c>
      <c r="BQ124" s="0" t="n">
        <f aca="false">BO124-BP124</f>
        <v>0</v>
      </c>
      <c r="BR124" s="0" t="n">
        <f aca="false">BC124*MIN((AT124-BL124),BQ124)</f>
        <v>0</v>
      </c>
      <c r="BS124" s="0" t="n">
        <f aca="false">BC124*MIN((AU124-BM124),BQ124-BR124)</f>
        <v>0</v>
      </c>
      <c r="BT124" s="0" t="n">
        <f aca="false">BC124*MIN((AV124-BN124),BQ124-BR124-BS124)</f>
        <v>0</v>
      </c>
      <c r="BU124" s="0" t="n">
        <f aca="false">BQ124-BR124-BS124-BT124</f>
        <v>0</v>
      </c>
      <c r="BV124" s="0" t="n">
        <f aca="false">MIN(BU124,Q124)</f>
        <v>0</v>
      </c>
      <c r="BW124" s="0" t="n">
        <f aca="false">BU124-BV124</f>
        <v>0</v>
      </c>
      <c r="BX124" s="0" t="n">
        <f aca="false">BF124*MIN((AT124-BL124-BR124),BW124)</f>
        <v>0</v>
      </c>
      <c r="BY124" s="0" t="n">
        <f aca="false">BF124*MIN((AU124-BM124-BS124),BW124-BX124)</f>
        <v>0</v>
      </c>
      <c r="BZ124" s="0" t="n">
        <f aca="false">BF124*MIN((AV124-BN124-BT124),BW124-BX124-BY124)</f>
        <v>0</v>
      </c>
      <c r="CA124" s="0" t="n">
        <f aca="false">BW124-BX124-BY124-BZ124</f>
        <v>0</v>
      </c>
      <c r="CB124" s="0" t="n">
        <f aca="false">MAX(0,AT124+AU124+AV124-BL124-BM124-BN124-BR124-BS124-BT124-BX124-BY124-BZ124-AW124)</f>
        <v>1.06979314296041E-010</v>
      </c>
      <c r="CC124" s="0" t="n">
        <f aca="false">1*MIN((AT124-BL124-BR124-BX124),MIN(CA124,CB124))</f>
        <v>0</v>
      </c>
      <c r="CD124" s="0" t="n">
        <f aca="false">1*MIN((AU124-BM124-BS124-BY124),MIN(CA124,CB124)-CC124)</f>
        <v>0</v>
      </c>
      <c r="CE124" s="0" t="n">
        <f aca="false">1*MIN((AV124-BN124-BT124-BZ124),MIN(CA124,CB124)-CC124-CD124)</f>
        <v>0</v>
      </c>
      <c r="CF124" s="0" t="n">
        <f aca="false">CA124-CC124-CD124-CE124</f>
        <v>0</v>
      </c>
      <c r="CG124" s="0" t="n">
        <f aca="false">IF(C124+D124+E124&gt;Inputs!$B$19,MIN(CF124,MAX(0,Inputs!$B$15-DO123)),0)</f>
        <v>0</v>
      </c>
      <c r="CH124" s="0" t="n">
        <f aca="false">CF124-CG124</f>
        <v>0</v>
      </c>
      <c r="CI124" s="0" t="n">
        <f aca="false">DO123+CG124</f>
        <v>0</v>
      </c>
      <c r="CJ124" s="0" t="n">
        <f aca="false">MIN(MAX(N124-BH124,0),CI124)</f>
        <v>0</v>
      </c>
      <c r="CK124" s="0" t="n">
        <f aca="false">MIN(MAX(O124-BJ124,0),CI124-CJ124)</f>
        <v>0</v>
      </c>
      <c r="CL124" s="0" t="n">
        <f aca="false">MIN(MAX(P124-BP124,0),CI124-CJ124-CK124)</f>
        <v>0</v>
      </c>
      <c r="CM124" s="0" t="n">
        <f aca="false">CJ124+CK124+CL124</f>
        <v>0</v>
      </c>
      <c r="CN124" s="0" t="n">
        <f aca="false">CI124-CM124</f>
        <v>0</v>
      </c>
      <c r="CO124" s="0" t="n">
        <f aca="false">BH124+CJ124</f>
        <v>0</v>
      </c>
      <c r="CP124" s="0" t="n">
        <f aca="false">BJ124+CK124</f>
        <v>0</v>
      </c>
      <c r="CQ124" s="0" t="n">
        <f aca="false">BP124+CL124</f>
        <v>0</v>
      </c>
      <c r="CR124" s="0" t="n">
        <f aca="false">BV124</f>
        <v>0</v>
      </c>
      <c r="CS124" s="0" t="n">
        <f aca="false">AT124-BL124-BR124-BX124-CC124</f>
        <v>0</v>
      </c>
      <c r="CT124" s="0" t="n">
        <f aca="false">AU124-BM124-BS124-BY124-CD124</f>
        <v>0</v>
      </c>
      <c r="CU124" s="0" t="n">
        <f aca="false">AV124-BN124-BT124-BZ124-CE124</f>
        <v>0</v>
      </c>
      <c r="CV124" s="0" t="n">
        <f aca="false">MAX(0,CS124+CT124+CU124-AW124)</f>
        <v>1.06979314296041E-010</v>
      </c>
      <c r="CW124" s="0" t="n">
        <f aca="false">MIN(CU124,CV124)</f>
        <v>0</v>
      </c>
      <c r="CX124" s="0" t="n">
        <f aca="false">MIN(CT124,CV124-CW124)</f>
        <v>0</v>
      </c>
      <c r="CY124" s="0" t="n">
        <f aca="false">MIN(CS124,CV124-CW124-CX124)</f>
        <v>0</v>
      </c>
      <c r="CZ124" s="0" t="n">
        <f aca="false">IF(CS124-CY124&lt;Inputs!$B$19,0,CS124-CY124)</f>
        <v>0</v>
      </c>
      <c r="DA124" s="0" t="n">
        <f aca="false">IF(CT124-CX124&lt;Inputs!$B$19,0,CT124-CX124)</f>
        <v>0</v>
      </c>
      <c r="DB124" s="0" t="n">
        <f aca="false">IF(CU124-CW124&lt;Inputs!$B$19,0,CU124-CW124)</f>
        <v>0</v>
      </c>
      <c r="DC124" s="0" t="n">
        <f aca="false">N124-CO124</f>
        <v>0</v>
      </c>
      <c r="DD124" s="0" t="n">
        <f aca="false">O124-CP124</f>
        <v>0</v>
      </c>
      <c r="DE124" s="0" t="n">
        <f aca="false">P124-CQ124</f>
        <v>0</v>
      </c>
      <c r="DF124" s="0" t="n">
        <f aca="false">Q124-CR124</f>
        <v>0</v>
      </c>
      <c r="DG124" s="0" t="n">
        <f aca="false">IF(CZ124+DA124+DB124&lt;=Inputs!$B$19,1,0)</f>
        <v>1</v>
      </c>
      <c r="DH124" s="0" t="n">
        <f aca="false">DG124*CN124</f>
        <v>0</v>
      </c>
      <c r="DI124" s="0" t="n">
        <f aca="false">DG124*(AS124+DH124)</f>
        <v>0</v>
      </c>
      <c r="DJ124" s="0" t="n">
        <f aca="false">DG124*MIN(DC124,DI124)</f>
        <v>0</v>
      </c>
      <c r="DK124" s="0" t="n">
        <f aca="false">DG124*MIN(DD124,DI124-DJ124)</f>
        <v>0</v>
      </c>
      <c r="DL124" s="0" t="n">
        <f aca="false">DG124*MIN(DE124,DI124-DJ124-DK124)</f>
        <v>0</v>
      </c>
      <c r="DM124" s="0" t="n">
        <f aca="false">DG124*MIN(DF124,DI124-DJ124-DK124-DL124)</f>
        <v>0</v>
      </c>
      <c r="DN124" s="0" t="n">
        <f aca="false">DJ124+DK124+DL124+DM124</f>
        <v>0</v>
      </c>
      <c r="DO124" s="0" t="n">
        <f aca="false">CN124-DH124</f>
        <v>0</v>
      </c>
      <c r="DP124" s="0" t="n">
        <f aca="false">DC124-DJ124</f>
        <v>0</v>
      </c>
      <c r="DQ124" s="0" t="n">
        <f aca="false">DD124-DK124</f>
        <v>0</v>
      </c>
      <c r="DR124" s="0" t="n">
        <f aca="false">DE124-DL124</f>
        <v>0</v>
      </c>
      <c r="DS124" s="0" t="n">
        <f aca="false">DF124-DM124</f>
        <v>0</v>
      </c>
      <c r="DT124" s="0" t="n">
        <f aca="false">CO124+DJ124</f>
        <v>0</v>
      </c>
      <c r="DU124" s="0" t="n">
        <f aca="false">CP124+DK124</f>
        <v>0</v>
      </c>
      <c r="DV124" s="0" t="n">
        <f aca="false">AP124+BL124+BR124+BX124+CC124</f>
        <v>0</v>
      </c>
      <c r="DW124" s="0" t="n">
        <f aca="false">CQ124+DL124</f>
        <v>0</v>
      </c>
      <c r="DX124" s="0" t="n">
        <f aca="false">AQ124+BM124+BS124+BY124+CD124</f>
        <v>0</v>
      </c>
      <c r="DY124" s="0" t="n">
        <f aca="false">CR124+DM124</f>
        <v>0</v>
      </c>
      <c r="DZ124" s="0" t="n">
        <f aca="false">AR124+BN124+BT124+BZ124+CE124</f>
        <v>0</v>
      </c>
      <c r="EA124" s="0" t="n">
        <f aca="false">DI124-DN124</f>
        <v>0</v>
      </c>
      <c r="EB124" s="0" t="n">
        <f aca="false">CH124+EA124</f>
        <v>0</v>
      </c>
      <c r="EC124" s="0" t="n">
        <f aca="false">R124-I124-MAX(-M124,0)-J124-K124-L124</f>
        <v>0</v>
      </c>
      <c r="ED124" s="0" t="n">
        <f aca="false">R124+S124+CM124+DH124-CG124-DT124-DU124-DW124-DY124-DV124-DX124-DZ124-EB124</f>
        <v>0</v>
      </c>
      <c r="EE124" s="0" t="n">
        <f aca="false">IF(AND(EB124&gt;0.000001,DP124+DQ124+DR124+DS124&gt;0.000001),1,0)</f>
        <v>0</v>
      </c>
    </row>
    <row r="125" customFormat="false" ht="15" hidden="false" customHeight="false" outlineLevel="0" collapsed="false">
      <c r="A125" s="0" t="n">
        <f aca="false">ROW()-5</f>
        <v>120</v>
      </c>
      <c r="B125" s="0" t="n">
        <f aca="false">Inputs!$B$11+(Inputs!$B$12-Inputs!$B$11)*(1-EXP(-A125/Inputs!$B$13))+Inputs!$B$8</f>
        <v>0.0325707484434904</v>
      </c>
      <c r="C125" s="0" t="n">
        <f aca="false">CZ124</f>
        <v>0</v>
      </c>
      <c r="D125" s="0" t="n">
        <f aca="false">DA124</f>
        <v>0</v>
      </c>
      <c r="E125" s="0" t="n">
        <f aca="false">DB124</f>
        <v>0</v>
      </c>
      <c r="F125" s="0" t="n">
        <f aca="false">IF(Inputs!$B$22=1,B125+Inputs!$B$23,Inputs!$B$23)/12</f>
        <v>0.0036308957036242</v>
      </c>
      <c r="G125" s="0" t="n">
        <f aca="false">IF(Inputs!$B$27=1,B125+Inputs!$B$28,Inputs!$B$28)/12</f>
        <v>0.00458922903695753</v>
      </c>
      <c r="H125" s="0" t="n">
        <f aca="false">IF(Inputs!$B$32=1,B125+Inputs!$B$33,Inputs!$B$33)/12</f>
        <v>0.00625</v>
      </c>
      <c r="I125" s="0" t="n">
        <f aca="false">Pool!BT125*Inputs!$B$14/12</f>
        <v>0</v>
      </c>
      <c r="J125" s="0" t="n">
        <f aca="false">C125*F125</f>
        <v>0</v>
      </c>
      <c r="K125" s="0" t="n">
        <f aca="false">D125*G125</f>
        <v>0</v>
      </c>
      <c r="L125" s="0" t="n">
        <f aca="false">E125*H125</f>
        <v>0</v>
      </c>
      <c r="M125" s="0" t="n">
        <f aca="false">Inputs!$B$17*(C125*Inputs!$B$22+D125*Inputs!$B$27+E125*Inputs!$B$32)*(B125-Inputs!$B$18)/12</f>
        <v>-0</v>
      </c>
      <c r="N125" s="0" t="n">
        <f aca="false">DP124+I125+MAX(-M125,0)</f>
        <v>0</v>
      </c>
      <c r="O125" s="0" t="n">
        <f aca="false">DQ124+J125</f>
        <v>0</v>
      </c>
      <c r="P125" s="0" t="n">
        <f aca="false">DR124+K125</f>
        <v>0</v>
      </c>
      <c r="Q125" s="0" t="n">
        <f aca="false">DS124+L125</f>
        <v>0</v>
      </c>
      <c r="R125" s="0" t="n">
        <f aca="false">Pool!BV125+MAX(M125,0)</f>
        <v>0</v>
      </c>
      <c r="S125" s="0" t="n">
        <f aca="false">Pool!BW125+Pool!BX125+Pool!BZ125</f>
        <v>0</v>
      </c>
      <c r="T125" s="0" t="n">
        <f aca="false">MAX(T124,BG124)</f>
        <v>1</v>
      </c>
      <c r="U125" s="0" t="n">
        <f aca="false">MIN(C125,S125)</f>
        <v>0</v>
      </c>
      <c r="V125" s="0" t="n">
        <f aca="false">MIN(D125,S125-U125)</f>
        <v>0</v>
      </c>
      <c r="W125" s="0" t="n">
        <f aca="false">MIN(E125,S125-U125-V125)</f>
        <v>0</v>
      </c>
      <c r="X125" s="0" t="n">
        <f aca="false">IF(C125-(0)&gt;Inputs!$B$19,1,0)</f>
        <v>0</v>
      </c>
      <c r="Y125" s="0" t="n">
        <f aca="false">IF(D125-(0)&gt;Inputs!$B$19,1,0)</f>
        <v>0</v>
      </c>
      <c r="Z125" s="0" t="n">
        <f aca="false">IF(E125-(0)&gt;Inputs!$B$19,1,0)</f>
        <v>0</v>
      </c>
      <c r="AA125" s="0" t="n">
        <f aca="false">IF((X125*C125+Y125*D125+Z125*E125)&gt;0,MIN(C125-(0),S125*X125*C125/(X125*C125+Y125*D125+Z125*E125)),0)</f>
        <v>0</v>
      </c>
      <c r="AB125" s="0" t="n">
        <f aca="false">IF((X125*C125+Y125*D125+Z125*E125)&gt;0,MIN(D125-(0),S125*Y125*D125/(X125*C125+Y125*D125+Z125*E125)),0)</f>
        <v>0</v>
      </c>
      <c r="AC125" s="0" t="n">
        <f aca="false">IF((X125*C125+Y125*D125+Z125*E125)&gt;0,MIN(E125-(0),S125*Z125*E125/(X125*C125+Y125*D125+Z125*E125)),0)</f>
        <v>0</v>
      </c>
      <c r="AD125" s="0" t="n">
        <f aca="false">IF(C125-(AA125)&gt;Inputs!$B$19,1,0)</f>
        <v>0</v>
      </c>
      <c r="AE125" s="0" t="n">
        <f aca="false">IF(D125-(AB125)&gt;Inputs!$B$19,1,0)</f>
        <v>0</v>
      </c>
      <c r="AF125" s="0" t="n">
        <f aca="false">IF(E125-(AC125)&gt;Inputs!$B$19,1,0)</f>
        <v>0</v>
      </c>
      <c r="AG125" s="0" t="n">
        <f aca="false">IF((AD125*C125+AE125*D125+AF125*E125)&gt;0,MIN(C125-(AA125),(S125-(AA125+AB125+AC125))*AD125*C125/(AD125*C125+AE125*D125+AF125*E125)),0)</f>
        <v>0</v>
      </c>
      <c r="AH125" s="0" t="n">
        <f aca="false">IF((AD125*C125+AE125*D125+AF125*E125)&gt;0,MIN(D125-(AB125),(S125-(AA125+AB125+AC125))*AE125*D125/(AD125*C125+AE125*D125+AF125*E125)),0)</f>
        <v>0</v>
      </c>
      <c r="AI125" s="0" t="n">
        <f aca="false">IF((AD125*C125+AE125*D125+AF125*E125)&gt;0,MIN(E125-(AC125),(S125-(AA125+AB125+AC125))*AF125*E125/(AD125*C125+AE125*D125+AF125*E125)),0)</f>
        <v>0</v>
      </c>
      <c r="AJ125" s="0" t="n">
        <f aca="false">IF(C125-(AA125+AG125)&gt;Inputs!$B$19,1,0)</f>
        <v>0</v>
      </c>
      <c r="AK125" s="0" t="n">
        <f aca="false">IF(D125-(AB125+AH125)&gt;Inputs!$B$19,1,0)</f>
        <v>0</v>
      </c>
      <c r="AL125" s="0" t="n">
        <f aca="false">IF(E125-(AC125+AI125)&gt;Inputs!$B$19,1,0)</f>
        <v>0</v>
      </c>
      <c r="AM125" s="0" t="n">
        <f aca="false">IF((AJ125*C125+AK125*D125+AL125*E125)&gt;0,MIN(C125-(AA125+AG125),(S125-(AA125+AB125+AC125+AG125+AH125+AI125))*AJ125*C125/(AJ125*C125+AK125*D125+AL125*E125)),0)</f>
        <v>0</v>
      </c>
      <c r="AN125" s="0" t="n">
        <f aca="false">IF((AJ125*C125+AK125*D125+AL125*E125)&gt;0,MIN(D125-(AB125+AH125),(S125-(AA125+AB125+AC125+AG125+AH125+AI125))*AK125*D125/(AJ125*C125+AK125*D125+AL125*E125)),0)</f>
        <v>0</v>
      </c>
      <c r="AO125" s="0" t="n">
        <f aca="false">IF((AJ125*C125+AK125*D125+AL125*E125)&gt;0,MIN(E125-(AC125+AI125),(S125-(AA125+AB125+AC125+AG125+AH125+AI125))*AL125*E125/(AJ125*C125+AK125*D125+AL125*E125)),0)</f>
        <v>0</v>
      </c>
      <c r="AP125" s="0" t="n">
        <f aca="false">IF(T125=1,U125,AA125+AG125+AM125)</f>
        <v>0</v>
      </c>
      <c r="AQ125" s="0" t="n">
        <f aca="false">IF(T125=1,V125,AB125+AH125+AN125)</f>
        <v>0</v>
      </c>
      <c r="AR125" s="0" t="n">
        <f aca="false">IF(T125=1,W125,AC125+AI125+AO125)</f>
        <v>0</v>
      </c>
      <c r="AS125" s="0" t="n">
        <f aca="false">S125-AP125-AQ125-AR125</f>
        <v>0</v>
      </c>
      <c r="AT125" s="0" t="n">
        <f aca="false">C125-AP125</f>
        <v>0</v>
      </c>
      <c r="AU125" s="0" t="n">
        <f aca="false">D125-AQ125</f>
        <v>0</v>
      </c>
      <c r="AV125" s="0" t="n">
        <f aca="false">E125-AR125</f>
        <v>0</v>
      </c>
      <c r="AW125" s="0" t="n">
        <f aca="false">Pool!CB125</f>
        <v>-1.06979314296041E-010</v>
      </c>
      <c r="AX125" s="0" t="n">
        <f aca="false">IF((AT125)&gt;Inputs!$B$19,AW125/(AT125),1000000000)</f>
        <v>1000000000</v>
      </c>
      <c r="AY125" s="0" t="n">
        <f aca="false">IF((J125)&gt;0.000000001,(R125-I125-MAX(-M125,0))/(J125),1000000000)</f>
        <v>1000000000</v>
      </c>
      <c r="AZ125" s="0" t="n">
        <f aca="false">IF(OR(AX125&lt;Inputs!$B$24,AY125&lt;Inputs!$B$25),1,0)</f>
        <v>0</v>
      </c>
      <c r="BA125" s="0" t="n">
        <f aca="false">IF((AT125+AU125)&gt;Inputs!$B$19,AW125/(AT125+AU125),1000000000)</f>
        <v>1000000000</v>
      </c>
      <c r="BB125" s="0" t="n">
        <f aca="false">IF((J125+K125)&gt;0.000000001,(R125-I125-MAX(-M125,0))/(J125+K125),1000000000)</f>
        <v>1000000000</v>
      </c>
      <c r="BC125" s="0" t="n">
        <f aca="false">IF(OR(BA125&lt;Inputs!$B$29,BB125&lt;Inputs!$B$30),1,0)</f>
        <v>0</v>
      </c>
      <c r="BD125" s="0" t="n">
        <f aca="false">IF((AT125+AU125+AV125)&gt;Inputs!$B$19,AW125/(AT125+AU125+AV125),1000000000)</f>
        <v>1000000000</v>
      </c>
      <c r="BE125" s="0" t="n">
        <f aca="false">IF((J125+K125+L125)&gt;0.000000001,(R125-I125-MAX(-M125,0))/(J125+K125+L125),1000000000)</f>
        <v>1000000000</v>
      </c>
      <c r="BF125" s="0" t="n">
        <f aca="false">IF(OR(BD125&lt;Inputs!$B$34,BE125&lt;Inputs!$B$35),1,0)</f>
        <v>0</v>
      </c>
      <c r="BG125" s="0" t="n">
        <f aca="false">MAX(AZ125,BC125,BF125)</f>
        <v>0</v>
      </c>
      <c r="BH125" s="0" t="n">
        <f aca="false">MIN(R125,N125)</f>
        <v>0</v>
      </c>
      <c r="BI125" s="0" t="n">
        <f aca="false">R125-BH125</f>
        <v>0</v>
      </c>
      <c r="BJ125" s="0" t="n">
        <f aca="false">MIN(BI125,O125)</f>
        <v>0</v>
      </c>
      <c r="BK125" s="0" t="n">
        <f aca="false">BI125-BJ125</f>
        <v>0</v>
      </c>
      <c r="BL125" s="0" t="n">
        <f aca="false">AZ125*MIN(AT125,BK125)</f>
        <v>0</v>
      </c>
      <c r="BM125" s="0" t="n">
        <f aca="false">AZ125*MIN(AU125,BK125-BL125)</f>
        <v>0</v>
      </c>
      <c r="BN125" s="0" t="n">
        <f aca="false">AZ125*MIN(AV125,BK125-BL125-BM125)</f>
        <v>0</v>
      </c>
      <c r="BO125" s="0" t="n">
        <f aca="false">BK125-BL125-BM125-BN125</f>
        <v>0</v>
      </c>
      <c r="BP125" s="0" t="n">
        <f aca="false">MIN(BO125,P125)</f>
        <v>0</v>
      </c>
      <c r="BQ125" s="0" t="n">
        <f aca="false">BO125-BP125</f>
        <v>0</v>
      </c>
      <c r="BR125" s="0" t="n">
        <f aca="false">BC125*MIN((AT125-BL125),BQ125)</f>
        <v>0</v>
      </c>
      <c r="BS125" s="0" t="n">
        <f aca="false">BC125*MIN((AU125-BM125),BQ125-BR125)</f>
        <v>0</v>
      </c>
      <c r="BT125" s="0" t="n">
        <f aca="false">BC125*MIN((AV125-BN125),BQ125-BR125-BS125)</f>
        <v>0</v>
      </c>
      <c r="BU125" s="0" t="n">
        <f aca="false">BQ125-BR125-BS125-BT125</f>
        <v>0</v>
      </c>
      <c r="BV125" s="0" t="n">
        <f aca="false">MIN(BU125,Q125)</f>
        <v>0</v>
      </c>
      <c r="BW125" s="0" t="n">
        <f aca="false">BU125-BV125</f>
        <v>0</v>
      </c>
      <c r="BX125" s="0" t="n">
        <f aca="false">BF125*MIN((AT125-BL125-BR125),BW125)</f>
        <v>0</v>
      </c>
      <c r="BY125" s="0" t="n">
        <f aca="false">BF125*MIN((AU125-BM125-BS125),BW125-BX125)</f>
        <v>0</v>
      </c>
      <c r="BZ125" s="0" t="n">
        <f aca="false">BF125*MIN((AV125-BN125-BT125),BW125-BX125-BY125)</f>
        <v>0</v>
      </c>
      <c r="CA125" s="0" t="n">
        <f aca="false">BW125-BX125-BY125-BZ125</f>
        <v>0</v>
      </c>
      <c r="CB125" s="0" t="n">
        <f aca="false">MAX(0,AT125+AU125+AV125-BL125-BM125-BN125-BR125-BS125-BT125-BX125-BY125-BZ125-AW125)</f>
        <v>1.06979314296041E-010</v>
      </c>
      <c r="CC125" s="0" t="n">
        <f aca="false">1*MIN((AT125-BL125-BR125-BX125),MIN(CA125,CB125))</f>
        <v>0</v>
      </c>
      <c r="CD125" s="0" t="n">
        <f aca="false">1*MIN((AU125-BM125-BS125-BY125),MIN(CA125,CB125)-CC125)</f>
        <v>0</v>
      </c>
      <c r="CE125" s="0" t="n">
        <f aca="false">1*MIN((AV125-BN125-BT125-BZ125),MIN(CA125,CB125)-CC125-CD125)</f>
        <v>0</v>
      </c>
      <c r="CF125" s="0" t="n">
        <f aca="false">CA125-CC125-CD125-CE125</f>
        <v>0</v>
      </c>
      <c r="CG125" s="0" t="n">
        <f aca="false">IF(C125+D125+E125&gt;Inputs!$B$19,MIN(CF125,MAX(0,Inputs!$B$15-DO124)),0)</f>
        <v>0</v>
      </c>
      <c r="CH125" s="0" t="n">
        <f aca="false">CF125-CG125</f>
        <v>0</v>
      </c>
      <c r="CI125" s="0" t="n">
        <f aca="false">DO124+CG125</f>
        <v>0</v>
      </c>
      <c r="CJ125" s="0" t="n">
        <f aca="false">MIN(MAX(N125-BH125,0),CI125)</f>
        <v>0</v>
      </c>
      <c r="CK125" s="0" t="n">
        <f aca="false">MIN(MAX(O125-BJ125,0),CI125-CJ125)</f>
        <v>0</v>
      </c>
      <c r="CL125" s="0" t="n">
        <f aca="false">MIN(MAX(P125-BP125,0),CI125-CJ125-CK125)</f>
        <v>0</v>
      </c>
      <c r="CM125" s="0" t="n">
        <f aca="false">CJ125+CK125+CL125</f>
        <v>0</v>
      </c>
      <c r="CN125" s="0" t="n">
        <f aca="false">CI125-CM125</f>
        <v>0</v>
      </c>
      <c r="CO125" s="0" t="n">
        <f aca="false">BH125+CJ125</f>
        <v>0</v>
      </c>
      <c r="CP125" s="0" t="n">
        <f aca="false">BJ125+CK125</f>
        <v>0</v>
      </c>
      <c r="CQ125" s="0" t="n">
        <f aca="false">BP125+CL125</f>
        <v>0</v>
      </c>
      <c r="CR125" s="0" t="n">
        <f aca="false">BV125</f>
        <v>0</v>
      </c>
      <c r="CS125" s="0" t="n">
        <f aca="false">AT125-BL125-BR125-BX125-CC125</f>
        <v>0</v>
      </c>
      <c r="CT125" s="0" t="n">
        <f aca="false">AU125-BM125-BS125-BY125-CD125</f>
        <v>0</v>
      </c>
      <c r="CU125" s="0" t="n">
        <f aca="false">AV125-BN125-BT125-BZ125-CE125</f>
        <v>0</v>
      </c>
      <c r="CV125" s="0" t="n">
        <f aca="false">MAX(0,CS125+CT125+CU125-AW125)</f>
        <v>1.06979314296041E-010</v>
      </c>
      <c r="CW125" s="0" t="n">
        <f aca="false">MIN(CU125,CV125)</f>
        <v>0</v>
      </c>
      <c r="CX125" s="0" t="n">
        <f aca="false">MIN(CT125,CV125-CW125)</f>
        <v>0</v>
      </c>
      <c r="CY125" s="0" t="n">
        <f aca="false">MIN(CS125,CV125-CW125-CX125)</f>
        <v>0</v>
      </c>
      <c r="CZ125" s="0" t="n">
        <f aca="false">IF(CS125-CY125&lt;Inputs!$B$19,0,CS125-CY125)</f>
        <v>0</v>
      </c>
      <c r="DA125" s="0" t="n">
        <f aca="false">IF(CT125-CX125&lt;Inputs!$B$19,0,CT125-CX125)</f>
        <v>0</v>
      </c>
      <c r="DB125" s="0" t="n">
        <f aca="false">IF(CU125-CW125&lt;Inputs!$B$19,0,CU125-CW125)</f>
        <v>0</v>
      </c>
      <c r="DC125" s="0" t="n">
        <f aca="false">N125-CO125</f>
        <v>0</v>
      </c>
      <c r="DD125" s="0" t="n">
        <f aca="false">O125-CP125</f>
        <v>0</v>
      </c>
      <c r="DE125" s="0" t="n">
        <f aca="false">P125-CQ125</f>
        <v>0</v>
      </c>
      <c r="DF125" s="0" t="n">
        <f aca="false">Q125-CR125</f>
        <v>0</v>
      </c>
      <c r="DG125" s="0" t="n">
        <f aca="false">IF(CZ125+DA125+DB125&lt;=Inputs!$B$19,1,0)</f>
        <v>1</v>
      </c>
      <c r="DH125" s="0" t="n">
        <f aca="false">DG125*CN125</f>
        <v>0</v>
      </c>
      <c r="DI125" s="0" t="n">
        <f aca="false">DG125*(AS125+DH125)</f>
        <v>0</v>
      </c>
      <c r="DJ125" s="0" t="n">
        <f aca="false">DG125*MIN(DC125,DI125)</f>
        <v>0</v>
      </c>
      <c r="DK125" s="0" t="n">
        <f aca="false">DG125*MIN(DD125,DI125-DJ125)</f>
        <v>0</v>
      </c>
      <c r="DL125" s="0" t="n">
        <f aca="false">DG125*MIN(DE125,DI125-DJ125-DK125)</f>
        <v>0</v>
      </c>
      <c r="DM125" s="0" t="n">
        <f aca="false">DG125*MIN(DF125,DI125-DJ125-DK125-DL125)</f>
        <v>0</v>
      </c>
      <c r="DN125" s="0" t="n">
        <f aca="false">DJ125+DK125+DL125+DM125</f>
        <v>0</v>
      </c>
      <c r="DO125" s="0" t="n">
        <f aca="false">CN125-DH125</f>
        <v>0</v>
      </c>
      <c r="DP125" s="0" t="n">
        <f aca="false">DC125-DJ125</f>
        <v>0</v>
      </c>
      <c r="DQ125" s="0" t="n">
        <f aca="false">DD125-DK125</f>
        <v>0</v>
      </c>
      <c r="DR125" s="0" t="n">
        <f aca="false">DE125-DL125</f>
        <v>0</v>
      </c>
      <c r="DS125" s="0" t="n">
        <f aca="false">DF125-DM125</f>
        <v>0</v>
      </c>
      <c r="DT125" s="0" t="n">
        <f aca="false">CO125+DJ125</f>
        <v>0</v>
      </c>
      <c r="DU125" s="0" t="n">
        <f aca="false">CP125+DK125</f>
        <v>0</v>
      </c>
      <c r="DV125" s="0" t="n">
        <f aca="false">AP125+BL125+BR125+BX125+CC125</f>
        <v>0</v>
      </c>
      <c r="DW125" s="0" t="n">
        <f aca="false">CQ125+DL125</f>
        <v>0</v>
      </c>
      <c r="DX125" s="0" t="n">
        <f aca="false">AQ125+BM125+BS125+BY125+CD125</f>
        <v>0</v>
      </c>
      <c r="DY125" s="0" t="n">
        <f aca="false">CR125+DM125</f>
        <v>0</v>
      </c>
      <c r="DZ125" s="0" t="n">
        <f aca="false">AR125+BN125+BT125+BZ125+CE125</f>
        <v>0</v>
      </c>
      <c r="EA125" s="0" t="n">
        <f aca="false">DI125-DN125</f>
        <v>0</v>
      </c>
      <c r="EB125" s="0" t="n">
        <f aca="false">CH125+EA125</f>
        <v>0</v>
      </c>
      <c r="EC125" s="0" t="n">
        <f aca="false">R125-I125-MAX(-M125,0)-J125-K125-L125</f>
        <v>0</v>
      </c>
      <c r="ED125" s="0" t="n">
        <f aca="false">R125+S125+CM125+DH125-CG125-DT125-DU125-DW125-DY125-DV125-DX125-DZ125-EB125</f>
        <v>0</v>
      </c>
      <c r="EE125" s="0" t="n">
        <f aca="false">IF(AND(EB125&gt;0.000001,DP125+DQ125+DR125+DS125&gt;0.000001),1,0)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E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sheetData>
    <row r="4" customFormat="false" ht="15" hidden="false" customHeight="false" outlineLevel="0" collapsed="false">
      <c r="A4" s="0" t="s">
        <v>67</v>
      </c>
      <c r="B4" s="0" t="s">
        <v>282</v>
      </c>
      <c r="C4" s="0" t="s">
        <v>283</v>
      </c>
      <c r="D4" s="0" t="s">
        <v>284</v>
      </c>
      <c r="E4" s="0" t="s">
        <v>285</v>
      </c>
    </row>
    <row r="5" customFormat="false" ht="15" hidden="false" customHeight="false" outlineLevel="0" collapsed="false">
      <c r="B5" s="0" t="n">
        <f aca="false">-Inputs!$B$21</f>
        <v>-300000000</v>
      </c>
      <c r="C5" s="0" t="n">
        <f aca="false">-Inputs!$B$26</f>
        <v>-40000000</v>
      </c>
      <c r="D5" s="0" t="n">
        <f aca="false">-Inputs!$B$31</f>
        <v>-30000000</v>
      </c>
      <c r="E5" s="0" t="n">
        <f aca="false">-Inputs!$B$37</f>
        <v>-33000000</v>
      </c>
    </row>
    <row r="6" customFormat="false" ht="15" hidden="false" customHeight="false" outlineLevel="0" collapsed="false">
      <c r="A6" s="0" t="n">
        <f aca="false">ROW()-5</f>
        <v>1</v>
      </c>
      <c r="B6" s="0" t="n">
        <f aca="false">Waterfall!DU6+Waterfall!DV6</f>
        <v>10301934.8331434</v>
      </c>
      <c r="C6" s="0" t="n">
        <f aca="false">Waterfall!DW6+Waterfall!DX6</f>
        <v>216904.964332153</v>
      </c>
      <c r="D6" s="0" t="n">
        <f aca="false">Waterfall!DY6+Waterfall!DZ6</f>
        <v>187500</v>
      </c>
      <c r="E6" s="0" t="n">
        <f aca="false">Waterfall!EB6</f>
        <v>1089511.02829642</v>
      </c>
    </row>
    <row r="7" customFormat="false" ht="15" hidden="false" customHeight="false" outlineLevel="0" collapsed="false">
      <c r="A7" s="0" t="n">
        <f aca="false">ROW()-5</f>
        <v>2</v>
      </c>
      <c r="B7" s="0" t="n">
        <f aca="false">Waterfall!DU7+Waterfall!DV7</f>
        <v>10142735.5367174</v>
      </c>
      <c r="C7" s="0" t="n">
        <f aca="false">Waterfall!DW7+Waterfall!DX7</f>
        <v>215534.88784536</v>
      </c>
      <c r="D7" s="0" t="n">
        <f aca="false">Waterfall!DY7+Waterfall!DZ7</f>
        <v>187500</v>
      </c>
      <c r="E7" s="0" t="n">
        <f aca="false">Waterfall!EB7</f>
        <v>1072113.11731448</v>
      </c>
    </row>
    <row r="8" customFormat="false" ht="15" hidden="false" customHeight="false" outlineLevel="0" collapsed="false">
      <c r="A8" s="0" t="n">
        <f aca="false">ROW()-5</f>
        <v>3</v>
      </c>
      <c r="B8" s="0" t="n">
        <f aca="false">Waterfall!DU8+Waterfall!DV8</f>
        <v>9986293.11199375</v>
      </c>
      <c r="C8" s="0" t="n">
        <f aca="false">Waterfall!DW8+Waterfall!DX8</f>
        <v>214220.724923794</v>
      </c>
      <c r="D8" s="0" t="n">
        <f aca="false">Waterfall!DY8+Waterfall!DZ8</f>
        <v>187500</v>
      </c>
      <c r="E8" s="0" t="n">
        <f aca="false">Waterfall!EB8</f>
        <v>1054088.86224926</v>
      </c>
    </row>
    <row r="9" customFormat="false" ht="15" hidden="false" customHeight="false" outlineLevel="0" collapsed="false">
      <c r="A9" s="0" t="n">
        <f aca="false">ROW()-5</f>
        <v>4</v>
      </c>
      <c r="B9" s="0" t="n">
        <f aca="false">Waterfall!DU9+Waterfall!DV9</f>
        <v>9832524.07082859</v>
      </c>
      <c r="C9" s="0" t="n">
        <f aca="false">Waterfall!DW9+Waterfall!DX9</f>
        <v>212960.193704505</v>
      </c>
      <c r="D9" s="0" t="n">
        <f aca="false">Waterfall!DY9+Waterfall!DZ9</f>
        <v>187500</v>
      </c>
      <c r="E9" s="0" t="n">
        <f aca="false">Waterfall!EB9</f>
        <v>1035498.63760839</v>
      </c>
    </row>
    <row r="10" customFormat="false" ht="15" hidden="false" customHeight="false" outlineLevel="0" collapsed="false">
      <c r="A10" s="0" t="n">
        <f aca="false">ROW()-5</f>
        <v>5</v>
      </c>
      <c r="B10" s="0" t="n">
        <f aca="false">Waterfall!DU10+Waterfall!DV10</f>
        <v>9681348.80766018</v>
      </c>
      <c r="C10" s="0" t="n">
        <f aca="false">Waterfall!DW10+Waterfall!DX10</f>
        <v>211751.105448606</v>
      </c>
      <c r="D10" s="0" t="n">
        <f aca="false">Waterfall!DY10+Waterfall!DZ10</f>
        <v>187500</v>
      </c>
      <c r="E10" s="0" t="n">
        <f aca="false">Waterfall!EB10</f>
        <v>1016399.13153751</v>
      </c>
    </row>
    <row r="11" customFormat="false" ht="15" hidden="false" customHeight="false" outlineLevel="0" collapsed="false">
      <c r="A11" s="0" t="n">
        <f aca="false">ROW()-5</f>
        <v>6</v>
      </c>
      <c r="B11" s="0" t="n">
        <f aca="false">Waterfall!DU11+Waterfall!DV11</f>
        <v>9532691.39331642</v>
      </c>
      <c r="C11" s="0" t="n">
        <f aca="false">Waterfall!DW11+Waterfall!DX11</f>
        <v>210591.360740833</v>
      </c>
      <c r="D11" s="0" t="n">
        <f aca="false">Waterfall!DY11+Waterfall!DZ11</f>
        <v>187500</v>
      </c>
      <c r="E11" s="0" t="n">
        <f aca="false">Waterfall!EB11</f>
        <v>996843.552540441</v>
      </c>
    </row>
    <row r="12" customFormat="false" ht="15" hidden="false" customHeight="false" outlineLevel="0" collapsed="false">
      <c r="A12" s="0" t="n">
        <f aca="false">ROW()-5</f>
        <v>7</v>
      </c>
      <c r="B12" s="0" t="n">
        <f aca="false">Waterfall!DU12+Waterfall!DV12</f>
        <v>9994891.04730615</v>
      </c>
      <c r="C12" s="0" t="n">
        <f aca="false">Waterfall!DW12+Waterfall!DX12</f>
        <v>209478.945844199</v>
      </c>
      <c r="D12" s="0" t="n">
        <f aca="false">Waterfall!DY12+Waterfall!DZ12</f>
        <v>187500</v>
      </c>
      <c r="E12" s="0" t="n">
        <f aca="false">Waterfall!EB12</f>
        <v>976881.824918123</v>
      </c>
    </row>
    <row r="13" customFormat="false" ht="15" hidden="false" customHeight="false" outlineLevel="0" collapsed="false">
      <c r="A13" s="0" t="n">
        <f aca="false">ROW()-5</f>
        <v>8</v>
      </c>
      <c r="B13" s="0" t="n">
        <f aca="false">Waterfall!DU13+Waterfall!DV13</f>
        <v>9833293.53743588</v>
      </c>
      <c r="C13" s="0" t="n">
        <f aca="false">Waterfall!DW13+Waterfall!DX13</f>
        <v>208411.929203416</v>
      </c>
      <c r="D13" s="0" t="n">
        <f aca="false">Waterfall!DY13+Waterfall!DZ13</f>
        <v>187500</v>
      </c>
      <c r="E13" s="0" t="n">
        <f aca="false">Waterfall!EB13</f>
        <v>959147.71858628</v>
      </c>
    </row>
    <row r="14" customFormat="false" ht="15" hidden="false" customHeight="false" outlineLevel="0" collapsed="false">
      <c r="A14" s="0" t="n">
        <f aca="false">ROW()-5</f>
        <v>9</v>
      </c>
      <c r="B14" s="0" t="n">
        <f aca="false">Waterfall!DU14+Waterfall!DV14</f>
        <v>9674306.11210147</v>
      </c>
      <c r="C14" s="0" t="n">
        <f aca="false">Waterfall!DW14+Waterfall!DX14</f>
        <v>207388.458091017</v>
      </c>
      <c r="D14" s="0" t="n">
        <f aca="false">Waterfall!DY14+Waterfall!DZ14</f>
        <v>187500</v>
      </c>
      <c r="E14" s="0" t="n">
        <f aca="false">Waterfall!EB14</f>
        <v>941002.91954787</v>
      </c>
    </row>
    <row r="15" customFormat="false" ht="15" hidden="false" customHeight="false" outlineLevel="0" collapsed="false">
      <c r="A15" s="0" t="n">
        <f aca="false">ROW()-5</f>
        <v>10</v>
      </c>
      <c r="B15" s="0" t="n">
        <f aca="false">Waterfall!DU15+Waterfall!DV15</f>
        <v>9517859.36946065</v>
      </c>
      <c r="C15" s="0" t="n">
        <f aca="false">Waterfall!DW15+Waterfall!DX15</f>
        <v>206406.755390349</v>
      </c>
      <c r="D15" s="0" t="n">
        <f aca="false">Waterfall!DY15+Waterfall!DZ15</f>
        <v>187500</v>
      </c>
      <c r="E15" s="0" t="n">
        <f aca="false">Waterfall!EB15</f>
        <v>922492.451122427</v>
      </c>
    </row>
    <row r="16" customFormat="false" ht="15" hidden="false" customHeight="false" outlineLevel="0" collapsed="false">
      <c r="A16" s="0" t="n">
        <f aca="false">ROW()-5</f>
        <v>11</v>
      </c>
      <c r="B16" s="0" t="n">
        <f aca="false">Waterfall!DU16+Waterfall!DV16</f>
        <v>9363886.96158061</v>
      </c>
      <c r="C16" s="0" t="n">
        <f aca="false">Waterfall!DW16+Waterfall!DX16</f>
        <v>205465.116509852</v>
      </c>
      <c r="D16" s="0" t="n">
        <f aca="false">Waterfall!DY16+Waterfall!DZ16</f>
        <v>187500</v>
      </c>
      <c r="E16" s="0" t="n">
        <f aca="false">Waterfall!EB16</f>
        <v>903658.508648061</v>
      </c>
    </row>
    <row r="17" customFormat="false" ht="15" hidden="false" customHeight="false" outlineLevel="0" collapsed="false">
      <c r="A17" s="0" t="n">
        <f aca="false">ROW()-5</f>
        <v>12</v>
      </c>
      <c r="B17" s="0" t="n">
        <f aca="false">Waterfall!DU17+Waterfall!DV17</f>
        <v>9212325.43264551</v>
      </c>
      <c r="C17" s="0" t="n">
        <f aca="false">Waterfall!DW17+Waterfall!DX17</f>
        <v>204561.906423275</v>
      </c>
      <c r="D17" s="0" t="n">
        <f aca="false">Waterfall!DY17+Waterfall!DZ17</f>
        <v>187500</v>
      </c>
      <c r="E17" s="0" t="n">
        <f aca="false">Waterfall!EB17</f>
        <v>884540.620855922</v>
      </c>
    </row>
    <row r="18" customFormat="false" ht="15" hidden="false" customHeight="false" outlineLevel="0" collapsed="false">
      <c r="A18" s="0" t="n">
        <f aca="false">ROW()-5</f>
        <v>13</v>
      </c>
      <c r="B18" s="0" t="n">
        <f aca="false">Waterfall!DU18+Waterfall!DV18</f>
        <v>9063114.06600914</v>
      </c>
      <c r="C18" s="0" t="n">
        <f aca="false">Waterfall!DW18+Waterfall!DX18</f>
        <v>203695.556830677</v>
      </c>
      <c r="D18" s="0" t="n">
        <f aca="false">Waterfall!DY18+Waterfall!DZ18</f>
        <v>187500</v>
      </c>
      <c r="E18" s="0" t="n">
        <f aca="false">Waterfall!EB18</f>
        <v>865175.802316856</v>
      </c>
    </row>
    <row r="19" customFormat="false" ht="15" hidden="false" customHeight="false" outlineLevel="0" collapsed="false">
      <c r="A19" s="0" t="n">
        <f aca="false">ROW()-5</f>
        <v>14</v>
      </c>
      <c r="B19" s="0" t="n">
        <f aca="false">Waterfall!DU19+Waterfall!DV19</f>
        <v>8916194.73961097</v>
      </c>
      <c r="C19" s="0" t="n">
        <f aca="false">Waterfall!DW19+Waterfall!DX19</f>
        <v>202864.563435285</v>
      </c>
      <c r="D19" s="0" t="n">
        <f aca="false">Waterfall!DY19+Waterfall!DZ19</f>
        <v>187500</v>
      </c>
      <c r="E19" s="0" t="n">
        <f aca="false">Waterfall!EB19</f>
        <v>845598.697446478</v>
      </c>
    </row>
    <row r="20" customFormat="false" ht="15" hidden="false" customHeight="false" outlineLevel="0" collapsed="false">
      <c r="A20" s="0" t="n">
        <f aca="false">ROW()-5</f>
        <v>15</v>
      </c>
      <c r="B20" s="0" t="n">
        <f aca="false">Waterfall!DU20+Waterfall!DV20</f>
        <v>8771511.78929987</v>
      </c>
      <c r="C20" s="0" t="n">
        <f aca="false">Waterfall!DW20+Waterfall!DX20</f>
        <v>202067.483331498</v>
      </c>
      <c r="D20" s="0" t="n">
        <f aca="false">Waterfall!DY20+Waterfall!DZ20</f>
        <v>187500</v>
      </c>
      <c r="E20" s="0" t="n">
        <f aca="false">Waterfall!EB20</f>
        <v>825841.716528707</v>
      </c>
    </row>
    <row r="21" customFormat="false" ht="15" hidden="false" customHeight="false" outlineLevel="0" collapsed="false">
      <c r="A21" s="0" t="n">
        <f aca="false">ROW()-5</f>
        <v>16</v>
      </c>
      <c r="B21" s="0" t="n">
        <f aca="false">Waterfall!DU21+Waterfall!DV21</f>
        <v>8629011.87963434</v>
      </c>
      <c r="C21" s="0" t="n">
        <f aca="false">Waterfall!DW21+Waterfall!DX21</f>
        <v>201302.932499474</v>
      </c>
      <c r="D21" s="0" t="n">
        <f aca="false">Waterfall!DY21+Waterfall!DZ21</f>
        <v>187500</v>
      </c>
      <c r="E21" s="0" t="n">
        <f aca="false">Waterfall!EB21</f>
        <v>805935.164192969</v>
      </c>
    </row>
    <row r="22" customFormat="false" ht="15" hidden="false" customHeight="false" outlineLevel="0" collapsed="false">
      <c r="A22" s="0" t="n">
        <f aca="false">ROW()-5</f>
        <v>17</v>
      </c>
      <c r="B22" s="0" t="n">
        <f aca="false">Waterfall!DU22+Waterfall!DV22</f>
        <v>8488643.88175156</v>
      </c>
      <c r="C22" s="0" t="n">
        <f aca="false">Waterfall!DW22+Waterfall!DX22</f>
        <v>200569.583401973</v>
      </c>
      <c r="D22" s="0" t="n">
        <f aca="false">Waterfall!DY22+Waterfall!DZ22</f>
        <v>187500</v>
      </c>
      <c r="E22" s="0" t="n">
        <f aca="false">Waterfall!EB22</f>
        <v>785907.360756834</v>
      </c>
    </row>
    <row r="23" customFormat="false" ht="15" hidden="false" customHeight="false" outlineLevel="0" collapsed="false">
      <c r="A23" s="0" t="n">
        <f aca="false">ROW()-5</f>
        <v>18</v>
      </c>
      <c r="B23" s="0" t="n">
        <f aca="false">Waterfall!DU23+Waterfall!DV23</f>
        <v>8350358.7579194</v>
      </c>
      <c r="C23" s="0" t="n">
        <f aca="false">Waterfall!DW23+Waterfall!DX23</f>
        <v>199866.162679269</v>
      </c>
      <c r="D23" s="0" t="n">
        <f aca="false">Waterfall!DY23+Waterfall!DZ23</f>
        <v>187500</v>
      </c>
      <c r="E23" s="0" t="n">
        <f aca="false">Waterfall!EB23</f>
        <v>765784.756823596</v>
      </c>
    </row>
    <row r="24" customFormat="false" ht="15" hidden="false" customHeight="false" outlineLevel="0" collapsed="false">
      <c r="A24" s="0" t="n">
        <f aca="false">ROW()-5</f>
        <v>19</v>
      </c>
      <c r="B24" s="0" t="n">
        <f aca="false">Waterfall!DU24+Waterfall!DV24</f>
        <v>8214109.45240642</v>
      </c>
      <c r="C24" s="0" t="n">
        <f aca="false">Waterfall!DW24+Waterfall!DX24</f>
        <v>199191.448938139</v>
      </c>
      <c r="D24" s="0" t="n">
        <f aca="false">Waterfall!DY24+Waterfall!DZ24</f>
        <v>187500</v>
      </c>
      <c r="E24" s="0" t="n">
        <f aca="false">Waterfall!EB24</f>
        <v>745592.041503294</v>
      </c>
    </row>
    <row r="25" customFormat="false" ht="15" hidden="false" customHeight="false" outlineLevel="0" collapsed="false">
      <c r="A25" s="0" t="n">
        <f aca="false">ROW()-5</f>
        <v>20</v>
      </c>
      <c r="B25" s="0" t="n">
        <f aca="false">Waterfall!DU25+Waterfall!DV25</f>
        <v>8079850.78832498</v>
      </c>
      <c r="C25" s="0" t="n">
        <f aca="false">Waterfall!DW25+Waterfall!DX25</f>
        <v>198544.270631081</v>
      </c>
      <c r="D25" s="0" t="n">
        <f aca="false">Waterfall!DY25+Waterfall!DZ25</f>
        <v>187500</v>
      </c>
      <c r="E25" s="0" t="n">
        <f aca="false">Waterfall!EB25</f>
        <v>725352.244605767</v>
      </c>
    </row>
    <row r="26" customFormat="false" ht="15" hidden="false" customHeight="false" outlineLevel="0" collapsed="false">
      <c r="A26" s="0" t="n">
        <f aca="false">ROW()-5</f>
        <v>21</v>
      </c>
      <c r="B26" s="0" t="n">
        <f aca="false">Waterfall!DU26+Waterfall!DV26</f>
        <v>7947539.37012068</v>
      </c>
      <c r="C26" s="0" t="n">
        <f aca="false">Waterfall!DW26+Waterfall!DX26</f>
        <v>197923.504022081</v>
      </c>
      <c r="D26" s="0" t="n">
        <f aca="false">Waterfall!DY26+Waterfall!DZ26</f>
        <v>187500</v>
      </c>
      <c r="E26" s="0" t="n">
        <f aca="false">Waterfall!EB26</f>
        <v>705086.83313547</v>
      </c>
    </row>
    <row r="27" customFormat="false" ht="15" hidden="false" customHeight="false" outlineLevel="0" collapsed="false">
      <c r="A27" s="0" t="n">
        <f aca="false">ROW()-5</f>
        <v>22</v>
      </c>
      <c r="B27" s="0" t="n">
        <f aca="false">Waterfall!DU27+Waterfall!DV27</f>
        <v>7817133.49139961</v>
      </c>
      <c r="C27" s="0" t="n">
        <f aca="false">Waterfall!DW27+Waterfall!DX27</f>
        <v>197328.071235403</v>
      </c>
      <c r="D27" s="0" t="n">
        <f aca="false">Waterfall!DY27+Waterfall!DZ27</f>
        <v>187500</v>
      </c>
      <c r="E27" s="0" t="n">
        <f aca="false">Waterfall!EB27</f>
        <v>684815.802399988</v>
      </c>
    </row>
    <row r="28" customFormat="false" ht="15" hidden="false" customHeight="false" outlineLevel="0" collapsed="false">
      <c r="A28" s="0" t="n">
        <f aca="false">ROW()-5</f>
        <v>23</v>
      </c>
      <c r="B28" s="0" t="n">
        <f aca="false">Waterfall!DU28+Waterfall!DV28</f>
        <v>7688593.04780117</v>
      </c>
      <c r="C28" s="0" t="n">
        <f aca="false">Waterfall!DW28+Waterfall!DX28</f>
        <v>196756.938384004</v>
      </c>
      <c r="D28" s="0" t="n">
        <f aca="false">Waterfall!DY28+Waterfall!DZ28</f>
        <v>187500</v>
      </c>
      <c r="E28" s="0" t="n">
        <f aca="false">Waterfall!EB28</f>
        <v>664557.762027274</v>
      </c>
    </row>
    <row r="29" customFormat="false" ht="15" hidden="false" customHeight="false" outlineLevel="0" collapsed="false">
      <c r="A29" s="0" t="n">
        <f aca="false">ROW()-5</f>
        <v>24</v>
      </c>
      <c r="B29" s="0" t="n">
        <f aca="false">Waterfall!DU29+Waterfall!DV29</f>
        <v>7561879.45464045</v>
      </c>
      <c r="C29" s="0" t="n">
        <f aca="false">Waterfall!DW29+Waterfall!DX29</f>
        <v>196209.113774334</v>
      </c>
      <c r="D29" s="0" t="n">
        <f aca="false">Waterfall!DY29+Waterfall!DZ29</f>
        <v>187500</v>
      </c>
      <c r="E29" s="0" t="n">
        <f aca="false">Waterfall!EB29</f>
        <v>644330.017170693</v>
      </c>
    </row>
    <row r="30" customFormat="false" ht="15" hidden="false" customHeight="false" outlineLevel="0" collapsed="false">
      <c r="A30" s="0" t="n">
        <f aca="false">ROW()-5</f>
        <v>25</v>
      </c>
      <c r="B30" s="0" t="n">
        <f aca="false">Waterfall!DU30+Waterfall!DV30</f>
        <v>7436955.56905871</v>
      </c>
      <c r="C30" s="0" t="n">
        <f aca="false">Waterfall!DW30+Waterfall!DX30</f>
        <v>195683.646184393</v>
      </c>
      <c r="D30" s="0" t="n">
        <f aca="false">Waterfall!DY30+Waterfall!DZ30</f>
        <v>187500</v>
      </c>
      <c r="E30" s="0" t="n">
        <f aca="false">Waterfall!EB30</f>
        <v>624148.645165831</v>
      </c>
    </row>
    <row r="31" customFormat="false" ht="15" hidden="false" customHeight="false" outlineLevel="0" collapsed="false">
      <c r="A31" s="0" t="n">
        <f aca="false">ROW()-5</f>
        <v>26</v>
      </c>
      <c r="B31" s="0" t="n">
        <f aca="false">Waterfall!DU31+Waterfall!DV31</f>
        <v>7313785.61643522</v>
      </c>
      <c r="C31" s="0" t="n">
        <f aca="false">Waterfall!DW31+Waterfall!DX31</f>
        <v>195179.623212069</v>
      </c>
      <c r="D31" s="0" t="n">
        <f aca="false">Waterfall!DY31+Waterfall!DZ31</f>
        <v>187500</v>
      </c>
      <c r="E31" s="0" t="n">
        <f aca="false">Waterfall!EB31</f>
        <v>604028.567888724</v>
      </c>
    </row>
    <row r="32" customFormat="false" ht="15" hidden="false" customHeight="false" outlineLevel="0" collapsed="false">
      <c r="A32" s="0" t="n">
        <f aca="false">ROW()-5</f>
        <v>27</v>
      </c>
      <c r="B32" s="0" t="n">
        <f aca="false">Waterfall!DU32+Waterfall!DV32</f>
        <v>7192335.12082648</v>
      </c>
      <c r="C32" s="0" t="n">
        <f aca="false">Waterfall!DW32+Waterfall!DX32</f>
        <v>194696.169690876</v>
      </c>
      <c r="D32" s="0" t="n">
        <f aca="false">Waterfall!DY32+Waterfall!DZ32</f>
        <v>187500</v>
      </c>
      <c r="E32" s="0" t="n">
        <f aca="false">Waterfall!EB32</f>
        <v>583983.620051639</v>
      </c>
    </row>
    <row r="33" customFormat="false" ht="15" hidden="false" customHeight="false" outlineLevel="0" collapsed="false">
      <c r="A33" s="0" t="n">
        <f aca="false">ROW()-5</f>
        <v>28</v>
      </c>
      <c r="B33" s="0" t="n">
        <f aca="false">Waterfall!DU33+Waterfall!DV33</f>
        <v>7072570.8392122</v>
      </c>
      <c r="C33" s="0" t="n">
        <f aca="false">Waterfall!DW33+Waterfall!DX33</f>
        <v>194232.446170344</v>
      </c>
      <c r="D33" s="0" t="n">
        <f aca="false">Waterfall!DY33+Waterfall!DZ33</f>
        <v>187500</v>
      </c>
      <c r="E33" s="0" t="n">
        <f aca="false">Waterfall!EB33</f>
        <v>564026.613659722</v>
      </c>
    </row>
    <row r="34" customFormat="false" ht="15" hidden="false" customHeight="false" outlineLevel="0" collapsed="false">
      <c r="A34" s="0" t="n">
        <f aca="false">ROW()-5</f>
        <v>29</v>
      </c>
      <c r="B34" s="0" t="n">
        <f aca="false">Waterfall!DU34+Waterfall!DV34</f>
        <v>6954460.69933891</v>
      </c>
      <c r="C34" s="0" t="n">
        <f aca="false">Waterfall!DW34+Waterfall!DX34</f>
        <v>193787.647458437</v>
      </c>
      <c r="D34" s="0" t="n">
        <f aca="false">Waterfall!DY34+Waterfall!DZ34</f>
        <v>187500</v>
      </c>
      <c r="E34" s="0" t="n">
        <f aca="false">Waterfall!EB34</f>
        <v>544169.398839725</v>
      </c>
    </row>
    <row r="35" customFormat="false" ht="15" hidden="false" customHeight="false" outlineLevel="0" collapsed="false">
      <c r="A35" s="0" t="n">
        <f aca="false">ROW()-5</f>
        <v>30</v>
      </c>
      <c r="B35" s="0" t="n">
        <f aca="false">Waterfall!DU35+Waterfall!DV35</f>
        <v>6837973.74096374</v>
      </c>
      <c r="C35" s="0" t="n">
        <f aca="false">Waterfall!DW35+Waterfall!DX35</f>
        <v>193361.00122344</v>
      </c>
      <c r="D35" s="0" t="n">
        <f aca="false">Waterfall!DY35+Waterfall!DZ35</f>
        <v>187500</v>
      </c>
      <c r="E35" s="0" t="n">
        <f aca="false">Waterfall!EB35</f>
        <v>524422.921240524</v>
      </c>
    </row>
    <row r="36" customFormat="false" ht="15" hidden="false" customHeight="false" outlineLevel="0" collapsed="false">
      <c r="A36" s="0" t="n">
        <f aca="false">ROW()-5</f>
        <v>31</v>
      </c>
      <c r="B36" s="0" t="n">
        <f aca="false">Waterfall!DU36+Waterfall!DV36</f>
        <v>6723080.06031149</v>
      </c>
      <c r="C36" s="0" t="n">
        <f aca="false">Waterfall!DW36+Waterfall!DX36</f>
        <v>192951.766652915</v>
      </c>
      <c r="D36" s="0" t="n">
        <f aca="false">Waterfall!DY36+Waterfall!DZ36</f>
        <v>187500</v>
      </c>
      <c r="E36" s="0" t="n">
        <f aca="false">Waterfall!EB36</f>
        <v>504797.276194347</v>
      </c>
    </row>
    <row r="37" customFormat="false" ht="15" hidden="false" customHeight="false" outlineLevel="0" collapsed="false">
      <c r="A37" s="0" t="n">
        <f aca="false">ROW()-5</f>
        <v>32</v>
      </c>
      <c r="B37" s="0" t="n">
        <f aca="false">Waterfall!DU37+Waterfall!DV37</f>
        <v>6609750.75756845</v>
      </c>
      <c r="C37" s="0" t="n">
        <f aca="false">Waterfall!DW37+Waterfall!DX37</f>
        <v>192559.233167384</v>
      </c>
      <c r="D37" s="0" t="n">
        <f aca="false">Waterfall!DY37+Waterfall!DZ37</f>
        <v>187500</v>
      </c>
      <c r="E37" s="0" t="n">
        <f aca="false">Waterfall!EB37</f>
        <v>485301.759817297</v>
      </c>
    </row>
    <row r="38" customFormat="false" ht="15" hidden="false" customHeight="false" outlineLevel="0" collapsed="false">
      <c r="A38" s="0" t="n">
        <f aca="false">ROW()-5</f>
        <v>33</v>
      </c>
      <c r="B38" s="0" t="n">
        <f aca="false">Waterfall!DU38+Waterfall!DV38</f>
        <v>6497957.8872458</v>
      </c>
      <c r="C38" s="0" t="n">
        <f aca="false">Waterfall!DW38+Waterfall!DX38</f>
        <v>192182.719186499</v>
      </c>
      <c r="D38" s="0" t="n">
        <f aca="false">Waterfall!DY38+Waterfall!DZ38</f>
        <v>187500</v>
      </c>
      <c r="E38" s="0" t="n">
        <f aca="false">Waterfall!EB38</f>
        <v>465944.917218099</v>
      </c>
    </row>
    <row r="39" customFormat="false" ht="15" hidden="false" customHeight="false" outlineLevel="0" collapsed="false">
      <c r="A39" s="0" t="n">
        <f aca="false">ROW()-5</f>
        <v>34</v>
      </c>
      <c r="B39" s="0" t="n">
        <f aca="false">Waterfall!DU39+Waterfall!DV39</f>
        <v>6387674.41125482</v>
      </c>
      <c r="C39" s="0" t="n">
        <f aca="false">Waterfall!DW39+Waterfall!DX39</f>
        <v>191821.570945581</v>
      </c>
      <c r="D39" s="0" t="n">
        <f aca="false">Waterfall!DY39+Waterfall!DZ39</f>
        <v>187500</v>
      </c>
      <c r="E39" s="0" t="n">
        <f aca="false">Waterfall!EB39</f>
        <v>446734.587974775</v>
      </c>
    </row>
    <row r="40" customFormat="false" ht="15" hidden="false" customHeight="false" outlineLevel="0" collapsed="false">
      <c r="A40" s="0" t="n">
        <f aca="false">ROW()-5</f>
        <v>35</v>
      </c>
      <c r="B40" s="0" t="n">
        <f aca="false">Waterfall!DU40+Waterfall!DV40</f>
        <v>6278874.15454456</v>
      </c>
      <c r="C40" s="0" t="n">
        <f aca="false">Waterfall!DW40+Waterfall!DX40</f>
        <v>191475.161360439</v>
      </c>
      <c r="D40" s="0" t="n">
        <f aca="false">Waterfall!DY40+Waterfall!DZ40</f>
        <v>187500</v>
      </c>
      <c r="E40" s="0" t="n">
        <f aca="false">Waterfall!EB40</f>
        <v>427677.949030265</v>
      </c>
    </row>
    <row r="41" customFormat="false" ht="15" hidden="false" customHeight="false" outlineLevel="0" collapsed="false">
      <c r="A41" s="0" t="n">
        <f aca="false">ROW()-5</f>
        <v>36</v>
      </c>
      <c r="B41" s="0" t="n">
        <f aca="false">Waterfall!DU41+Waterfall!DV41</f>
        <v>6171531.76316077</v>
      </c>
      <c r="C41" s="0" t="n">
        <f aca="false">Waterfall!DW41+Waterfall!DX41</f>
        <v>191142.888938528</v>
      </c>
      <c r="D41" s="0" t="n">
        <f aca="false">Waterfall!DY41+Waterfall!DZ41</f>
        <v>187500</v>
      </c>
      <c r="E41" s="0" t="n">
        <f aca="false">Waterfall!EB41</f>
        <v>408781.555149795</v>
      </c>
    </row>
    <row r="42" customFormat="false" ht="15" hidden="false" customHeight="false" outlineLevel="0" collapsed="false">
      <c r="A42" s="0" t="n">
        <f aca="false">ROW()-5</f>
        <v>37</v>
      </c>
      <c r="B42" s="0" t="n">
        <f aca="false">Waterfall!DU42+Waterfall!DV42</f>
        <v>5269910.69204671</v>
      </c>
      <c r="C42" s="0" t="n">
        <f aca="false">Waterfall!DW42+Waterfall!DX42</f>
        <v>190824.176734544</v>
      </c>
      <c r="D42" s="0" t="n">
        <f aca="false">Waterfall!DY42+Waterfall!DZ42</f>
        <v>187500</v>
      </c>
      <c r="E42" s="0" t="n">
        <f aca="false">Waterfall!EB42</f>
        <v>390051.37707499</v>
      </c>
    </row>
    <row r="43" customFormat="false" ht="15" hidden="false" customHeight="false" outlineLevel="0" collapsed="false">
      <c r="A43" s="0" t="n">
        <f aca="false">ROW()-5</f>
        <v>38</v>
      </c>
      <c r="B43" s="0" t="n">
        <f aca="false">Waterfall!DU43+Waterfall!DV43</f>
        <v>5179545.85421475</v>
      </c>
      <c r="C43" s="0" t="n">
        <f aca="false">Waterfall!DW43+Waterfall!DX43</f>
        <v>190518.47134863</v>
      </c>
      <c r="D43" s="0" t="n">
        <f aca="false">Waterfall!DY43+Waterfall!DZ43</f>
        <v>187500</v>
      </c>
      <c r="E43" s="0" t="n">
        <f aca="false">Waterfall!EB43</f>
        <v>372876.010365487</v>
      </c>
    </row>
    <row r="44" customFormat="false" ht="15" hidden="false" customHeight="false" outlineLevel="0" collapsed="false">
      <c r="A44" s="0" t="n">
        <f aca="false">ROW()-5</f>
        <v>39</v>
      </c>
      <c r="B44" s="0" t="n">
        <f aca="false">Waterfall!DU44+Waterfall!DV44</f>
        <v>5090377.23178369</v>
      </c>
      <c r="C44" s="0" t="n">
        <f aca="false">Waterfall!DW44+Waterfall!DX44</f>
        <v>190225.24196548</v>
      </c>
      <c r="D44" s="0" t="n">
        <f aca="false">Waterfall!DY44+Waterfall!DZ44</f>
        <v>187500</v>
      </c>
      <c r="E44" s="0" t="n">
        <f aca="false">Waterfall!EB44</f>
        <v>355858.286804691</v>
      </c>
    </row>
    <row r="45" customFormat="false" ht="15" hidden="false" customHeight="false" outlineLevel="0" collapsed="false">
      <c r="A45" s="0" t="n">
        <f aca="false">ROW()-5</f>
        <v>40</v>
      </c>
      <c r="B45" s="0" t="n">
        <f aca="false">Waterfall!DU45+Waterfall!DV45</f>
        <v>5002385.43759929</v>
      </c>
      <c r="C45" s="0" t="n">
        <f aca="false">Waterfall!DW45+Waterfall!DX45</f>
        <v>189943.979432648</v>
      </c>
      <c r="D45" s="0" t="n">
        <f aca="false">Waterfall!DY45+Waterfall!DZ45</f>
        <v>187500</v>
      </c>
      <c r="E45" s="0" t="n">
        <f aca="false">Waterfall!EB45</f>
        <v>339002.107637936</v>
      </c>
    </row>
    <row r="46" customFormat="false" ht="15" hidden="false" customHeight="false" outlineLevel="0" collapsed="false">
      <c r="A46" s="0" t="n">
        <f aca="false">ROW()-5</f>
        <v>41</v>
      </c>
      <c r="B46" s="0" t="n">
        <f aca="false">Waterfall!DU46+Waterfall!DV46</f>
        <v>4915551.64186922</v>
      </c>
      <c r="C46" s="0" t="n">
        <f aca="false">Waterfall!DW46+Waterfall!DX46</f>
        <v>189674.195376476</v>
      </c>
      <c r="D46" s="0" t="n">
        <f aca="false">Waterfall!DY46+Waterfall!DZ46</f>
        <v>187500</v>
      </c>
      <c r="E46" s="0" t="n">
        <f aca="false">Waterfall!EB46</f>
        <v>322310.978598153</v>
      </c>
    </row>
    <row r="47" customFormat="false" ht="15" hidden="false" customHeight="false" outlineLevel="0" collapsed="false">
      <c r="A47" s="0" t="n">
        <f aca="false">ROW()-5</f>
        <v>42</v>
      </c>
      <c r="B47" s="0" t="n">
        <f aca="false">Waterfall!DU47+Waterfall!DV47</f>
        <v>304990.699573796</v>
      </c>
      <c r="C47" s="0" t="n">
        <f aca="false">Waterfall!DW47+Waterfall!DX47</f>
        <v>4714282.26795509</v>
      </c>
      <c r="D47" s="0" t="n">
        <f aca="false">Waterfall!DY47+Waterfall!DZ47</f>
        <v>187500</v>
      </c>
      <c r="E47" s="0" t="n">
        <f aca="false">Waterfall!EB47</f>
        <v>305788.034675406</v>
      </c>
    </row>
    <row r="48" customFormat="false" ht="15" hidden="false" customHeight="false" outlineLevel="0" collapsed="false">
      <c r="A48" s="0" t="n">
        <f aca="false">ROW()-5</f>
        <v>43</v>
      </c>
      <c r="B48" s="0" t="n">
        <f aca="false">Waterfall!DU48+Waterfall!DV48</f>
        <v>0</v>
      </c>
      <c r="C48" s="0" t="n">
        <f aca="false">Waterfall!DW48+Waterfall!DX48</f>
        <v>4930116.23620433</v>
      </c>
      <c r="D48" s="0" t="n">
        <f aca="false">Waterfall!DY48+Waterfall!DZ48</f>
        <v>187500</v>
      </c>
      <c r="E48" s="0" t="n">
        <f aca="false">Waterfall!EB48</f>
        <v>293772.394193394</v>
      </c>
    </row>
    <row r="49" customFormat="false" ht="15" hidden="false" customHeight="false" outlineLevel="0" collapsed="false">
      <c r="A49" s="0" t="n">
        <f aca="false">ROW()-5</f>
        <v>44</v>
      </c>
      <c r="B49" s="0" t="n">
        <f aca="false">Waterfall!DU49+Waterfall!DV49</f>
        <v>0</v>
      </c>
      <c r="C49" s="0" t="n">
        <f aca="false">Waterfall!DW49+Waterfall!DX49</f>
        <v>4843056.9500093</v>
      </c>
      <c r="D49" s="0" t="n">
        <f aca="false">Waterfall!DY49+Waterfall!DZ49</f>
        <v>187500</v>
      </c>
      <c r="E49" s="0" t="n">
        <f aca="false">Waterfall!EB49</f>
        <v>282157.774678766</v>
      </c>
    </row>
    <row r="50" customFormat="false" ht="15" hidden="false" customHeight="false" outlineLevel="0" collapsed="false">
      <c r="A50" s="0" t="n">
        <f aca="false">ROW()-5</f>
        <v>45</v>
      </c>
      <c r="B50" s="0" t="n">
        <f aca="false">Waterfall!DU50+Waterfall!DV50</f>
        <v>0</v>
      </c>
      <c r="C50" s="0" t="n">
        <f aca="false">Waterfall!DW50+Waterfall!DX50</f>
        <v>4757132.2943878</v>
      </c>
      <c r="D50" s="0" t="n">
        <f aca="false">Waterfall!DY50+Waterfall!DZ50</f>
        <v>187500</v>
      </c>
      <c r="E50" s="0" t="n">
        <f aca="false">Waterfall!EB50</f>
        <v>270661.624347948</v>
      </c>
    </row>
    <row r="51" customFormat="false" ht="15" hidden="false" customHeight="false" outlineLevel="0" collapsed="false">
      <c r="A51" s="0" t="n">
        <f aca="false">ROW()-5</f>
        <v>46</v>
      </c>
      <c r="B51" s="0" t="n">
        <f aca="false">Waterfall!DU51+Waterfall!DV51</f>
        <v>0</v>
      </c>
      <c r="C51" s="0" t="n">
        <f aca="false">Waterfall!DW51+Waterfall!DX51</f>
        <v>4672325.08373284</v>
      </c>
      <c r="D51" s="0" t="n">
        <f aca="false">Waterfall!DY51+Waterfall!DZ51</f>
        <v>187500</v>
      </c>
      <c r="E51" s="0" t="n">
        <f aca="false">Waterfall!EB51</f>
        <v>259286.45687609</v>
      </c>
    </row>
    <row r="52" customFormat="false" ht="15" hidden="false" customHeight="false" outlineLevel="0" collapsed="false">
      <c r="A52" s="0" t="n">
        <f aca="false">ROW()-5</f>
        <v>47</v>
      </c>
      <c r="B52" s="0" t="n">
        <f aca="false">Waterfall!DU52+Waterfall!DV52</f>
        <v>0</v>
      </c>
      <c r="C52" s="0" t="n">
        <f aca="false">Waterfall!DW52+Waterfall!DX52</f>
        <v>4588618.57207779</v>
      </c>
      <c r="D52" s="0" t="n">
        <f aca="false">Waterfall!DY52+Waterfall!DZ52</f>
        <v>187500</v>
      </c>
      <c r="E52" s="0" t="n">
        <f aca="false">Waterfall!EB52</f>
        <v>248034.513793404</v>
      </c>
    </row>
    <row r="53" customFormat="false" ht="15" hidden="false" customHeight="false" outlineLevel="0" collapsed="false">
      <c r="A53" s="0" t="n">
        <f aca="false">ROW()-5</f>
        <v>48</v>
      </c>
      <c r="B53" s="0" t="n">
        <f aca="false">Waterfall!DU53+Waterfall!DV53</f>
        <v>0</v>
      </c>
      <c r="C53" s="0" t="n">
        <f aca="false">Waterfall!DW53+Waterfall!DX53</f>
        <v>4505996.43393007</v>
      </c>
      <c r="D53" s="0" t="n">
        <f aca="false">Waterfall!DY53+Waterfall!DZ53</f>
        <v>187500</v>
      </c>
      <c r="E53" s="0" t="n">
        <f aca="false">Waterfall!EB53</f>
        <v>236907.781756031</v>
      </c>
    </row>
    <row r="54" customFormat="false" ht="15" hidden="false" customHeight="false" outlineLevel="0" collapsed="false">
      <c r="A54" s="0" t="n">
        <f aca="false">ROW()-5</f>
        <v>49</v>
      </c>
      <c r="B54" s="0" t="n">
        <f aca="false">Waterfall!DU54+Waterfall!DV54</f>
        <v>0</v>
      </c>
      <c r="C54" s="0" t="n">
        <f aca="false">Waterfall!DW54+Waterfall!DX54</f>
        <v>3065375.22492899</v>
      </c>
      <c r="D54" s="0" t="n">
        <f aca="false">Waterfall!DY54+Waterfall!DZ54</f>
        <v>187500</v>
      </c>
      <c r="E54" s="0" t="n">
        <f aca="false">Waterfall!EB54</f>
        <v>225908.008819973</v>
      </c>
    </row>
    <row r="55" customFormat="false" ht="15" hidden="false" customHeight="false" outlineLevel="0" collapsed="false">
      <c r="A55" s="0" t="n">
        <f aca="false">ROW()-5</f>
        <v>50</v>
      </c>
      <c r="B55" s="0" t="n">
        <f aca="false">Waterfall!DU55+Waterfall!DV55</f>
        <v>0</v>
      </c>
      <c r="C55" s="0" t="n">
        <f aca="false">Waterfall!DW55+Waterfall!DX55</f>
        <v>3009537.52388503</v>
      </c>
      <c r="D55" s="0" t="n">
        <f aca="false">Waterfall!DY55+Waterfall!DZ55</f>
        <v>187500</v>
      </c>
      <c r="E55" s="0" t="n">
        <f aca="false">Waterfall!EB55</f>
        <v>216884.214898149</v>
      </c>
    </row>
    <row r="56" customFormat="false" ht="15" hidden="false" customHeight="false" outlineLevel="0" collapsed="false">
      <c r="A56" s="0" t="n">
        <f aca="false">ROW()-5</f>
        <v>51</v>
      </c>
      <c r="B56" s="0" t="n">
        <f aca="false">Waterfall!DU56+Waterfall!DV56</f>
        <v>0</v>
      </c>
      <c r="C56" s="0" t="n">
        <f aca="false">Waterfall!DW56+Waterfall!DX56</f>
        <v>1844331.85431584</v>
      </c>
      <c r="D56" s="0" t="n">
        <f aca="false">Waterfall!DY56+Waterfall!DZ56</f>
        <v>1297587.90508126</v>
      </c>
      <c r="E56" s="0" t="n">
        <f aca="false">Waterfall!EB56</f>
        <v>207956.558224479</v>
      </c>
    </row>
    <row r="57" customFormat="false" ht="15" hidden="false" customHeight="false" outlineLevel="0" collapsed="false">
      <c r="A57" s="0" t="n">
        <f aca="false">ROW()-5</f>
        <v>52</v>
      </c>
      <c r="B57" s="0" t="n">
        <f aca="false">Waterfall!DU57+Waterfall!DV57</f>
        <v>0</v>
      </c>
      <c r="C57" s="0" t="n">
        <f aca="false">Waterfall!DW57+Waterfall!DX57</f>
        <v>0</v>
      </c>
      <c r="D57" s="0" t="n">
        <f aca="false">Waterfall!DY57+Waterfall!DZ57</f>
        <v>3085772.79100758</v>
      </c>
      <c r="E57" s="0" t="n">
        <f aca="false">Waterfall!EB57</f>
        <v>200864.691705048</v>
      </c>
    </row>
    <row r="58" customFormat="false" ht="15" hidden="false" customHeight="false" outlineLevel="0" collapsed="false">
      <c r="A58" s="0" t="n">
        <f aca="false">ROW()-5</f>
        <v>53</v>
      </c>
      <c r="B58" s="0" t="n">
        <f aca="false">Waterfall!DU58+Waterfall!DV58</f>
        <v>0</v>
      </c>
      <c r="C58" s="0" t="n">
        <f aca="false">Waterfall!DW58+Waterfall!DX58</f>
        <v>0</v>
      </c>
      <c r="D58" s="0" t="n">
        <f aca="false">Waterfall!DY58+Waterfall!DZ58</f>
        <v>3027497.10207442</v>
      </c>
      <c r="E58" s="0" t="n">
        <f aca="false">Waterfall!EB58</f>
        <v>196698.752322189</v>
      </c>
    </row>
    <row r="59" customFormat="false" ht="15" hidden="false" customHeight="false" outlineLevel="0" collapsed="false">
      <c r="A59" s="0" t="n">
        <f aca="false">ROW()-5</f>
        <v>54</v>
      </c>
      <c r="B59" s="0" t="n">
        <f aca="false">Waterfall!DU59+Waterfall!DV59</f>
        <v>0</v>
      </c>
      <c r="C59" s="0" t="n">
        <f aca="false">Waterfall!DW59+Waterfall!DX59</f>
        <v>0</v>
      </c>
      <c r="D59" s="0" t="n">
        <f aca="false">Waterfall!DY59+Waterfall!DZ59</f>
        <v>2969951.79082398</v>
      </c>
      <c r="E59" s="0" t="n">
        <f aca="false">Waterfall!EB59</f>
        <v>192590.368863101</v>
      </c>
    </row>
    <row r="60" customFormat="false" ht="15" hidden="false" customHeight="false" outlineLevel="0" collapsed="false">
      <c r="A60" s="0" t="n">
        <f aca="false">ROW()-5</f>
        <v>55</v>
      </c>
      <c r="B60" s="0" t="n">
        <f aca="false">Waterfall!DU60+Waterfall!DV60</f>
        <v>0</v>
      </c>
      <c r="C60" s="0" t="n">
        <f aca="false">Waterfall!DW60+Waterfall!DX60</f>
        <v>0</v>
      </c>
      <c r="D60" s="0" t="n">
        <f aca="false">Waterfall!DY60+Waterfall!DZ60</f>
        <v>2913128.35016094</v>
      </c>
      <c r="E60" s="0" t="n">
        <f aca="false">Waterfall!EB60</f>
        <v>188538.880905146</v>
      </c>
    </row>
    <row r="61" customFormat="false" ht="15" hidden="false" customHeight="false" outlineLevel="0" collapsed="false">
      <c r="A61" s="0" t="n">
        <f aca="false">ROW()-5</f>
        <v>56</v>
      </c>
      <c r="B61" s="0" t="n">
        <f aca="false">Waterfall!DU61+Waterfall!DV61</f>
        <v>0</v>
      </c>
      <c r="C61" s="0" t="n">
        <f aca="false">Waterfall!DW61+Waterfall!DX61</f>
        <v>0</v>
      </c>
      <c r="D61" s="0" t="n">
        <f aca="false">Waterfall!DY61+Waterfall!DZ61</f>
        <v>2859085.55122528</v>
      </c>
      <c r="E61" s="0" t="n">
        <f aca="false">Waterfall!EB61</f>
        <v>184543.635409132</v>
      </c>
    </row>
    <row r="62" customFormat="false" ht="15" hidden="false" customHeight="false" outlineLevel="0" collapsed="false">
      <c r="A62" s="0" t="n">
        <f aca="false">ROW()-5</f>
        <v>57</v>
      </c>
      <c r="B62" s="0" t="n">
        <f aca="false">Waterfall!DU62+Waterfall!DV62</f>
        <v>0</v>
      </c>
      <c r="C62" s="0" t="n">
        <f aca="false">Waterfall!DW62+Waterfall!DX62</f>
        <v>0</v>
      </c>
      <c r="D62" s="0" t="n">
        <f aca="false">Waterfall!DY62+Waterfall!DZ62</f>
        <v>2805701.92452935</v>
      </c>
      <c r="E62" s="0" t="n">
        <f aca="false">Waterfall!EB62</f>
        <v>180616.906520168</v>
      </c>
    </row>
    <row r="63" customFormat="false" ht="15" hidden="false" customHeight="false" outlineLevel="0" collapsed="false">
      <c r="A63" s="0" t="n">
        <f aca="false">ROW()-5</f>
        <v>58</v>
      </c>
      <c r="B63" s="0" t="n">
        <f aca="false">Waterfall!DU63+Waterfall!DV63</f>
        <v>0</v>
      </c>
      <c r="C63" s="0" t="n">
        <f aca="false">Waterfall!DW63+Waterfall!DX63</f>
        <v>0</v>
      </c>
      <c r="D63" s="0" t="n">
        <f aca="false">Waterfall!DY63+Waterfall!DZ63</f>
        <v>2752969.87539118</v>
      </c>
      <c r="E63" s="0" t="n">
        <f aca="false">Waterfall!EB63</f>
        <v>176757.849132659</v>
      </c>
    </row>
    <row r="64" customFormat="false" ht="15" hidden="false" customHeight="false" outlineLevel="0" collapsed="false">
      <c r="A64" s="0" t="n">
        <f aca="false">ROW()-5</f>
        <v>59</v>
      </c>
      <c r="B64" s="0" t="n">
        <f aca="false">Waterfall!DU64+Waterfall!DV64</f>
        <v>0</v>
      </c>
      <c r="C64" s="0" t="n">
        <f aca="false">Waterfall!DW64+Waterfall!DX64</f>
        <v>0</v>
      </c>
      <c r="D64" s="0" t="n">
        <f aca="false">Waterfall!DY64+Waterfall!DZ64</f>
        <v>2700881.8952292</v>
      </c>
      <c r="E64" s="0" t="n">
        <f aca="false">Waterfall!EB64</f>
        <v>172965.627894741</v>
      </c>
    </row>
    <row r="65" customFormat="false" ht="15" hidden="false" customHeight="false" outlineLevel="0" collapsed="false">
      <c r="A65" s="0" t="n">
        <f aca="false">ROW()-5</f>
        <v>60</v>
      </c>
      <c r="B65" s="0" t="n">
        <f aca="false">Waterfall!DU65+Waterfall!DV65</f>
        <v>0</v>
      </c>
      <c r="C65" s="0" t="n">
        <f aca="false">Waterfall!DW65+Waterfall!DX65</f>
        <v>0</v>
      </c>
      <c r="D65" s="0" t="n">
        <f aca="false">Waterfall!DY65+Waterfall!DZ65</f>
        <v>2649430.56059096</v>
      </c>
      <c r="E65" s="0" t="n">
        <f aca="false">Waterfall!EB65</f>
        <v>169239.417097678</v>
      </c>
    </row>
    <row r="66" customFormat="false" ht="15" hidden="false" customHeight="false" outlineLevel="0" collapsed="false">
      <c r="A66" s="0" t="n">
        <f aca="false">ROW()-5</f>
        <v>61</v>
      </c>
      <c r="B66" s="0" t="n">
        <f aca="false">Waterfall!DU66+Waterfall!DV66</f>
        <v>0</v>
      </c>
      <c r="C66" s="0" t="n">
        <f aca="false">Waterfall!DW66+Waterfall!DX66</f>
        <v>0</v>
      </c>
      <c r="D66" s="0" t="n">
        <f aca="false">Waterfall!DY66+Waterfall!DZ66</f>
        <v>1464052.30094021</v>
      </c>
      <c r="E66" s="0" t="n">
        <f aca="false">Waterfall!EB66</f>
        <v>165578.400566518</v>
      </c>
    </row>
    <row r="67" customFormat="false" ht="15" hidden="false" customHeight="false" outlineLevel="0" collapsed="false">
      <c r="A67" s="0" t="n">
        <f aca="false">ROW()-5</f>
        <v>62</v>
      </c>
      <c r="B67" s="0" t="n">
        <f aca="false">Waterfall!DU67+Waterfall!DV67</f>
        <v>0</v>
      </c>
      <c r="C67" s="0" t="n">
        <f aca="false">Waterfall!DW67+Waterfall!DX67</f>
        <v>0</v>
      </c>
      <c r="D67" s="0" t="n">
        <f aca="false">Waterfall!DY67+Waterfall!DZ67</f>
        <v>1435148.50924757</v>
      </c>
      <c r="E67" s="0" t="n">
        <f aca="false">Waterfall!EB67</f>
        <v>162826.086200357</v>
      </c>
    </row>
    <row r="68" customFormat="false" ht="15" hidden="false" customHeight="false" outlineLevel="0" collapsed="false">
      <c r="A68" s="0" t="n">
        <f aca="false">ROW()-5</f>
        <v>63</v>
      </c>
      <c r="B68" s="0" t="n">
        <f aca="false">Waterfall!DU68+Waterfall!DV68</f>
        <v>0</v>
      </c>
      <c r="C68" s="0" t="n">
        <f aca="false">Waterfall!DW68+Waterfall!DX68</f>
        <v>0</v>
      </c>
      <c r="D68" s="0" t="n">
        <f aca="false">Waterfall!DY68+Waterfall!DZ68</f>
        <v>1268465.40488416</v>
      </c>
      <c r="E68" s="0" t="n">
        <f aca="false">Waterfall!EB68</f>
        <v>3298246.74937028</v>
      </c>
    </row>
    <row r="69" customFormat="false" ht="15" hidden="false" customHeight="false" outlineLevel="0" collapsed="false">
      <c r="A69" s="0" t="n">
        <f aca="false">ROW()-5</f>
        <v>64</v>
      </c>
      <c r="B69" s="0" t="n">
        <f aca="false">Waterfall!DU69+Waterfall!DV69</f>
        <v>0</v>
      </c>
      <c r="C69" s="0" t="n">
        <f aca="false">Waterfall!DW69+Waterfall!DX69</f>
        <v>0</v>
      </c>
      <c r="D69" s="0" t="n">
        <f aca="false">Waterfall!DY69+Waterfall!DZ69</f>
        <v>0</v>
      </c>
      <c r="E69" s="0" t="n">
        <f aca="false">Waterfall!EB69</f>
        <v>1535838.83862147</v>
      </c>
    </row>
    <row r="70" customFormat="false" ht="15" hidden="false" customHeight="false" outlineLevel="0" collapsed="false">
      <c r="A70" s="0" t="n">
        <f aca="false">ROW()-5</f>
        <v>65</v>
      </c>
      <c r="B70" s="0" t="n">
        <f aca="false">Waterfall!DU70+Waterfall!DV70</f>
        <v>0</v>
      </c>
      <c r="C70" s="0" t="n">
        <f aca="false">Waterfall!DW70+Waterfall!DX70</f>
        <v>0</v>
      </c>
      <c r="D70" s="0" t="n">
        <f aca="false">Waterfall!DY70+Waterfall!DZ70</f>
        <v>0</v>
      </c>
      <c r="E70" s="0" t="n">
        <f aca="false">Waterfall!EB70</f>
        <v>1505350.16066006</v>
      </c>
    </row>
    <row r="71" customFormat="false" ht="15" hidden="false" customHeight="false" outlineLevel="0" collapsed="false">
      <c r="A71" s="0" t="n">
        <f aca="false">ROW()-5</f>
        <v>66</v>
      </c>
      <c r="B71" s="0" t="n">
        <f aca="false">Waterfall!DU71+Waterfall!DV71</f>
        <v>0</v>
      </c>
      <c r="C71" s="0" t="n">
        <f aca="false">Waterfall!DW71+Waterfall!DX71</f>
        <v>0</v>
      </c>
      <c r="D71" s="0" t="n">
        <f aca="false">Waterfall!DY71+Waterfall!DZ71</f>
        <v>0</v>
      </c>
      <c r="E71" s="0" t="n">
        <f aca="false">Waterfall!EB71</f>
        <v>1475241.68331729</v>
      </c>
    </row>
    <row r="72" customFormat="false" ht="15" hidden="false" customHeight="false" outlineLevel="0" collapsed="false">
      <c r="A72" s="0" t="n">
        <f aca="false">ROW()-5</f>
        <v>67</v>
      </c>
      <c r="B72" s="0" t="n">
        <f aca="false">Waterfall!DU72+Waterfall!DV72</f>
        <v>0</v>
      </c>
      <c r="C72" s="0" t="n">
        <f aca="false">Waterfall!DW72+Waterfall!DX72</f>
        <v>0</v>
      </c>
      <c r="D72" s="0" t="n">
        <f aca="false">Waterfall!DY72+Waterfall!DZ72</f>
        <v>0</v>
      </c>
      <c r="E72" s="0" t="n">
        <f aca="false">Waterfall!EB72</f>
        <v>1445509.0198032</v>
      </c>
    </row>
    <row r="73" customFormat="false" ht="15" hidden="false" customHeight="false" outlineLevel="0" collapsed="false">
      <c r="A73" s="0" t="n">
        <f aca="false">ROW()-5</f>
        <v>68</v>
      </c>
      <c r="B73" s="0" t="n">
        <f aca="false">Waterfall!DU73+Waterfall!DV73</f>
        <v>0</v>
      </c>
      <c r="C73" s="0" t="n">
        <f aca="false">Waterfall!DW73+Waterfall!DX73</f>
        <v>0</v>
      </c>
      <c r="D73" s="0" t="n">
        <f aca="false">Waterfall!DY73+Waterfall!DZ73</f>
        <v>0</v>
      </c>
      <c r="E73" s="0" t="n">
        <f aca="false">Waterfall!EB73</f>
        <v>1417873.52614489</v>
      </c>
    </row>
    <row r="74" customFormat="false" ht="15" hidden="false" customHeight="false" outlineLevel="0" collapsed="false">
      <c r="A74" s="0" t="n">
        <f aca="false">ROW()-5</f>
        <v>69</v>
      </c>
      <c r="B74" s="0" t="n">
        <f aca="false">Waterfall!DU74+Waterfall!DV74</f>
        <v>0</v>
      </c>
      <c r="C74" s="0" t="n">
        <f aca="false">Waterfall!DW74+Waterfall!DX74</f>
        <v>0</v>
      </c>
      <c r="D74" s="0" t="n">
        <f aca="false">Waterfall!DY74+Waterfall!DZ74</f>
        <v>0</v>
      </c>
      <c r="E74" s="0" t="n">
        <f aca="false">Waterfall!EB74</f>
        <v>1390579.24000889</v>
      </c>
    </row>
    <row r="75" customFormat="false" ht="15" hidden="false" customHeight="false" outlineLevel="0" collapsed="false">
      <c r="A75" s="0" t="n">
        <f aca="false">ROW()-5</f>
        <v>70</v>
      </c>
      <c r="B75" s="0" t="n">
        <f aca="false">Waterfall!DU75+Waterfall!DV75</f>
        <v>0</v>
      </c>
      <c r="C75" s="0" t="n">
        <f aca="false">Waterfall!DW75+Waterfall!DX75</f>
        <v>0</v>
      </c>
      <c r="D75" s="0" t="n">
        <f aca="false">Waterfall!DY75+Waterfall!DZ75</f>
        <v>0</v>
      </c>
      <c r="E75" s="0" t="n">
        <f aca="false">Waterfall!EB75</f>
        <v>1363622.23947758</v>
      </c>
    </row>
    <row r="76" customFormat="false" ht="15" hidden="false" customHeight="false" outlineLevel="0" collapsed="false">
      <c r="A76" s="0" t="n">
        <f aca="false">ROW()-5</f>
        <v>71</v>
      </c>
      <c r="B76" s="0" t="n">
        <f aca="false">Waterfall!DU76+Waterfall!DV76</f>
        <v>0</v>
      </c>
      <c r="C76" s="0" t="n">
        <f aca="false">Waterfall!DW76+Waterfall!DX76</f>
        <v>0</v>
      </c>
      <c r="D76" s="0" t="n">
        <f aca="false">Waterfall!DY76+Waterfall!DZ76</f>
        <v>0</v>
      </c>
      <c r="E76" s="0" t="n">
        <f aca="false">Waterfall!EB76</f>
        <v>1336998.64699855</v>
      </c>
    </row>
    <row r="77" customFormat="false" ht="15" hidden="false" customHeight="false" outlineLevel="0" collapsed="false">
      <c r="A77" s="0" t="n">
        <f aca="false">ROW()-5</f>
        <v>72</v>
      </c>
      <c r="B77" s="0" t="n">
        <f aca="false">Waterfall!DU77+Waterfall!DV77</f>
        <v>0</v>
      </c>
      <c r="C77" s="0" t="n">
        <f aca="false">Waterfall!DW77+Waterfall!DX77</f>
        <v>0</v>
      </c>
      <c r="D77" s="0" t="n">
        <f aca="false">Waterfall!DY77+Waterfall!DZ77</f>
        <v>0</v>
      </c>
      <c r="E77" s="0" t="n">
        <f aca="false">Waterfall!EB77</f>
        <v>1310704.62888459</v>
      </c>
    </row>
    <row r="78" customFormat="false" ht="15" hidden="false" customHeight="false" outlineLevel="0" collapsed="false">
      <c r="A78" s="0" t="n">
        <f aca="false">ROW()-5</f>
        <v>73</v>
      </c>
      <c r="B78" s="0" t="n">
        <f aca="false">Waterfall!DU78+Waterfall!DV78</f>
        <v>0</v>
      </c>
      <c r="C78" s="0" t="n">
        <f aca="false">Waterfall!DW78+Waterfall!DX78</f>
        <v>0</v>
      </c>
      <c r="D78" s="0" t="n">
        <f aca="false">Waterfall!DY78+Waterfall!DZ78</f>
        <v>0</v>
      </c>
      <c r="E78" s="0" t="n">
        <f aca="false">Waterfall!EB78</f>
        <v>703293.47794104</v>
      </c>
    </row>
    <row r="79" customFormat="false" ht="15" hidden="false" customHeight="false" outlineLevel="0" collapsed="false">
      <c r="A79" s="0" t="n">
        <f aca="false">ROW()-5</f>
        <v>74</v>
      </c>
      <c r="B79" s="0" t="n">
        <f aca="false">Waterfall!DU79+Waterfall!DV79</f>
        <v>0</v>
      </c>
      <c r="C79" s="0" t="n">
        <f aca="false">Waterfall!DW79+Waterfall!DX79</f>
        <v>0</v>
      </c>
      <c r="D79" s="0" t="n">
        <f aca="false">Waterfall!DY79+Waterfall!DZ79</f>
        <v>0</v>
      </c>
      <c r="E79" s="0" t="n">
        <f aca="false">Waterfall!EB79</f>
        <v>688998.219520999</v>
      </c>
    </row>
    <row r="80" customFormat="false" ht="15" hidden="false" customHeight="false" outlineLevel="0" collapsed="false">
      <c r="A80" s="0" t="n">
        <f aca="false">ROW()-5</f>
        <v>75</v>
      </c>
      <c r="B80" s="0" t="n">
        <f aca="false">Waterfall!DU80+Waterfall!DV80</f>
        <v>0</v>
      </c>
      <c r="C80" s="0" t="n">
        <f aca="false">Waterfall!DW80+Waterfall!DX80</f>
        <v>0</v>
      </c>
      <c r="D80" s="0" t="n">
        <f aca="false">Waterfall!DY80+Waterfall!DZ80</f>
        <v>0</v>
      </c>
      <c r="E80" s="0" t="n">
        <f aca="false">Waterfall!EB80</f>
        <v>674879.271980225</v>
      </c>
    </row>
    <row r="81" customFormat="false" ht="15" hidden="false" customHeight="false" outlineLevel="0" collapsed="false">
      <c r="A81" s="0" t="n">
        <f aca="false">ROW()-5</f>
        <v>76</v>
      </c>
      <c r="B81" s="0" t="n">
        <f aca="false">Waterfall!DU81+Waterfall!DV81</f>
        <v>0</v>
      </c>
      <c r="C81" s="0" t="n">
        <f aca="false">Waterfall!DW81+Waterfall!DX81</f>
        <v>0</v>
      </c>
      <c r="D81" s="0" t="n">
        <f aca="false">Waterfall!DY81+Waterfall!DZ81</f>
        <v>0</v>
      </c>
      <c r="E81" s="0" t="n">
        <f aca="false">Waterfall!EB81</f>
        <v>660934.613150608</v>
      </c>
    </row>
    <row r="82" customFormat="false" ht="15" hidden="false" customHeight="false" outlineLevel="0" collapsed="false">
      <c r="A82" s="0" t="n">
        <f aca="false">ROW()-5</f>
        <v>77</v>
      </c>
      <c r="B82" s="0" t="n">
        <f aca="false">Waterfall!DU82+Waterfall!DV82</f>
        <v>0</v>
      </c>
      <c r="C82" s="0" t="n">
        <f aca="false">Waterfall!DW82+Waterfall!DX82</f>
        <v>0</v>
      </c>
      <c r="D82" s="0" t="n">
        <f aca="false">Waterfall!DY82+Waterfall!DZ82</f>
        <v>0</v>
      </c>
      <c r="E82" s="0" t="n">
        <f aca="false">Waterfall!EB82</f>
        <v>647162.243717094</v>
      </c>
    </row>
    <row r="83" customFormat="false" ht="15" hidden="false" customHeight="false" outlineLevel="0" collapsed="false">
      <c r="A83" s="0" t="n">
        <f aca="false">ROW()-5</f>
        <v>78</v>
      </c>
      <c r="B83" s="0" t="n">
        <f aca="false">Waterfall!DU83+Waterfall!DV83</f>
        <v>0</v>
      </c>
      <c r="C83" s="0" t="n">
        <f aca="false">Waterfall!DW83+Waterfall!DX83</f>
        <v>0</v>
      </c>
      <c r="D83" s="0" t="n">
        <f aca="false">Waterfall!DY83+Waterfall!DZ83</f>
        <v>0</v>
      </c>
      <c r="E83" s="0" t="n">
        <f aca="false">Waterfall!EB83</f>
        <v>633560.186960243</v>
      </c>
    </row>
    <row r="84" customFormat="false" ht="15" hidden="false" customHeight="false" outlineLevel="0" collapsed="false">
      <c r="A84" s="0" t="n">
        <f aca="false">ROW()-5</f>
        <v>79</v>
      </c>
      <c r="B84" s="0" t="n">
        <f aca="false">Waterfall!DU84+Waterfall!DV84</f>
        <v>0</v>
      </c>
      <c r="C84" s="0" t="n">
        <f aca="false">Waterfall!DW84+Waterfall!DX84</f>
        <v>0</v>
      </c>
      <c r="D84" s="0" t="n">
        <f aca="false">Waterfall!DY84+Waterfall!DZ84</f>
        <v>0</v>
      </c>
      <c r="E84" s="0" t="n">
        <f aca="false">Waterfall!EB84</f>
        <v>620126.488501689</v>
      </c>
    </row>
    <row r="85" customFormat="false" ht="15" hidden="false" customHeight="false" outlineLevel="0" collapsed="false">
      <c r="A85" s="0" t="n">
        <f aca="false">ROW()-5</f>
        <v>80</v>
      </c>
      <c r="B85" s="0" t="n">
        <f aca="false">Waterfall!DU85+Waterfall!DV85</f>
        <v>0</v>
      </c>
      <c r="C85" s="0" t="n">
        <f aca="false">Waterfall!DW85+Waterfall!DX85</f>
        <v>0</v>
      </c>
      <c r="D85" s="0" t="n">
        <f aca="false">Waterfall!DY85+Waterfall!DZ85</f>
        <v>0</v>
      </c>
      <c r="E85" s="0" t="n">
        <f aca="false">Waterfall!EB85</f>
        <v>607743.607688738</v>
      </c>
    </row>
    <row r="86" customFormat="false" ht="15" hidden="false" customHeight="false" outlineLevel="0" collapsed="false">
      <c r="A86" s="0" t="n">
        <f aca="false">ROW()-5</f>
        <v>81</v>
      </c>
      <c r="B86" s="0" t="n">
        <f aca="false">Waterfall!DU86+Waterfall!DV86</f>
        <v>0</v>
      </c>
      <c r="C86" s="0" t="n">
        <f aca="false">Waterfall!DW86+Waterfall!DX86</f>
        <v>0</v>
      </c>
      <c r="D86" s="0" t="n">
        <f aca="false">Waterfall!DY86+Waterfall!DZ86</f>
        <v>0</v>
      </c>
      <c r="E86" s="0" t="n">
        <f aca="false">Waterfall!EB86</f>
        <v>595512.663378904</v>
      </c>
    </row>
    <row r="87" customFormat="false" ht="15" hidden="false" customHeight="false" outlineLevel="0" collapsed="false">
      <c r="A87" s="0" t="n">
        <f aca="false">ROW()-5</f>
        <v>82</v>
      </c>
      <c r="B87" s="0" t="n">
        <f aca="false">Waterfall!DU87+Waterfall!DV87</f>
        <v>0</v>
      </c>
      <c r="C87" s="0" t="n">
        <f aca="false">Waterfall!DW87+Waterfall!DX87</f>
        <v>0</v>
      </c>
      <c r="D87" s="0" t="n">
        <f aca="false">Waterfall!DY87+Waterfall!DZ87</f>
        <v>0</v>
      </c>
      <c r="E87" s="0" t="n">
        <f aca="false">Waterfall!EB87</f>
        <v>583431.916122151</v>
      </c>
    </row>
    <row r="88" customFormat="false" ht="15" hidden="false" customHeight="false" outlineLevel="0" collapsed="false">
      <c r="A88" s="0" t="n">
        <f aca="false">ROW()-5</f>
        <v>83</v>
      </c>
      <c r="B88" s="0" t="n">
        <f aca="false">Waterfall!DU88+Waterfall!DV88</f>
        <v>0</v>
      </c>
      <c r="C88" s="0" t="n">
        <f aca="false">Waterfall!DW88+Waterfall!DX88</f>
        <v>0</v>
      </c>
      <c r="D88" s="0" t="n">
        <f aca="false">Waterfall!DY88+Waterfall!DZ88</f>
        <v>0</v>
      </c>
      <c r="E88" s="0" t="n">
        <f aca="false">Waterfall!EB88</f>
        <v>571499.646114734</v>
      </c>
    </row>
    <row r="89" customFormat="false" ht="15" hidden="false" customHeight="false" outlineLevel="0" collapsed="false">
      <c r="A89" s="0" t="n">
        <f aca="false">ROW()-5</f>
        <v>84</v>
      </c>
      <c r="B89" s="0" t="n">
        <f aca="false">Waterfall!DU89+Waterfall!DV89</f>
        <v>0</v>
      </c>
      <c r="C89" s="0" t="n">
        <f aca="false">Waterfall!DW89+Waterfall!DX89</f>
        <v>0</v>
      </c>
      <c r="D89" s="0" t="n">
        <f aca="false">Waterfall!DY89+Waterfall!DZ89</f>
        <v>0</v>
      </c>
      <c r="E89" s="0" t="n">
        <f aca="false">Waterfall!EB89</f>
        <v>559714.152977935</v>
      </c>
    </row>
    <row r="90" customFormat="false" ht="15" hidden="false" customHeight="false" outlineLevel="0" collapsed="false">
      <c r="A90" s="0" t="n">
        <f aca="false">ROW()-5</f>
        <v>85</v>
      </c>
      <c r="B90" s="0" t="n">
        <f aca="false">Waterfall!DU90+Waterfall!DV90</f>
        <v>0</v>
      </c>
      <c r="C90" s="0" t="n">
        <f aca="false">Waterfall!DW90+Waterfall!DX90</f>
        <v>0</v>
      </c>
      <c r="D90" s="0" t="n">
        <f aca="false">Waterfall!DY90+Waterfall!DZ90</f>
        <v>0</v>
      </c>
      <c r="E90" s="0" t="n">
        <f aca="false">Waterfall!EB90</f>
        <v>5197.39619538878</v>
      </c>
    </row>
    <row r="91" customFormat="false" ht="15" hidden="false" customHeight="false" outlineLevel="0" collapsed="false">
      <c r="A91" s="0" t="n">
        <f aca="false">ROW()-5</f>
        <v>86</v>
      </c>
      <c r="B91" s="0" t="n">
        <f aca="false">Waterfall!DU91+Waterfall!DV91</f>
        <v>0</v>
      </c>
      <c r="C91" s="0" t="n">
        <f aca="false">Waterfall!DW91+Waterfall!DX91</f>
        <v>0</v>
      </c>
      <c r="D91" s="0" t="n">
        <f aca="false">Waterfall!DY91+Waterfall!DZ91</f>
        <v>0</v>
      </c>
      <c r="E91" s="0" t="n">
        <f aca="false">Waterfall!EB91</f>
        <v>4301.54941454177</v>
      </c>
    </row>
    <row r="92" customFormat="false" ht="15" hidden="false" customHeight="false" outlineLevel="0" collapsed="false">
      <c r="A92" s="0" t="n">
        <f aca="false">ROW()-5</f>
        <v>87</v>
      </c>
      <c r="B92" s="0" t="n">
        <f aca="false">Waterfall!DU92+Waterfall!DV92</f>
        <v>0</v>
      </c>
      <c r="C92" s="0" t="n">
        <f aca="false">Waterfall!DW92+Waterfall!DX92</f>
        <v>0</v>
      </c>
      <c r="D92" s="0" t="n">
        <f aca="false">Waterfall!DY92+Waterfall!DZ92</f>
        <v>0</v>
      </c>
      <c r="E92" s="0" t="n">
        <f aca="false">Waterfall!EB92</f>
        <v>3417.73331086387</v>
      </c>
    </row>
    <row r="93" customFormat="false" ht="15" hidden="false" customHeight="false" outlineLevel="0" collapsed="false">
      <c r="A93" s="0" t="n">
        <f aca="false">ROW()-5</f>
        <v>88</v>
      </c>
      <c r="B93" s="0" t="n">
        <f aca="false">Waterfall!DU93+Waterfall!DV93</f>
        <v>0</v>
      </c>
      <c r="C93" s="0" t="n">
        <f aca="false">Waterfall!DW93+Waterfall!DX93</f>
        <v>0</v>
      </c>
      <c r="D93" s="0" t="n">
        <f aca="false">Waterfall!DY93+Waterfall!DZ93</f>
        <v>0</v>
      </c>
      <c r="E93" s="0" t="n">
        <f aca="false">Waterfall!EB93</f>
        <v>2545.80791677151</v>
      </c>
    </row>
    <row r="94" customFormat="false" ht="15" hidden="false" customHeight="false" outlineLevel="0" collapsed="false">
      <c r="A94" s="0" t="n">
        <f aca="false">ROW()-5</f>
        <v>89</v>
      </c>
      <c r="B94" s="0" t="n">
        <f aca="false">Waterfall!DU94+Waterfall!DV94</f>
        <v>0</v>
      </c>
      <c r="C94" s="0" t="n">
        <f aca="false">Waterfall!DW94+Waterfall!DX94</f>
        <v>0</v>
      </c>
      <c r="D94" s="0" t="n">
        <f aca="false">Waterfall!DY94+Waterfall!DZ94</f>
        <v>0</v>
      </c>
      <c r="E94" s="0" t="n">
        <f aca="false">Waterfall!EB94</f>
        <v>1685.63485073998</v>
      </c>
    </row>
    <row r="95" customFormat="false" ht="15" hidden="false" customHeight="false" outlineLevel="0" collapsed="false">
      <c r="A95" s="0" t="n">
        <f aca="false">ROW()-5</f>
        <v>90</v>
      </c>
      <c r="B95" s="0" t="n">
        <f aca="false">Waterfall!DU95+Waterfall!DV95</f>
        <v>0</v>
      </c>
      <c r="C95" s="0" t="n">
        <f aca="false">Waterfall!DW95+Waterfall!DX95</f>
        <v>0</v>
      </c>
      <c r="D95" s="0" t="n">
        <f aca="false">Waterfall!DY95+Waterfall!DZ95</f>
        <v>0</v>
      </c>
      <c r="E95" s="0" t="n">
        <f aca="false">Waterfall!EB95</f>
        <v>837.077299427398</v>
      </c>
    </row>
    <row r="96" customFormat="false" ht="15" hidden="false" customHeight="false" outlineLevel="0" collapsed="false">
      <c r="A96" s="0" t="n">
        <f aca="false">ROW()-5</f>
        <v>91</v>
      </c>
      <c r="B96" s="0" t="n">
        <f aca="false">Waterfall!DU96+Waterfall!DV96</f>
        <v>0</v>
      </c>
      <c r="C96" s="0" t="n">
        <f aca="false">Waterfall!DW96+Waterfall!DX96</f>
        <v>0</v>
      </c>
      <c r="D96" s="0" t="n">
        <f aca="false">Waterfall!DY96+Waterfall!DZ96</f>
        <v>0</v>
      </c>
      <c r="E96" s="0" t="n">
        <f aca="false">Waterfall!EB96</f>
        <v>0</v>
      </c>
    </row>
    <row r="97" customFormat="false" ht="15" hidden="false" customHeight="false" outlineLevel="0" collapsed="false">
      <c r="A97" s="0" t="n">
        <f aca="false">ROW()-5</f>
        <v>92</v>
      </c>
      <c r="B97" s="0" t="n">
        <f aca="false">Waterfall!DU97+Waterfall!DV97</f>
        <v>0</v>
      </c>
      <c r="C97" s="0" t="n">
        <f aca="false">Waterfall!DW97+Waterfall!DX97</f>
        <v>0</v>
      </c>
      <c r="D97" s="0" t="n">
        <f aca="false">Waterfall!DY97+Waterfall!DZ97</f>
        <v>0</v>
      </c>
      <c r="E97" s="0" t="n">
        <f aca="false">Waterfall!EB97</f>
        <v>0</v>
      </c>
    </row>
    <row r="98" customFormat="false" ht="15" hidden="false" customHeight="false" outlineLevel="0" collapsed="false">
      <c r="A98" s="0" t="n">
        <f aca="false">ROW()-5</f>
        <v>93</v>
      </c>
      <c r="B98" s="0" t="n">
        <f aca="false">Waterfall!DU98+Waterfall!DV98</f>
        <v>0</v>
      </c>
      <c r="C98" s="0" t="n">
        <f aca="false">Waterfall!DW98+Waterfall!DX98</f>
        <v>0</v>
      </c>
      <c r="D98" s="0" t="n">
        <f aca="false">Waterfall!DY98+Waterfall!DZ98</f>
        <v>0</v>
      </c>
      <c r="E98" s="0" t="n">
        <f aca="false">Waterfall!EB98</f>
        <v>0</v>
      </c>
    </row>
    <row r="99" customFormat="false" ht="15" hidden="false" customHeight="false" outlineLevel="0" collapsed="false">
      <c r="A99" s="0" t="n">
        <f aca="false">ROW()-5</f>
        <v>94</v>
      </c>
      <c r="B99" s="0" t="n">
        <f aca="false">Waterfall!DU99+Waterfall!DV99</f>
        <v>0</v>
      </c>
      <c r="C99" s="0" t="n">
        <f aca="false">Waterfall!DW99+Waterfall!DX99</f>
        <v>0</v>
      </c>
      <c r="D99" s="0" t="n">
        <f aca="false">Waterfall!DY99+Waterfall!DZ99</f>
        <v>0</v>
      </c>
      <c r="E99" s="0" t="n">
        <f aca="false">Waterfall!EB99</f>
        <v>0</v>
      </c>
    </row>
    <row r="100" customFormat="false" ht="15" hidden="false" customHeight="false" outlineLevel="0" collapsed="false">
      <c r="A100" s="0" t="n">
        <f aca="false">ROW()-5</f>
        <v>95</v>
      </c>
      <c r="B100" s="0" t="n">
        <f aca="false">Waterfall!DU100+Waterfall!DV100</f>
        <v>0</v>
      </c>
      <c r="C100" s="0" t="n">
        <f aca="false">Waterfall!DW100+Waterfall!DX100</f>
        <v>0</v>
      </c>
      <c r="D100" s="0" t="n">
        <f aca="false">Waterfall!DY100+Waterfall!DZ100</f>
        <v>0</v>
      </c>
      <c r="E100" s="0" t="n">
        <f aca="false">Waterfall!EB100</f>
        <v>0</v>
      </c>
    </row>
    <row r="101" customFormat="false" ht="15" hidden="false" customHeight="false" outlineLevel="0" collapsed="false">
      <c r="A101" s="0" t="n">
        <f aca="false">ROW()-5</f>
        <v>96</v>
      </c>
      <c r="B101" s="0" t="n">
        <f aca="false">Waterfall!DU101+Waterfall!DV101</f>
        <v>0</v>
      </c>
      <c r="C101" s="0" t="n">
        <f aca="false">Waterfall!DW101+Waterfall!DX101</f>
        <v>0</v>
      </c>
      <c r="D101" s="0" t="n">
        <f aca="false">Waterfall!DY101+Waterfall!DZ101</f>
        <v>0</v>
      </c>
      <c r="E101" s="0" t="n">
        <f aca="false">Waterfall!EB101</f>
        <v>0</v>
      </c>
    </row>
    <row r="102" customFormat="false" ht="15" hidden="false" customHeight="false" outlineLevel="0" collapsed="false">
      <c r="A102" s="0" t="n">
        <f aca="false">ROW()-5</f>
        <v>97</v>
      </c>
      <c r="B102" s="0" t="n">
        <f aca="false">Waterfall!DU102+Waterfall!DV102</f>
        <v>0</v>
      </c>
      <c r="C102" s="0" t="n">
        <f aca="false">Waterfall!DW102+Waterfall!DX102</f>
        <v>0</v>
      </c>
      <c r="D102" s="0" t="n">
        <f aca="false">Waterfall!DY102+Waterfall!DZ102</f>
        <v>0</v>
      </c>
      <c r="E102" s="0" t="n">
        <f aca="false">Waterfall!EB102</f>
        <v>0</v>
      </c>
    </row>
    <row r="103" customFormat="false" ht="15" hidden="false" customHeight="false" outlineLevel="0" collapsed="false">
      <c r="A103" s="0" t="n">
        <f aca="false">ROW()-5</f>
        <v>98</v>
      </c>
      <c r="B103" s="0" t="n">
        <f aca="false">Waterfall!DU103+Waterfall!DV103</f>
        <v>0</v>
      </c>
      <c r="C103" s="0" t="n">
        <f aca="false">Waterfall!DW103+Waterfall!DX103</f>
        <v>0</v>
      </c>
      <c r="D103" s="0" t="n">
        <f aca="false">Waterfall!DY103+Waterfall!DZ103</f>
        <v>0</v>
      </c>
      <c r="E103" s="0" t="n">
        <f aca="false">Waterfall!EB103</f>
        <v>0</v>
      </c>
    </row>
    <row r="104" customFormat="false" ht="15" hidden="false" customHeight="false" outlineLevel="0" collapsed="false">
      <c r="A104" s="0" t="n">
        <f aca="false">ROW()-5</f>
        <v>99</v>
      </c>
      <c r="B104" s="0" t="n">
        <f aca="false">Waterfall!DU104+Waterfall!DV104</f>
        <v>0</v>
      </c>
      <c r="C104" s="0" t="n">
        <f aca="false">Waterfall!DW104+Waterfall!DX104</f>
        <v>0</v>
      </c>
      <c r="D104" s="0" t="n">
        <f aca="false">Waterfall!DY104+Waterfall!DZ104</f>
        <v>0</v>
      </c>
      <c r="E104" s="0" t="n">
        <f aca="false">Waterfall!EB104</f>
        <v>0</v>
      </c>
    </row>
    <row r="105" customFormat="false" ht="15" hidden="false" customHeight="false" outlineLevel="0" collapsed="false">
      <c r="A105" s="0" t="n">
        <f aca="false">ROW()-5</f>
        <v>100</v>
      </c>
      <c r="B105" s="0" t="n">
        <f aca="false">Waterfall!DU105+Waterfall!DV105</f>
        <v>0</v>
      </c>
      <c r="C105" s="0" t="n">
        <f aca="false">Waterfall!DW105+Waterfall!DX105</f>
        <v>0</v>
      </c>
      <c r="D105" s="0" t="n">
        <f aca="false">Waterfall!DY105+Waterfall!DZ105</f>
        <v>0</v>
      </c>
      <c r="E105" s="0" t="n">
        <f aca="false">Waterfall!EB105</f>
        <v>0</v>
      </c>
    </row>
    <row r="106" customFormat="false" ht="15" hidden="false" customHeight="false" outlineLevel="0" collapsed="false">
      <c r="A106" s="0" t="n">
        <f aca="false">ROW()-5</f>
        <v>101</v>
      </c>
      <c r="B106" s="0" t="n">
        <f aca="false">Waterfall!DU106+Waterfall!DV106</f>
        <v>0</v>
      </c>
      <c r="C106" s="0" t="n">
        <f aca="false">Waterfall!DW106+Waterfall!DX106</f>
        <v>0</v>
      </c>
      <c r="D106" s="0" t="n">
        <f aca="false">Waterfall!DY106+Waterfall!DZ106</f>
        <v>0</v>
      </c>
      <c r="E106" s="0" t="n">
        <f aca="false">Waterfall!EB106</f>
        <v>0</v>
      </c>
    </row>
    <row r="107" customFormat="false" ht="15" hidden="false" customHeight="false" outlineLevel="0" collapsed="false">
      <c r="A107" s="0" t="n">
        <f aca="false">ROW()-5</f>
        <v>102</v>
      </c>
      <c r="B107" s="0" t="n">
        <f aca="false">Waterfall!DU107+Waterfall!DV107</f>
        <v>0</v>
      </c>
      <c r="C107" s="0" t="n">
        <f aca="false">Waterfall!DW107+Waterfall!DX107</f>
        <v>0</v>
      </c>
      <c r="D107" s="0" t="n">
        <f aca="false">Waterfall!DY107+Waterfall!DZ107</f>
        <v>0</v>
      </c>
      <c r="E107" s="0" t="n">
        <f aca="false">Waterfall!EB107</f>
        <v>0</v>
      </c>
    </row>
    <row r="108" customFormat="false" ht="15" hidden="false" customHeight="false" outlineLevel="0" collapsed="false">
      <c r="A108" s="0" t="n">
        <f aca="false">ROW()-5</f>
        <v>103</v>
      </c>
      <c r="B108" s="0" t="n">
        <f aca="false">Waterfall!DU108+Waterfall!DV108</f>
        <v>0</v>
      </c>
      <c r="C108" s="0" t="n">
        <f aca="false">Waterfall!DW108+Waterfall!DX108</f>
        <v>0</v>
      </c>
      <c r="D108" s="0" t="n">
        <f aca="false">Waterfall!DY108+Waterfall!DZ108</f>
        <v>0</v>
      </c>
      <c r="E108" s="0" t="n">
        <f aca="false">Waterfall!EB108</f>
        <v>0</v>
      </c>
    </row>
    <row r="109" customFormat="false" ht="15" hidden="false" customHeight="false" outlineLevel="0" collapsed="false">
      <c r="A109" s="0" t="n">
        <f aca="false">ROW()-5</f>
        <v>104</v>
      </c>
      <c r="B109" s="0" t="n">
        <f aca="false">Waterfall!DU109+Waterfall!DV109</f>
        <v>0</v>
      </c>
      <c r="C109" s="0" t="n">
        <f aca="false">Waterfall!DW109+Waterfall!DX109</f>
        <v>0</v>
      </c>
      <c r="D109" s="0" t="n">
        <f aca="false">Waterfall!DY109+Waterfall!DZ109</f>
        <v>0</v>
      </c>
      <c r="E109" s="0" t="n">
        <f aca="false">Waterfall!EB109</f>
        <v>0</v>
      </c>
    </row>
    <row r="110" customFormat="false" ht="15" hidden="false" customHeight="false" outlineLevel="0" collapsed="false">
      <c r="A110" s="0" t="n">
        <f aca="false">ROW()-5</f>
        <v>105</v>
      </c>
      <c r="B110" s="0" t="n">
        <f aca="false">Waterfall!DU110+Waterfall!DV110</f>
        <v>0</v>
      </c>
      <c r="C110" s="0" t="n">
        <f aca="false">Waterfall!DW110+Waterfall!DX110</f>
        <v>0</v>
      </c>
      <c r="D110" s="0" t="n">
        <f aca="false">Waterfall!DY110+Waterfall!DZ110</f>
        <v>0</v>
      </c>
      <c r="E110" s="0" t="n">
        <f aca="false">Waterfall!EB110</f>
        <v>0</v>
      </c>
    </row>
    <row r="111" customFormat="false" ht="15" hidden="false" customHeight="false" outlineLevel="0" collapsed="false">
      <c r="A111" s="0" t="n">
        <f aca="false">ROW()-5</f>
        <v>106</v>
      </c>
      <c r="B111" s="0" t="n">
        <f aca="false">Waterfall!DU111+Waterfall!DV111</f>
        <v>0</v>
      </c>
      <c r="C111" s="0" t="n">
        <f aca="false">Waterfall!DW111+Waterfall!DX111</f>
        <v>0</v>
      </c>
      <c r="D111" s="0" t="n">
        <f aca="false">Waterfall!DY111+Waterfall!DZ111</f>
        <v>0</v>
      </c>
      <c r="E111" s="0" t="n">
        <f aca="false">Waterfall!EB111</f>
        <v>0</v>
      </c>
    </row>
    <row r="112" customFormat="false" ht="15" hidden="false" customHeight="false" outlineLevel="0" collapsed="false">
      <c r="A112" s="0" t="n">
        <f aca="false">ROW()-5</f>
        <v>107</v>
      </c>
      <c r="B112" s="0" t="n">
        <f aca="false">Waterfall!DU112+Waterfall!DV112</f>
        <v>0</v>
      </c>
      <c r="C112" s="0" t="n">
        <f aca="false">Waterfall!DW112+Waterfall!DX112</f>
        <v>0</v>
      </c>
      <c r="D112" s="0" t="n">
        <f aca="false">Waterfall!DY112+Waterfall!DZ112</f>
        <v>0</v>
      </c>
      <c r="E112" s="0" t="n">
        <f aca="false">Waterfall!EB112</f>
        <v>0</v>
      </c>
    </row>
    <row r="113" customFormat="false" ht="15" hidden="false" customHeight="false" outlineLevel="0" collapsed="false">
      <c r="A113" s="0" t="n">
        <f aca="false">ROW()-5</f>
        <v>108</v>
      </c>
      <c r="B113" s="0" t="n">
        <f aca="false">Waterfall!DU113+Waterfall!DV113</f>
        <v>0</v>
      </c>
      <c r="C113" s="0" t="n">
        <f aca="false">Waterfall!DW113+Waterfall!DX113</f>
        <v>0</v>
      </c>
      <c r="D113" s="0" t="n">
        <f aca="false">Waterfall!DY113+Waterfall!DZ113</f>
        <v>0</v>
      </c>
      <c r="E113" s="0" t="n">
        <f aca="false">Waterfall!EB113</f>
        <v>0</v>
      </c>
    </row>
    <row r="114" customFormat="false" ht="15" hidden="false" customHeight="false" outlineLevel="0" collapsed="false">
      <c r="A114" s="0" t="n">
        <f aca="false">ROW()-5</f>
        <v>109</v>
      </c>
      <c r="B114" s="0" t="n">
        <f aca="false">Waterfall!DU114+Waterfall!DV114</f>
        <v>0</v>
      </c>
      <c r="C114" s="0" t="n">
        <f aca="false">Waterfall!DW114+Waterfall!DX114</f>
        <v>0</v>
      </c>
      <c r="D114" s="0" t="n">
        <f aca="false">Waterfall!DY114+Waterfall!DZ114</f>
        <v>0</v>
      </c>
      <c r="E114" s="0" t="n">
        <f aca="false">Waterfall!EB114</f>
        <v>0</v>
      </c>
    </row>
    <row r="115" customFormat="false" ht="15" hidden="false" customHeight="false" outlineLevel="0" collapsed="false">
      <c r="A115" s="0" t="n">
        <f aca="false">ROW()-5</f>
        <v>110</v>
      </c>
      <c r="B115" s="0" t="n">
        <f aca="false">Waterfall!DU115+Waterfall!DV115</f>
        <v>0</v>
      </c>
      <c r="C115" s="0" t="n">
        <f aca="false">Waterfall!DW115+Waterfall!DX115</f>
        <v>0</v>
      </c>
      <c r="D115" s="0" t="n">
        <f aca="false">Waterfall!DY115+Waterfall!DZ115</f>
        <v>0</v>
      </c>
      <c r="E115" s="0" t="n">
        <f aca="false">Waterfall!EB115</f>
        <v>0</v>
      </c>
    </row>
    <row r="116" customFormat="false" ht="15" hidden="false" customHeight="false" outlineLevel="0" collapsed="false">
      <c r="A116" s="0" t="n">
        <f aca="false">ROW()-5</f>
        <v>111</v>
      </c>
      <c r="B116" s="0" t="n">
        <f aca="false">Waterfall!DU116+Waterfall!DV116</f>
        <v>0</v>
      </c>
      <c r="C116" s="0" t="n">
        <f aca="false">Waterfall!DW116+Waterfall!DX116</f>
        <v>0</v>
      </c>
      <c r="D116" s="0" t="n">
        <f aca="false">Waterfall!DY116+Waterfall!DZ116</f>
        <v>0</v>
      </c>
      <c r="E116" s="0" t="n">
        <f aca="false">Waterfall!EB116</f>
        <v>0</v>
      </c>
    </row>
    <row r="117" customFormat="false" ht="15" hidden="false" customHeight="false" outlineLevel="0" collapsed="false">
      <c r="A117" s="0" t="n">
        <f aca="false">ROW()-5</f>
        <v>112</v>
      </c>
      <c r="B117" s="0" t="n">
        <f aca="false">Waterfall!DU117+Waterfall!DV117</f>
        <v>0</v>
      </c>
      <c r="C117" s="0" t="n">
        <f aca="false">Waterfall!DW117+Waterfall!DX117</f>
        <v>0</v>
      </c>
      <c r="D117" s="0" t="n">
        <f aca="false">Waterfall!DY117+Waterfall!DZ117</f>
        <v>0</v>
      </c>
      <c r="E117" s="0" t="n">
        <f aca="false">Waterfall!EB117</f>
        <v>0</v>
      </c>
    </row>
    <row r="118" customFormat="false" ht="15" hidden="false" customHeight="false" outlineLevel="0" collapsed="false">
      <c r="A118" s="0" t="n">
        <f aca="false">ROW()-5</f>
        <v>113</v>
      </c>
      <c r="B118" s="0" t="n">
        <f aca="false">Waterfall!DU118+Waterfall!DV118</f>
        <v>0</v>
      </c>
      <c r="C118" s="0" t="n">
        <f aca="false">Waterfall!DW118+Waterfall!DX118</f>
        <v>0</v>
      </c>
      <c r="D118" s="0" t="n">
        <f aca="false">Waterfall!DY118+Waterfall!DZ118</f>
        <v>0</v>
      </c>
      <c r="E118" s="0" t="n">
        <f aca="false">Waterfall!EB118</f>
        <v>0</v>
      </c>
    </row>
    <row r="119" customFormat="false" ht="15" hidden="false" customHeight="false" outlineLevel="0" collapsed="false">
      <c r="A119" s="0" t="n">
        <f aca="false">ROW()-5</f>
        <v>114</v>
      </c>
      <c r="B119" s="0" t="n">
        <f aca="false">Waterfall!DU119+Waterfall!DV119</f>
        <v>0</v>
      </c>
      <c r="C119" s="0" t="n">
        <f aca="false">Waterfall!DW119+Waterfall!DX119</f>
        <v>0</v>
      </c>
      <c r="D119" s="0" t="n">
        <f aca="false">Waterfall!DY119+Waterfall!DZ119</f>
        <v>0</v>
      </c>
      <c r="E119" s="0" t="n">
        <f aca="false">Waterfall!EB119</f>
        <v>0</v>
      </c>
    </row>
    <row r="120" customFormat="false" ht="15" hidden="false" customHeight="false" outlineLevel="0" collapsed="false">
      <c r="A120" s="0" t="n">
        <f aca="false">ROW()-5</f>
        <v>115</v>
      </c>
      <c r="B120" s="0" t="n">
        <f aca="false">Waterfall!DU120+Waterfall!DV120</f>
        <v>0</v>
      </c>
      <c r="C120" s="0" t="n">
        <f aca="false">Waterfall!DW120+Waterfall!DX120</f>
        <v>0</v>
      </c>
      <c r="D120" s="0" t="n">
        <f aca="false">Waterfall!DY120+Waterfall!DZ120</f>
        <v>0</v>
      </c>
      <c r="E120" s="0" t="n">
        <f aca="false">Waterfall!EB120</f>
        <v>0</v>
      </c>
    </row>
    <row r="121" customFormat="false" ht="15" hidden="false" customHeight="false" outlineLevel="0" collapsed="false">
      <c r="A121" s="0" t="n">
        <f aca="false">ROW()-5</f>
        <v>116</v>
      </c>
      <c r="B121" s="0" t="n">
        <f aca="false">Waterfall!DU121+Waterfall!DV121</f>
        <v>0</v>
      </c>
      <c r="C121" s="0" t="n">
        <f aca="false">Waterfall!DW121+Waterfall!DX121</f>
        <v>0</v>
      </c>
      <c r="D121" s="0" t="n">
        <f aca="false">Waterfall!DY121+Waterfall!DZ121</f>
        <v>0</v>
      </c>
      <c r="E121" s="0" t="n">
        <f aca="false">Waterfall!EB121</f>
        <v>0</v>
      </c>
    </row>
    <row r="122" customFormat="false" ht="15" hidden="false" customHeight="false" outlineLevel="0" collapsed="false">
      <c r="A122" s="0" t="n">
        <f aca="false">ROW()-5</f>
        <v>117</v>
      </c>
      <c r="B122" s="0" t="n">
        <f aca="false">Waterfall!DU122+Waterfall!DV122</f>
        <v>0</v>
      </c>
      <c r="C122" s="0" t="n">
        <f aca="false">Waterfall!DW122+Waterfall!DX122</f>
        <v>0</v>
      </c>
      <c r="D122" s="0" t="n">
        <f aca="false">Waterfall!DY122+Waterfall!DZ122</f>
        <v>0</v>
      </c>
      <c r="E122" s="0" t="n">
        <f aca="false">Waterfall!EB122</f>
        <v>0</v>
      </c>
    </row>
    <row r="123" customFormat="false" ht="15" hidden="false" customHeight="false" outlineLevel="0" collapsed="false">
      <c r="A123" s="0" t="n">
        <f aca="false">ROW()-5</f>
        <v>118</v>
      </c>
      <c r="B123" s="0" t="n">
        <f aca="false">Waterfall!DU123+Waterfall!DV123</f>
        <v>0</v>
      </c>
      <c r="C123" s="0" t="n">
        <f aca="false">Waterfall!DW123+Waterfall!DX123</f>
        <v>0</v>
      </c>
      <c r="D123" s="0" t="n">
        <f aca="false">Waterfall!DY123+Waterfall!DZ123</f>
        <v>0</v>
      </c>
      <c r="E123" s="0" t="n">
        <f aca="false">Waterfall!EB123</f>
        <v>0</v>
      </c>
    </row>
    <row r="124" customFormat="false" ht="15" hidden="false" customHeight="false" outlineLevel="0" collapsed="false">
      <c r="A124" s="0" t="n">
        <f aca="false">ROW()-5</f>
        <v>119</v>
      </c>
      <c r="B124" s="0" t="n">
        <f aca="false">Waterfall!DU124+Waterfall!DV124</f>
        <v>0</v>
      </c>
      <c r="C124" s="0" t="n">
        <f aca="false">Waterfall!DW124+Waterfall!DX124</f>
        <v>0</v>
      </c>
      <c r="D124" s="0" t="n">
        <f aca="false">Waterfall!DY124+Waterfall!DZ124</f>
        <v>0</v>
      </c>
      <c r="E124" s="0" t="n">
        <f aca="false">Waterfall!EB124</f>
        <v>0</v>
      </c>
    </row>
    <row r="125" customFormat="false" ht="15" hidden="false" customHeight="false" outlineLevel="0" collapsed="false">
      <c r="A125" s="0" t="n">
        <f aca="false">ROW()-5</f>
        <v>120</v>
      </c>
      <c r="B125" s="0" t="n">
        <f aca="false">Waterfall!DU125+Waterfall!DV125</f>
        <v>0</v>
      </c>
      <c r="C125" s="0" t="n">
        <f aca="false">Waterfall!DW125+Waterfall!DX125</f>
        <v>0</v>
      </c>
      <c r="D125" s="0" t="n">
        <f aca="false">Waterfall!DY125+Waterfall!DZ125</f>
        <v>0</v>
      </c>
      <c r="E125" s="0" t="n">
        <f aca="false">Waterfall!EB125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0" t="s">
        <v>286</v>
      </c>
    </row>
    <row r="3" customFormat="false" ht="15" hidden="false" customHeight="false" outlineLevel="0" collapsed="false">
      <c r="A3" s="0" t="s">
        <v>287</v>
      </c>
      <c r="B3" s="0" t="s">
        <v>288</v>
      </c>
      <c r="C3" s="0" t="s">
        <v>289</v>
      </c>
      <c r="D3" s="0" t="s">
        <v>290</v>
      </c>
      <c r="E3" s="0" t="s">
        <v>291</v>
      </c>
      <c r="F3" s="0" t="s">
        <v>292</v>
      </c>
      <c r="G3" s="0" t="s">
        <v>293</v>
      </c>
      <c r="H3" s="0" t="s">
        <v>294</v>
      </c>
      <c r="I3" s="0" t="s">
        <v>295</v>
      </c>
      <c r="J3" s="0" t="s">
        <v>296</v>
      </c>
      <c r="K3" s="0" t="s">
        <v>297</v>
      </c>
      <c r="L3" s="0" t="s">
        <v>298</v>
      </c>
    </row>
    <row r="4" customFormat="false" ht="15" hidden="false" customHeight="false" outlineLevel="0" collapsed="false">
      <c r="A4" s="0" t="s">
        <v>299</v>
      </c>
      <c r="B4" s="0" t="n">
        <f aca="false">Inputs!$B$21</f>
        <v>300000000</v>
      </c>
      <c r="C4" s="0" t="n">
        <f aca="false">IF(SUM(Waterfall!$DV$6:$DV$125)&gt;0,SUMPRODUCT(Waterfall!$A$6:$A$125,Waterfall!$DV$6:$DV$125)/12/SUM(Waterfall!$DV$6:$DV$125),"n/a")</f>
        <v>1.59224999218028</v>
      </c>
      <c r="D4" s="0" t="n">
        <f aca="false">IF(SUM(CashFlows!$B$6:$B$125)&gt;0,IFERROR(IRR(CashFlows!$B$5:$B$125,0.005),IFERROR(IRR(CashFlows!$B$5:$B$125,-0.03),IFERROR(IRR(CashFlows!$B$5:$B$125,-0.1),IFERROR(IRR(CashFlows!$B$5:$B$125,-0.3),IRR(CashFlows!$B$5:$B$125,-0.6)))))*12,"n/a")</f>
        <v>0.0499977877355246</v>
      </c>
      <c r="E4" s="0" t="e">
        <f aca="false">IFERROR(minifs(Waterfall!$A$6:$A$125,Waterfall!$DV$6:$DV$125,"&gt;1"),"n/a")</f>
        <v>#VALUE!</v>
      </c>
      <c r="F4" s="0" t="e">
        <f aca="false">IFERROR(maxifs(Waterfall!$A$6:$A$125,Waterfall!$DV$6:$DV$125,"&gt;1"),"n/a")</f>
        <v>#VALUE!</v>
      </c>
      <c r="G4" s="0" t="n">
        <f aca="false">SUM(Waterfall!$DU$6:$DU$125)</f>
        <v>23841743.1101172</v>
      </c>
      <c r="H4" s="0" t="n">
        <f aca="false">SUM(CashFlows!$B$6:$B$125)</f>
        <v>323841743.110117</v>
      </c>
      <c r="I4" s="0" t="n">
        <f aca="false">SUM(Waterfall!$CY$6:$CY$125)</f>
        <v>0</v>
      </c>
      <c r="J4" s="0" t="n">
        <f aca="false">Waterfall!DQ125</f>
        <v>0</v>
      </c>
      <c r="K4" s="0" t="n">
        <f aca="false">MAX(Waterfall!$DQ$6:$DQ$125)</f>
        <v>0</v>
      </c>
      <c r="L4" s="0" t="n">
        <f aca="false">IF(OR(I4&gt;Inputs!$B$20,J4&gt;Inputs!$B$20,K4&gt;Inputs!$B$20),1,0)</f>
        <v>0</v>
      </c>
    </row>
    <row r="5" customFormat="false" ht="15" hidden="false" customHeight="false" outlineLevel="0" collapsed="false">
      <c r="A5" s="0" t="s">
        <v>300</v>
      </c>
      <c r="B5" s="0" t="n">
        <f aca="false">Inputs!$B$26</f>
        <v>40000000</v>
      </c>
      <c r="C5" s="0" t="n">
        <f aca="false">IF(SUM(Waterfall!$DX$6:$DX$125)&gt;0,SUMPRODUCT(Waterfall!$A$6:$A$125,Waterfall!$DX$6:$DX$125)/12/SUM(Waterfall!$DX$6:$DX$125),"n/a")</f>
        <v>3.82750145056964</v>
      </c>
      <c r="D5" s="0" t="n">
        <f aca="false">IF(SUM(CashFlows!$C$6:$C$125)&gt;0,IFERROR(IRR(CashFlows!$C$5:$C$125,0.005),IFERROR(IRR(CashFlows!$C$5:$C$125,-0.03),IFERROR(IRR(CashFlows!$C$5:$C$125,-0.1),IFERROR(IRR(CashFlows!$C$5:$C$125,-0.3),IRR(CashFlows!$C$5:$C$125,-0.6)))))*12,"n/a")</f>
        <v>0.0597353699870566</v>
      </c>
      <c r="E5" s="0" t="e">
        <f aca="false">IFERROR(minifs(Waterfall!$A$6:$A$125,Waterfall!$DX$6:$DX$125,"&gt;1"),"n/a")</f>
        <v>#VALUE!</v>
      </c>
      <c r="F5" s="0" t="e">
        <f aca="false">IFERROR(maxifs(Waterfall!$A$6:$A$125,Waterfall!$DX$6:$DX$125,"&gt;1"),"n/a")</f>
        <v>#VALUE!</v>
      </c>
      <c r="G5" s="0" t="n">
        <f aca="false">SUM(Waterfall!$DW$6:$DW$125)</f>
        <v>9121028.35809634</v>
      </c>
      <c r="H5" s="0" t="n">
        <f aca="false">SUM(CashFlows!$C$6:$C$125)</f>
        <v>49121028.3580963</v>
      </c>
      <c r="I5" s="0" t="n">
        <f aca="false">SUM(Waterfall!$CX$6:$CX$125)</f>
        <v>0</v>
      </c>
      <c r="J5" s="0" t="n">
        <f aca="false">Waterfall!DR125</f>
        <v>0</v>
      </c>
      <c r="K5" s="0" t="n">
        <f aca="false">MAX(Waterfall!$DR$6:$DR$125)</f>
        <v>0</v>
      </c>
      <c r="L5" s="0" t="n">
        <f aca="false">IF(OR(I5&gt;Inputs!$B$20,J5&gt;Inputs!$B$20,K5&gt;Inputs!$B$20),1,0)</f>
        <v>0</v>
      </c>
    </row>
    <row r="6" customFormat="false" ht="15" hidden="false" customHeight="false" outlineLevel="0" collapsed="false">
      <c r="A6" s="0" t="s">
        <v>301</v>
      </c>
      <c r="B6" s="0" t="n">
        <f aca="false">Inputs!$B$31</f>
        <v>30000000</v>
      </c>
      <c r="C6" s="0" t="n">
        <f aca="false">IF(SUM(Waterfall!$DZ$6:$DZ$125)&gt;0,SUMPRODUCT(Waterfall!$A$6:$A$125,Waterfall!$DZ$6:$DZ$125)/12/SUM(Waterfall!$DZ$6:$DZ$125),"n/a")</f>
        <v>4.7131884271938</v>
      </c>
      <c r="D6" s="0" t="n">
        <f aca="false">IF(SUM(CashFlows!$D$6:$D$125)&gt;0,IFERROR(IRR(CashFlows!$D$5:$D$125,0.005),IFERROR(IRR(CashFlows!$D$5:$D$125,-0.03),IFERROR(IRR(CashFlows!$D$5:$D$125,-0.1),IFERROR(IRR(CashFlows!$D$5:$D$125,-0.3),IRR(CashFlows!$D$5:$D$125,-0.6)))))*12,"n/a")</f>
        <v>0.0749999999993081</v>
      </c>
      <c r="E6" s="0" t="e">
        <f aca="false">IFERROR(minifs(Waterfall!$A$6:$A$125,Waterfall!$DZ$6:$DZ$125,"&gt;1"),"n/a")</f>
        <v>#VALUE!</v>
      </c>
      <c r="F6" s="0" t="e">
        <f aca="false">IFERROR(maxifs(Waterfall!$A$6:$A$125,Waterfall!$DZ$6:$DZ$125,"&gt;1"),"n/a")</f>
        <v>#VALUE!</v>
      </c>
      <c r="G6" s="0" t="n">
        <f aca="false">SUM(Waterfall!$DY$6:$DY$125)</f>
        <v>10604673.9611861</v>
      </c>
      <c r="H6" s="0" t="n">
        <f aca="false">SUM(CashFlows!$D$6:$D$125)</f>
        <v>40604673.9611861</v>
      </c>
      <c r="I6" s="0" t="n">
        <f aca="false">SUM(Waterfall!$CW$6:$CW$125)</f>
        <v>0</v>
      </c>
      <c r="J6" s="0" t="n">
        <f aca="false">Waterfall!DS125</f>
        <v>0</v>
      </c>
      <c r="K6" s="0" t="n">
        <f aca="false">MAX(Waterfall!$DS$6:$DS$125)</f>
        <v>0</v>
      </c>
      <c r="L6" s="0" t="n">
        <f aca="false">IF(OR(I6&gt;Inputs!$B$20,J6&gt;Inputs!$B$20,K6&gt;Inputs!$B$20),1,0)</f>
        <v>0</v>
      </c>
    </row>
    <row r="7" customFormat="false" ht="15" hidden="false" customHeight="false" outlineLevel="0" collapsed="false">
      <c r="A7" s="0" t="s">
        <v>302</v>
      </c>
      <c r="B7" s="0" t="n">
        <f aca="false">Inputs!$B$37</f>
        <v>33000000</v>
      </c>
      <c r="C7" s="0" t="n">
        <f aca="false">IF(SUM(Waterfall!$EA$6:$EA$125)&gt;0,SUMPRODUCT(Waterfall!$A$6:$A$125,Waterfall!$EA$6:$EA$125)/12/SUM(Waterfall!$EA$6:$EA$125),"n/a")</f>
        <v>5.8843145664985</v>
      </c>
      <c r="D7" s="0" t="n">
        <f aca="false">IF(SUM(CashFlows!$E$6:$E$125)&gt;0,IFERROR(IRR(CashFlows!$E$5:$E$125,0.005),IFERROR(IRR(CashFlows!$E$5:$E$125,-0.03),IFERROR(IRR(CashFlows!$E$5:$E$125,-0.1),IFERROR(IRR(CashFlows!$E$5:$E$125,-0.3),IRR(CashFlows!$E$5:$E$125,-0.6)))))*12,"n/a")</f>
        <v>0.181616565817211</v>
      </c>
      <c r="E7" s="0" t="e">
        <f aca="false">IFERROR(minifs(Waterfall!$A$6:$A$125,Waterfall!$EA$6:$EA$125,"&gt;1"),"n/a")</f>
        <v>#VALUE!</v>
      </c>
      <c r="F7" s="0" t="e">
        <f aca="false">IFERROR(maxifs(Waterfall!$A$6:$A$125,Waterfall!$EA$6:$EA$125,"&gt;1"),"n/a")</f>
        <v>#VALUE!</v>
      </c>
      <c r="G7" s="0" t="n">
        <v>0</v>
      </c>
      <c r="H7" s="0" t="n">
        <f aca="false">SUM(CashFlows!$E$6:$E$125)</f>
        <v>57063657.5440544</v>
      </c>
      <c r="I7" s="0" t="n">
        <f aca="false">MAX(B7-H7,0)</f>
        <v>0</v>
      </c>
      <c r="J7" s="0" t="n">
        <v>0</v>
      </c>
      <c r="K7" s="0" t="n">
        <v>0</v>
      </c>
      <c r="L7" s="0" t="n">
        <f aca="false">IF(OR(I7&gt;Inputs!$B$20,J7&gt;Inputs!$B$20,K7&gt;Inputs!$B$20),1,0)</f>
        <v>0</v>
      </c>
    </row>
    <row r="10" customFormat="false" ht="15" hidden="false" customHeight="false" outlineLevel="0" collapsed="false">
      <c r="A10" s="0" t="s">
        <v>303</v>
      </c>
      <c r="B10" s="0" t="str">
        <f aca="false">IF(I7&gt;Inputs!$B$20,"R",IF(I6&gt;Inputs!$B$20,"C",IF(I5&gt;Inputs!$B$20,"B",IF(I4&gt;Inputs!$B$20,"A","none"))))</f>
        <v>none</v>
      </c>
    </row>
    <row r="11" customFormat="false" ht="15" hidden="false" customHeight="false" outlineLevel="0" collapsed="false">
      <c r="A11" s="0" t="s">
        <v>304</v>
      </c>
      <c r="B11" s="0" t="str">
        <f aca="false">IF(I4&gt;Inputs!$B$20,"A",IF(I5&gt;Inputs!$B$20,"B",IF(I6&gt;Inputs!$B$20,"C",IF(I7&gt;Inputs!$B$20,"R","none"))))</f>
        <v>none</v>
      </c>
    </row>
    <row r="12" customFormat="false" ht="15" hidden="false" customHeight="false" outlineLevel="0" collapsed="false">
      <c r="A12" s="0" t="s">
        <v>305</v>
      </c>
      <c r="B12" s="0" t="n">
        <f aca="false">Pool!CD125/Inputs!$B$36</f>
        <v>0.0272847328070235</v>
      </c>
    </row>
    <row r="14" customFormat="false" ht="15" hidden="false" customHeight="false" outlineLevel="0" collapsed="false">
      <c r="A14" s="0" t="s">
        <v>306</v>
      </c>
    </row>
    <row r="15" customFormat="false" ht="15" hidden="false" customHeight="false" outlineLevel="0" collapsed="false">
      <c r="A15" s="0" t="s">
        <v>307</v>
      </c>
      <c r="B15" s="0" t="n">
        <f aca="false">MAX(MAX(Waterfall!$ED$6:$ED$125),-MIN(Waterfall!$ED$6:$ED$125))</f>
        <v>1.39698386192322E-009</v>
      </c>
    </row>
    <row r="16" customFormat="false" ht="15" hidden="false" customHeight="false" outlineLevel="0" collapsed="false">
      <c r="A16" s="0" t="s">
        <v>308</v>
      </c>
      <c r="B16" s="0" t="n">
        <f aca="false">SUM(Waterfall!$EE$6:$EE$125)</f>
        <v>0</v>
      </c>
    </row>
    <row r="17" customFormat="false" ht="15" hidden="false" customHeight="false" outlineLevel="0" collapsed="false">
      <c r="A17" s="0" t="s">
        <v>309</v>
      </c>
      <c r="B17" s="0" t="n">
        <f aca="false">SUM(Waterfall!$BG$6:$BG$125)</f>
        <v>0</v>
      </c>
    </row>
    <row r="18" customFormat="false" ht="15" hidden="false" customHeight="false" outlineLevel="0" collapsed="false">
      <c r="A18" s="0" t="s">
        <v>310</v>
      </c>
      <c r="B18" s="0" t="n">
        <f aca="false">ABS(Pool!BY125)</f>
        <v>0</v>
      </c>
    </row>
    <row r="19" customFormat="false" ht="15" hidden="false" customHeight="false" outlineLevel="0" collapsed="false">
      <c r="A19" s="0" t="s">
        <v>311</v>
      </c>
      <c r="B19" s="0" t="n">
        <f aca="false">IF(AND(B15&lt;0.001,B16=0),1,0)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2026-10-02T01:47:27Z</dcterms:created>
  <dc:creator>Deepak Chaudhary</dc:creator>
  <dc:description/>
  <dc:language>en-IN</dc:language>
  <cp:lastModifiedBy>Deepak Chaudhary</cp:lastModifiedBy>
  <dcterms:modified xsi:type="dcterms:W3CDTF">2026-10-02T01:47:28Z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